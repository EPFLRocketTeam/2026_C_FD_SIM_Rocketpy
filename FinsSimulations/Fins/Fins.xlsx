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1" autoFilterDateGrouping="1"/>
  </bookViews>
  <sheets>
    <sheet name="Structure" sheetId="1" state="visible" r:id="rId1"/>
    <sheet name="Propellant " sheetId="2" state="visible" r:id="rId2"/>
    <sheet name="Parameters " sheetId="3" state="visible" r:id="rId3"/>
    <sheet name="Simula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"/>
    <numFmt numFmtId="167" formatCode="0.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001F497D"/>
        <bgColor rgb="001F497D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2">
    <xf numFmtId="0" fontId="4" fillId="0" borderId="0"/>
    <xf numFmtId="43" fontId="4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5" fillId="8" borderId="3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164" fontId="2" fillId="0" borderId="0" pivotButton="0" quotePrefix="0" xfId="0"/>
    <xf numFmtId="167" fontId="0" fillId="0" borderId="0" pivotButton="0" quotePrefix="0" xfId="0"/>
    <xf numFmtId="0" fontId="6" fillId="0" borderId="0" pivotButton="0" quotePrefix="0" xfId="0"/>
    <xf numFmtId="165" fontId="7" fillId="0" borderId="0" pivotButton="0" quotePrefix="0" xfId="0"/>
    <xf numFmtId="0" fontId="7" fillId="0" borderId="0" pivotButton="0" quotePrefix="0" xfId="0"/>
    <xf numFmtId="0" fontId="2" fillId="5" borderId="2" applyAlignment="1" pivotButton="0" quotePrefix="0" xfId="0">
      <alignment horizontal="center"/>
    </xf>
    <xf numFmtId="0" fontId="0" fillId="0" borderId="2" pivotButton="0" quotePrefix="0" xfId="0"/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2" fillId="7" borderId="2" applyAlignment="1" pivotButton="0" quotePrefix="0" xfId="0">
      <alignment horizontal="center" vertical="center"/>
    </xf>
    <xf numFmtId="165" fontId="8" fillId="10" borderId="0" pivotButton="0" quotePrefix="0" xfId="0"/>
    <xf numFmtId="0" fontId="8" fillId="10" borderId="0" pivotButton="0" quotePrefix="0" xfId="0"/>
    <xf numFmtId="165" fontId="10" fillId="11" borderId="0" pivotButton="0" quotePrefix="0" xfId="0"/>
    <xf numFmtId="165" fontId="9" fillId="0" borderId="0" pivotButton="0" quotePrefix="0" xfId="0"/>
    <xf numFmtId="0" fontId="9" fillId="0" borderId="0" pivotButton="0" quotePrefix="0" xfId="0"/>
    <xf numFmtId="0" fontId="10" fillId="11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zoomScale="110" zoomScaleNormal="115" workbookViewId="0">
      <pane ySplit="1" topLeftCell="A46" activePane="bottomLeft" state="frozen"/>
      <selection pane="bottomLeft" activeCell="E61" sqref="E61"/>
    </sheetView>
  </sheetViews>
  <sheetFormatPr baseColWidth="8" defaultColWidth="8.796875" defaultRowHeight="14.25"/>
  <cols>
    <col width="32" customWidth="1" style="22" min="1" max="1"/>
    <col width="16" customWidth="1" style="22" min="2" max="2"/>
    <col width="55" customWidth="1" style="22" min="3" max="3"/>
    <col width="10.46484375" customWidth="1" style="22" min="5" max="5"/>
  </cols>
  <sheetData>
    <row r="1" ht="22.05" customHeight="1" s="22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3" t="inlineStr">
        <is>
          <t xml:space="preserve">ROCKET </t>
        </is>
      </c>
      <c r="E2" s="9" t="inlineStr">
        <is>
          <t>Longeur :</t>
        </is>
      </c>
      <c r="F2">
        <f>B11+B15+B19+B28+B32+B36+B39+B42+B48</f>
        <v/>
      </c>
      <c r="G2" t="inlineStr">
        <is>
          <t>[m]</t>
        </is>
      </c>
    </row>
    <row r="3">
      <c r="A3" t="inlineStr">
        <is>
          <t>mode</t>
        </is>
      </c>
      <c r="B3" t="n">
        <v>1</v>
      </c>
      <c r="C3" s="2" t="inlineStr">
        <is>
          <t>0 or 1</t>
        </is>
      </c>
      <c r="E3" s="9" t="inlineStr">
        <is>
          <t xml:space="preserve">Dry mass: </t>
        </is>
      </c>
      <c r="F3" s="5">
        <f>SUM(B12,B16,B20,B23,B29,B33,B37,B40,B43,B49)+B66</f>
        <v/>
      </c>
      <c r="G3" t="inlineStr">
        <is>
          <t>[kg]</t>
        </is>
      </c>
    </row>
    <row r="4">
      <c r="A4" t="inlineStr">
        <is>
          <t>l_center_of_mass</t>
        </is>
      </c>
      <c r="B4" t="n">
        <v>2.66</v>
      </c>
      <c r="C4" s="2" t="inlineStr">
        <is>
          <t>Mode 1 only</t>
        </is>
      </c>
      <c r="E4" s="9" t="n"/>
      <c r="F4">
        <f>F3+B5</f>
        <v/>
      </c>
    </row>
    <row r="5">
      <c r="A5" t="inlineStr">
        <is>
          <t>m_dry_measured</t>
        </is>
      </c>
      <c r="B5" t="n">
        <v>84.5</v>
      </c>
      <c r="C5" s="2" t="inlineStr">
        <is>
          <t>Mode 1 only</t>
        </is>
      </c>
      <c r="E5" s="14" t="n"/>
    </row>
    <row r="6">
      <c r="A6" t="inlineStr">
        <is>
          <t xml:space="preserve">r_rocket </t>
        </is>
      </c>
      <c r="B6" t="n">
        <v>0.1215</v>
      </c>
      <c r="C6" s="2" t="inlineStr">
        <is>
          <t xml:space="preserve">Rayon  </t>
        </is>
      </c>
      <c r="E6">
        <f>B6*2</f>
        <v/>
      </c>
      <c r="H6" s="15" t="n"/>
    </row>
    <row r="7">
      <c r="A7" t="inlineStr">
        <is>
          <t>drag_coeff_rocket</t>
        </is>
      </c>
      <c r="B7" t="n">
        <v>0.38</v>
      </c>
      <c r="C7" s="2" t="inlineStr">
        <is>
          <t>Coefficient de trainée</t>
        </is>
      </c>
    </row>
    <row r="8">
      <c r="A8" s="23" t="inlineStr">
        <is>
          <t xml:space="preserve">BOAT TAIL </t>
        </is>
      </c>
    </row>
    <row r="9">
      <c r="A9" t="inlineStr">
        <is>
          <t>top_r_bt</t>
        </is>
      </c>
      <c r="B9" t="n">
        <v>0.1215</v>
      </c>
      <c r="C9" s="2" t="inlineStr">
        <is>
          <t xml:space="preserve">Top radius </t>
        </is>
      </c>
    </row>
    <row r="10">
      <c r="A10" t="inlineStr">
        <is>
          <t>bottom_r_bt</t>
        </is>
      </c>
      <c r="B10" t="n">
        <v>0.07000000000000001</v>
      </c>
      <c r="C10" s="2" t="inlineStr">
        <is>
          <t>Bottom radius</t>
        </is>
      </c>
    </row>
    <row r="11">
      <c r="A11" t="inlineStr">
        <is>
          <t>l_bt</t>
        </is>
      </c>
      <c r="B11" t="n">
        <v>0.44</v>
      </c>
      <c r="C11" s="2" t="inlineStr">
        <is>
          <t xml:space="preserve">Longeur </t>
        </is>
      </c>
    </row>
    <row r="12">
      <c r="A12" t="inlineStr">
        <is>
          <t>m_bt</t>
        </is>
      </c>
      <c r="B12" t="n">
        <v>1.05</v>
      </c>
      <c r="C12" s="2" t="inlineStr">
        <is>
          <t>Masse</t>
        </is>
      </c>
      <c r="D12" t="n">
        <v>1.05</v>
      </c>
      <c r="E12" t="n">
        <v>7.353</v>
      </c>
    </row>
    <row r="13">
      <c r="A13" t="inlineStr">
        <is>
          <t>r_nozzle</t>
        </is>
      </c>
      <c r="B13" t="n">
        <v>0.04946</v>
      </c>
      <c r="C13" s="2" t="inlineStr">
        <is>
          <t xml:space="preserve">Rayon du nozzle </t>
        </is>
      </c>
    </row>
    <row r="14">
      <c r="A14" s="23" t="inlineStr">
        <is>
          <t>ENGINE BAY</t>
        </is>
      </c>
    </row>
    <row r="15">
      <c r="A15" t="inlineStr">
        <is>
          <t>l_ebay</t>
        </is>
      </c>
      <c r="B15" t="n">
        <v>0.728</v>
      </c>
      <c r="C15" s="2" t="inlineStr">
        <is>
          <t xml:space="preserve">Longeur </t>
        </is>
      </c>
    </row>
    <row r="16">
      <c r="A16" t="inlineStr">
        <is>
          <t>m_ebay</t>
        </is>
      </c>
      <c r="B16" t="n">
        <v>2.6464</v>
      </c>
      <c r="C16" s="2" t="inlineStr">
        <is>
          <t>Masse</t>
        </is>
      </c>
      <c r="D16" t="n">
        <v>2.6464</v>
      </c>
      <c r="E16" t="n">
        <v>12.797</v>
      </c>
    </row>
    <row r="17">
      <c r="A17" s="23" t="inlineStr">
        <is>
          <t>LOX BAY</t>
        </is>
      </c>
    </row>
    <row r="18">
      <c r="A18" t="inlineStr">
        <is>
          <t>pos_lox</t>
        </is>
      </c>
      <c r="B18" t="n">
        <v>1.393</v>
      </c>
      <c r="C18" s="2" t="inlineStr">
        <is>
          <t>Position</t>
        </is>
      </c>
    </row>
    <row r="19">
      <c r="A19" t="inlineStr">
        <is>
          <t>l_lox</t>
        </is>
      </c>
      <c r="B19" t="n">
        <v>0.45</v>
      </c>
      <c r="C19" s="2" t="inlineStr">
        <is>
          <t>Longeur</t>
        </is>
      </c>
    </row>
    <row r="20">
      <c r="A20" t="inlineStr">
        <is>
          <t>m_lox</t>
        </is>
      </c>
      <c r="B20" t="n">
        <v>0</v>
      </c>
      <c r="C20" s="2" t="inlineStr">
        <is>
          <t>Masse</t>
        </is>
      </c>
      <c r="D20" t="n">
        <v>0</v>
      </c>
      <c r="E20" t="n">
        <v>8.387</v>
      </c>
    </row>
    <row r="21">
      <c r="A21" s="23" t="inlineStr">
        <is>
          <t xml:space="preserve">AEROCOVER </t>
        </is>
      </c>
    </row>
    <row r="22">
      <c r="A22" t="inlineStr">
        <is>
          <t xml:space="preserve">pos_aerocover </t>
        </is>
      </c>
      <c r="B22" t="n">
        <v>0.55</v>
      </c>
      <c r="C22" s="2" t="inlineStr">
        <is>
          <t>Position</t>
        </is>
      </c>
    </row>
    <row r="23">
      <c r="A23" t="inlineStr">
        <is>
          <t xml:space="preserve">m_aerocover </t>
        </is>
      </c>
      <c r="B23" s="5" t="n">
        <v>0.894</v>
      </c>
      <c r="C23" s="2" t="inlineStr">
        <is>
          <t>Masse</t>
        </is>
      </c>
      <c r="D23" s="5" t="n">
        <v>0.894</v>
      </c>
      <c r="E23" s="5" t="n">
        <v>2.379</v>
      </c>
    </row>
    <row r="24">
      <c r="A24" t="inlineStr">
        <is>
          <t>l_aerocover</t>
        </is>
      </c>
      <c r="B24" t="n">
        <v>2.533</v>
      </c>
      <c r="C24" s="2" t="inlineStr">
        <is>
          <t>Longeur</t>
        </is>
      </c>
    </row>
    <row r="25">
      <c r="A25" t="inlineStr">
        <is>
          <t xml:space="preserve">r_aerocover </t>
        </is>
      </c>
      <c r="B25" t="n">
        <v>0.03</v>
      </c>
      <c r="C25" s="2" t="inlineStr">
        <is>
          <t xml:space="preserve">Rayon </t>
        </is>
      </c>
    </row>
    <row r="26">
      <c r="A26" s="23" t="inlineStr">
        <is>
          <t>PBAY 1</t>
        </is>
      </c>
    </row>
    <row r="27">
      <c r="A27" t="inlineStr">
        <is>
          <t>pos_copv_mbay</t>
        </is>
      </c>
      <c r="B27" t="n">
        <v>2.22531</v>
      </c>
      <c r="C27" s="2" t="inlineStr">
        <is>
          <t>Position</t>
        </is>
      </c>
    </row>
    <row r="28">
      <c r="A28" t="inlineStr">
        <is>
          <t>l_pbay1</t>
        </is>
      </c>
      <c r="B28" t="n">
        <v>1.154</v>
      </c>
      <c r="C28" s="2" t="inlineStr">
        <is>
          <t>Longeur</t>
        </is>
      </c>
    </row>
    <row r="29">
      <c r="A29" t="inlineStr">
        <is>
          <t>m_pbay1</t>
        </is>
      </c>
      <c r="B29" t="n">
        <v>1.7528</v>
      </c>
      <c r="C29" s="2" t="inlineStr">
        <is>
          <t>Masse</t>
        </is>
      </c>
      <c r="D29" t="n">
        <v>1.7528</v>
      </c>
      <c r="E29" t="n">
        <v>17.527</v>
      </c>
    </row>
    <row r="30">
      <c r="A30" s="23" t="inlineStr">
        <is>
          <t>ETH BAY</t>
        </is>
      </c>
    </row>
    <row r="31">
      <c r="A31" t="inlineStr">
        <is>
          <t>pos_eth</t>
        </is>
      </c>
      <c r="B31" t="n">
        <v>2.998</v>
      </c>
      <c r="C31" s="2" t="inlineStr">
        <is>
          <t>Position</t>
        </is>
      </c>
    </row>
    <row r="32">
      <c r="A32" t="inlineStr">
        <is>
          <t>l_eth</t>
        </is>
      </c>
      <c r="B32" t="n">
        <v>0.45</v>
      </c>
      <c r="C32" s="2" t="inlineStr">
        <is>
          <t>Longeur</t>
        </is>
      </c>
    </row>
    <row r="33">
      <c r="A33" t="inlineStr">
        <is>
          <t>m_eth</t>
        </is>
      </c>
      <c r="B33" t="n">
        <v>0</v>
      </c>
      <c r="C33" s="2" t="inlineStr">
        <is>
          <t>Masse</t>
        </is>
      </c>
      <c r="D33" t="n">
        <v>0</v>
      </c>
      <c r="E33" t="n">
        <v>8.387</v>
      </c>
    </row>
    <row r="34">
      <c r="A34" s="23" t="inlineStr">
        <is>
          <t>PBAY 2</t>
        </is>
      </c>
    </row>
    <row r="35">
      <c r="A35" t="inlineStr">
        <is>
          <t>pos_copv_pbay</t>
        </is>
      </c>
      <c r="B35" t="n">
        <v>3.64731</v>
      </c>
      <c r="C35" s="2" t="inlineStr">
        <is>
          <t>Position</t>
        </is>
      </c>
    </row>
    <row r="36">
      <c r="A36" t="inlineStr">
        <is>
          <t>l_pbay2</t>
        </is>
      </c>
      <c r="B36" t="n">
        <v>0.8</v>
      </c>
      <c r="C36" s="2" t="inlineStr">
        <is>
          <t>Longeur</t>
        </is>
      </c>
    </row>
    <row r="37">
      <c r="A37" t="inlineStr">
        <is>
          <t>m_pbay2</t>
        </is>
      </c>
      <c r="B37" t="n">
        <v>1.2154</v>
      </c>
      <c r="C37" s="2" t="inlineStr">
        <is>
          <t>Masse</t>
        </is>
      </c>
      <c r="D37" t="n">
        <v>1.2154</v>
      </c>
      <c r="E37" t="n">
        <v>14.21</v>
      </c>
    </row>
    <row r="38">
      <c r="A38" s="23" t="inlineStr">
        <is>
          <t xml:space="preserve">AV BAY </t>
        </is>
      </c>
    </row>
    <row r="39">
      <c r="A39" t="inlineStr">
        <is>
          <t>l_avbay</t>
        </is>
      </c>
      <c r="B39" t="n">
        <v>0.393</v>
      </c>
      <c r="C39" s="2" t="inlineStr">
        <is>
          <t>Longeur</t>
        </is>
      </c>
    </row>
    <row r="40">
      <c r="A40" t="inlineStr">
        <is>
          <t>m_avbay</t>
        </is>
      </c>
      <c r="B40" t="n">
        <v>0.5427999999999999</v>
      </c>
      <c r="C40" s="2" t="inlineStr">
        <is>
          <t>Masse</t>
        </is>
      </c>
      <c r="D40" t="n">
        <v>0.5427999999999999</v>
      </c>
      <c r="E40" t="n">
        <v>9.835000000000001</v>
      </c>
    </row>
    <row r="41">
      <c r="A41" s="23" t="inlineStr">
        <is>
          <t xml:space="preserve">RE BAY </t>
        </is>
      </c>
    </row>
    <row r="42">
      <c r="A42" t="inlineStr">
        <is>
          <t>l_rebay</t>
        </is>
      </c>
      <c r="B42" t="n">
        <v>0.781</v>
      </c>
      <c r="C42" s="2" t="inlineStr">
        <is>
          <t>Longeur</t>
        </is>
      </c>
    </row>
    <row r="43">
      <c r="A43" t="inlineStr">
        <is>
          <t>m_rebay</t>
        </is>
      </c>
      <c r="B43" t="n">
        <v>0.2054</v>
      </c>
      <c r="C43" s="2" t="inlineStr">
        <is>
          <t xml:space="preserve">Masse  </t>
        </is>
      </c>
      <c r="D43" t="n">
        <v>0.2054</v>
      </c>
      <c r="E43" t="n">
        <v>10.311</v>
      </c>
    </row>
    <row r="44">
      <c r="A44" t="inlineStr">
        <is>
          <t>drag_coeff_para_reefed</t>
        </is>
      </c>
      <c r="B44" t="n">
        <v>1.6</v>
      </c>
      <c r="C44" s="2" t="inlineStr">
        <is>
          <t>Coefficient de trainée reefed</t>
        </is>
      </c>
    </row>
    <row r="45">
      <c r="A45" t="inlineStr">
        <is>
          <t>drag_coeff_para_unreefed</t>
        </is>
      </c>
      <c r="B45" t="n">
        <v>14.06</v>
      </c>
      <c r="C45" s="2" t="inlineStr">
        <is>
          <t>Coefficient de trainée unreefed</t>
        </is>
      </c>
    </row>
    <row r="46">
      <c r="A46" t="inlineStr">
        <is>
          <t>trig_alt_para</t>
        </is>
      </c>
      <c r="B46" t="n">
        <v>400</v>
      </c>
      <c r="C46" s="2" t="inlineStr">
        <is>
          <t xml:space="preserve">Altitude trigger </t>
        </is>
      </c>
    </row>
    <row r="47">
      <c r="A47" s="23" t="inlineStr">
        <is>
          <t>NOSE CONE</t>
        </is>
      </c>
    </row>
    <row r="48">
      <c r="A48" t="inlineStr">
        <is>
          <t xml:space="preserve">l_nosecone </t>
        </is>
      </c>
      <c r="B48" t="n">
        <v>1.022</v>
      </c>
      <c r="C48" s="2" t="inlineStr">
        <is>
          <t xml:space="preserve">Longeur </t>
        </is>
      </c>
    </row>
    <row r="49">
      <c r="A49" t="inlineStr">
        <is>
          <t>m_nosecone</t>
        </is>
      </c>
      <c r="B49" t="n">
        <v>3.683</v>
      </c>
      <c r="C49" s="2" t="inlineStr">
        <is>
          <t xml:space="preserve">Masse </t>
        </is>
      </c>
      <c r="D49" t="n">
        <v>3.683</v>
      </c>
      <c r="E49" t="n">
        <v>5.612</v>
      </c>
    </row>
    <row r="50">
      <c r="A50" s="23" t="inlineStr">
        <is>
          <t xml:space="preserve">TANK </t>
        </is>
      </c>
    </row>
    <row r="51">
      <c r="A51" t="inlineStr">
        <is>
          <t>r_int</t>
        </is>
      </c>
      <c r="B51" t="n">
        <v>0.115</v>
      </c>
      <c r="C51" s="2" t="inlineStr">
        <is>
          <t xml:space="preserve">Rayon intérieur </t>
        </is>
      </c>
    </row>
    <row r="52">
      <c r="A52" t="inlineStr">
        <is>
          <t>tank_spherical_caps</t>
        </is>
      </c>
      <c r="B52" t="b">
        <v>0</v>
      </c>
      <c r="C52" s="2" t="inlineStr">
        <is>
          <t xml:space="preserve">Hauteur </t>
        </is>
      </c>
    </row>
    <row r="53">
      <c r="A53" t="inlineStr">
        <is>
          <t>tank_volume</t>
        </is>
      </c>
      <c r="B53" t="n">
        <v>0.016</v>
      </c>
      <c r="C53" s="2" t="inlineStr">
        <is>
          <t xml:space="preserve">Hauteur des bulkead ellipse </t>
        </is>
      </c>
    </row>
    <row r="54">
      <c r="A54" s="23" t="inlineStr">
        <is>
          <t>COPV</t>
        </is>
      </c>
    </row>
    <row r="55">
      <c r="A55" t="inlineStr">
        <is>
          <t>r_int_copv</t>
        </is>
      </c>
      <c r="B55" t="n">
        <v>0.0858</v>
      </c>
      <c r="C55" s="2" t="inlineStr">
        <is>
          <t xml:space="preserve">Rayon intérieur </t>
        </is>
      </c>
    </row>
    <row r="56">
      <c r="A56" t="inlineStr">
        <is>
          <t>copv_spherical_caps</t>
        </is>
      </c>
      <c r="B56" t="b">
        <v>1</v>
      </c>
    </row>
    <row r="57">
      <c r="A57" t="inlineStr">
        <is>
          <t>copv_volume</t>
        </is>
      </c>
      <c r="B57" t="n">
        <v>0.008999999999999999</v>
      </c>
      <c r="C57" s="2" t="inlineStr">
        <is>
          <t>Volume</t>
        </is>
      </c>
    </row>
    <row r="58">
      <c r="A58" s="23" t="inlineStr">
        <is>
          <t>FINS</t>
        </is>
      </c>
    </row>
    <row r="59">
      <c r="A59" t="inlineStr">
        <is>
          <t xml:space="preserve">n_fins </t>
        </is>
      </c>
      <c r="B59" t="n">
        <v>4</v>
      </c>
      <c r="C59" s="2" t="inlineStr">
        <is>
          <t>Nombre</t>
        </is>
      </c>
      <c r="E59">
        <f>B59*(4.857*B60*((B61+B62)/2))</f>
        <v/>
      </c>
      <c r="F59" t="inlineStr">
        <is>
          <t>kg</t>
        </is>
      </c>
    </row>
    <row r="60">
      <c r="A60" t="inlineStr">
        <is>
          <t xml:space="preserve">env_fins </t>
        </is>
      </c>
      <c r="B60" t="n">
        <v>0.28</v>
      </c>
      <c r="C60" s="2" t="inlineStr">
        <is>
          <t>Envergure</t>
        </is>
      </c>
    </row>
    <row r="61">
      <c r="A61" t="inlineStr">
        <is>
          <t>rc_fins</t>
        </is>
      </c>
      <c r="B61" t="n">
        <v>0.64</v>
      </c>
      <c r="C61" s="2" t="inlineStr">
        <is>
          <t xml:space="preserve">Root chord </t>
        </is>
      </c>
    </row>
    <row r="62">
      <c r="A62" t="inlineStr">
        <is>
          <t>tc_fins</t>
        </is>
      </c>
      <c r="B62" t="n">
        <v>0.16</v>
      </c>
      <c r="C62" s="2" t="inlineStr">
        <is>
          <t xml:space="preserve">Tip chord </t>
        </is>
      </c>
    </row>
    <row r="63" ht="15" customHeight="1" s="22">
      <c r="A63" t="inlineStr">
        <is>
          <t xml:space="preserve">pos_fins </t>
        </is>
      </c>
      <c r="B63" t="n">
        <v>1.13</v>
      </c>
      <c r="C63" s="2" t="inlineStr">
        <is>
          <t xml:space="preserve">Position </t>
        </is>
      </c>
      <c r="E63">
        <f>(B63-B61)*1000</f>
        <v/>
      </c>
      <c r="F63" t="inlineStr">
        <is>
          <t>mm</t>
        </is>
      </c>
    </row>
    <row r="64">
      <c r="A64" t="inlineStr">
        <is>
          <t>cangle_fins</t>
        </is>
      </c>
      <c r="B64" t="n">
        <v>0</v>
      </c>
      <c r="C64" s="2" t="inlineStr">
        <is>
          <t xml:space="preserve">Cant angle </t>
        </is>
      </c>
    </row>
    <row r="65">
      <c r="A65" t="inlineStr">
        <is>
          <t>sweep_l_fins</t>
        </is>
      </c>
      <c r="B65" t="n">
        <v>0.35</v>
      </c>
      <c r="C65" s="2" t="inlineStr">
        <is>
          <t xml:space="preserve">Sweep length </t>
        </is>
      </c>
    </row>
    <row r="66">
      <c r="A66" t="inlineStr">
        <is>
          <t>m_fins</t>
        </is>
      </c>
      <c r="B66" t="n">
        <v>2.175936000000001</v>
      </c>
      <c r="C66" s="2" t="inlineStr">
        <is>
          <t>Update manually each save</t>
        </is>
      </c>
    </row>
    <row r="67">
      <c r="A67" s="23" t="inlineStr">
        <is>
          <t>RAIL BUTTON</t>
        </is>
      </c>
    </row>
    <row r="68">
      <c r="A68" t="inlineStr">
        <is>
          <t>pos_sup_rb</t>
        </is>
      </c>
      <c r="B68" t="n">
        <v>0.4628</v>
      </c>
      <c r="C68" s="2" t="inlineStr">
        <is>
          <t>Position supérieure</t>
        </is>
      </c>
    </row>
    <row r="69">
      <c r="A69" t="inlineStr">
        <is>
          <t>pos_inf_rb</t>
        </is>
      </c>
      <c r="B69" t="n">
        <v>0.46279</v>
      </c>
      <c r="C69" s="2" t="inlineStr">
        <is>
          <t xml:space="preserve">Position inférieure </t>
        </is>
      </c>
    </row>
    <row r="73">
      <c r="C73" s="2" t="n"/>
    </row>
    <row r="74">
      <c r="C74" s="2" t="n"/>
    </row>
  </sheetData>
  <mergeCells count="15">
    <mergeCell ref="A41:C41"/>
    <mergeCell ref="A47:C47"/>
    <mergeCell ref="A14:C14"/>
    <mergeCell ref="A8:C8"/>
    <mergeCell ref="A58:C58"/>
    <mergeCell ref="A17:C17"/>
    <mergeCell ref="A67:C67"/>
    <mergeCell ref="A54:C54"/>
    <mergeCell ref="A21:C21"/>
    <mergeCell ref="A30:C30"/>
    <mergeCell ref="A34:C34"/>
    <mergeCell ref="A50:C50"/>
    <mergeCell ref="A26:C26"/>
    <mergeCell ref="A38:C38"/>
    <mergeCell ref="A2:C2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topLeftCell="A18" zoomScale="116" workbookViewId="0">
      <selection activeCell="B37" sqref="B37"/>
    </sheetView>
  </sheetViews>
  <sheetFormatPr baseColWidth="8" defaultColWidth="8.796875" defaultRowHeight="14.25"/>
  <cols>
    <col width="32" customWidth="1" style="22" min="1" max="1"/>
    <col width="16" customWidth="1" style="22" min="2" max="2"/>
    <col width="55" customWidth="1" style="22" min="3" max="3"/>
  </cols>
  <sheetData>
    <row r="1" ht="22.05" customHeight="1" s="22">
      <c r="A1" s="3" t="inlineStr">
        <is>
          <t>Name</t>
        </is>
      </c>
      <c r="B1" s="3" t="inlineStr">
        <is>
          <t>Value</t>
        </is>
      </c>
      <c r="C1" s="3" t="inlineStr">
        <is>
          <t>Description</t>
        </is>
      </c>
    </row>
    <row r="2">
      <c r="A2" s="19" t="inlineStr">
        <is>
          <t>PARAMÈTRES</t>
        </is>
      </c>
      <c r="B2" s="20" t="n"/>
      <c r="C2" s="20" t="n"/>
    </row>
    <row r="3">
      <c r="A3" t="inlineStr">
        <is>
          <t>of_ratio</t>
        </is>
      </c>
      <c r="B3" s="7" t="n">
        <v>1.5</v>
      </c>
    </row>
    <row r="4">
      <c r="A4" t="inlineStr">
        <is>
          <t>isp</t>
        </is>
      </c>
      <c r="B4" s="8" t="n">
        <v>200</v>
      </c>
    </row>
    <row r="5">
      <c r="A5" t="inlineStr">
        <is>
          <t>thrust</t>
        </is>
      </c>
      <c r="B5" s="8" t="n">
        <v>7000</v>
      </c>
      <c r="C5" s="2" t="n"/>
    </row>
    <row r="6">
      <c r="A6" t="inlineStr">
        <is>
          <t>total_impulse</t>
        </is>
      </c>
      <c r="B6" s="8" t="n">
        <v>37000</v>
      </c>
      <c r="C6" s="2" t="n"/>
    </row>
    <row r="7">
      <c r="A7" s="19" t="inlineStr">
        <is>
          <t>MASS FLOW RATE</t>
        </is>
      </c>
      <c r="B7" s="20" t="n"/>
      <c r="C7" s="20" t="n"/>
    </row>
    <row r="8">
      <c r="A8" t="inlineStr">
        <is>
          <t>lox_boil_off</t>
        </is>
      </c>
      <c r="B8" s="6" t="n">
        <v>0.001</v>
      </c>
    </row>
    <row r="9">
      <c r="A9" t="inlineStr">
        <is>
          <t xml:space="preserve">lox_prechill </t>
        </is>
      </c>
      <c r="B9" s="16" t="n">
        <v>3.634769409</v>
      </c>
    </row>
    <row r="10">
      <c r="A10" t="inlineStr">
        <is>
          <t>lox_ignition</t>
        </is>
      </c>
      <c r="B10" s="16" t="n">
        <v>0</v>
      </c>
    </row>
    <row r="11">
      <c r="A11" t="inlineStr">
        <is>
          <t>lox_ramp_up</t>
        </is>
      </c>
      <c r="B11" s="16" t="n">
        <v>2.623168871</v>
      </c>
    </row>
    <row r="12">
      <c r="A12" t="inlineStr">
        <is>
          <t>lox_ramp_down</t>
        </is>
      </c>
      <c r="B12" s="16" t="n">
        <v>2.623168871</v>
      </c>
    </row>
    <row r="13">
      <c r="A13" t="inlineStr">
        <is>
          <t>lox_cutoff</t>
        </is>
      </c>
      <c r="B13" s="16" t="n">
        <v>0</v>
      </c>
      <c r="C13" s="16" t="n">
        <v>3.634769409</v>
      </c>
    </row>
    <row r="14">
      <c r="A14" t="inlineStr">
        <is>
          <t xml:space="preserve">eth_ignition </t>
        </is>
      </c>
      <c r="B14" s="16" t="n">
        <v>2.29321782</v>
      </c>
    </row>
    <row r="15">
      <c r="A15" t="inlineStr">
        <is>
          <t>eth_ramp_up</t>
        </is>
      </c>
      <c r="B15" s="16" t="n">
        <v>1.672500989</v>
      </c>
    </row>
    <row r="16">
      <c r="A16" t="inlineStr">
        <is>
          <t>eth_ramp_down</t>
        </is>
      </c>
      <c r="B16" s="16" t="n">
        <v>1.672500989</v>
      </c>
    </row>
    <row r="17">
      <c r="A17" t="inlineStr">
        <is>
          <t>eth_cutoff</t>
        </is>
      </c>
      <c r="B17" t="n">
        <v>2.29321782</v>
      </c>
    </row>
    <row r="18">
      <c r="A18" t="inlineStr">
        <is>
          <t>eth_frac_cooling</t>
        </is>
      </c>
      <c r="B18" t="n">
        <v>0.07539999999999999</v>
      </c>
    </row>
    <row r="19">
      <c r="A19" s="19" t="inlineStr">
        <is>
          <t>MASS</t>
        </is>
      </c>
      <c r="B19" s="20" t="n"/>
      <c r="C19" s="20" t="n"/>
    </row>
    <row r="20">
      <c r="A20" t="inlineStr">
        <is>
          <t>m_eth_unused</t>
        </is>
      </c>
      <c r="B20" t="n">
        <v>0.405</v>
      </c>
      <c r="C20" s="2" t="inlineStr">
        <is>
          <t>Eth non-consommé</t>
        </is>
      </c>
    </row>
    <row r="21">
      <c r="A21" t="inlineStr">
        <is>
          <t>m_eth_density</t>
        </is>
      </c>
      <c r="B21" t="n">
        <v>810</v>
      </c>
      <c r="C21" s="2" t="inlineStr">
        <is>
          <t xml:space="preserve">Masse volumique eth </t>
        </is>
      </c>
    </row>
    <row r="22">
      <c r="A22" t="inlineStr">
        <is>
          <t>m_lox_unused</t>
        </is>
      </c>
      <c r="B22" t="n">
        <v>0.577</v>
      </c>
      <c r="C22" s="2" t="inlineStr">
        <is>
          <t xml:space="preserve">Lox non-consommé </t>
        </is>
      </c>
    </row>
    <row r="23">
      <c r="A23" t="inlineStr">
        <is>
          <t>m_lox_density</t>
        </is>
      </c>
      <c r="B23" t="n">
        <v>1154</v>
      </c>
      <c r="C23" s="2" t="inlineStr">
        <is>
          <t>Masse volumique lox</t>
        </is>
      </c>
    </row>
    <row r="24" ht="15" customHeight="1" s="22">
      <c r="A24" t="inlineStr">
        <is>
          <t>m_n2</t>
        </is>
      </c>
      <c r="B24" t="n">
        <v>2.605</v>
      </c>
      <c r="C24" s="2" t="inlineStr">
        <is>
          <t xml:space="preserve">N2 dans un copv </t>
        </is>
      </c>
    </row>
    <row r="25">
      <c r="A25" s="19" t="inlineStr">
        <is>
          <t>TIME</t>
        </is>
      </c>
      <c r="B25" s="20" t="n"/>
      <c r="C25" s="20" t="n"/>
    </row>
    <row r="26">
      <c r="A26" t="inlineStr">
        <is>
          <t xml:space="preserve">hold_time </t>
        </is>
      </c>
      <c r="B26" t="n">
        <v>300</v>
      </c>
    </row>
    <row r="27">
      <c r="A27" t="inlineStr">
        <is>
          <t xml:space="preserve">prechill_time </t>
        </is>
      </c>
      <c r="B27" t="n">
        <v>0.2</v>
      </c>
    </row>
    <row r="28">
      <c r="A28" t="inlineStr">
        <is>
          <t>ignition_delay</t>
        </is>
      </c>
      <c r="B28" t="n">
        <v>0.13</v>
      </c>
    </row>
    <row r="29">
      <c r="A29" t="inlineStr">
        <is>
          <t xml:space="preserve">ramp_up_time </t>
        </is>
      </c>
      <c r="B29" t="n">
        <v>0.125</v>
      </c>
    </row>
    <row r="30">
      <c r="A30" t="inlineStr">
        <is>
          <t xml:space="preserve">cutoff_time </t>
        </is>
      </c>
      <c r="B30" t="n">
        <v>0.04</v>
      </c>
    </row>
    <row r="31">
      <c r="A31" t="inlineStr">
        <is>
          <t xml:space="preserve">ramp_down_time </t>
        </is>
      </c>
      <c r="B31" t="n">
        <v>0.175</v>
      </c>
    </row>
    <row r="32">
      <c r="A32" s="19" t="inlineStr">
        <is>
          <t xml:space="preserve">FORCE </t>
        </is>
      </c>
      <c r="B32" s="20" t="n"/>
      <c r="C32" s="20" t="n"/>
    </row>
    <row r="33">
      <c r="A33" t="inlineStr">
        <is>
          <t xml:space="preserve">f_shutdown </t>
        </is>
      </c>
      <c r="B33" t="n">
        <v>0</v>
      </c>
      <c r="C33" s="2" t="inlineStr">
        <is>
          <t xml:space="preserve">Force finale de la thrust curve </t>
        </is>
      </c>
    </row>
    <row r="34">
      <c r="A34" t="inlineStr">
        <is>
          <t xml:space="preserve">f_hold_down </t>
        </is>
      </c>
      <c r="B34" t="n">
        <v>4500</v>
      </c>
      <c r="C34" s="2" t="inlineStr">
        <is>
          <t xml:space="preserve">Force du hold-down </t>
        </is>
      </c>
    </row>
    <row r="35">
      <c r="A35" s="21" t="inlineStr">
        <is>
          <t>THRUST CURVE MODEL</t>
        </is>
      </c>
    </row>
    <row r="36">
      <c r="A36" t="inlineStr">
        <is>
          <t>thrust_curve_mode</t>
        </is>
      </c>
      <c r="B36" t="inlineStr">
        <is>
          <t>constant</t>
        </is>
      </c>
      <c r="C36" s="2" t="inlineStr">
        <is>
          <t>constant or peaked</t>
        </is>
      </c>
    </row>
    <row r="37">
      <c r="A37" t="inlineStr">
        <is>
          <t>derated_thrust</t>
        </is>
      </c>
      <c r="B37" t="n">
        <v>0</v>
      </c>
    </row>
  </sheetData>
  <mergeCells count="6">
    <mergeCell ref="A25:C25"/>
    <mergeCell ref="A19:C19"/>
    <mergeCell ref="A32:C32"/>
    <mergeCell ref="A35:C35"/>
    <mergeCell ref="A7:C7"/>
    <mergeCell ref="A2:C2"/>
  </mergeCell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zoomScale="98" workbookViewId="0">
      <selection activeCell="B32" sqref="B32"/>
    </sheetView>
  </sheetViews>
  <sheetFormatPr baseColWidth="8" defaultColWidth="8.796875" defaultRowHeight="14.25"/>
  <cols>
    <col width="32" customWidth="1" style="22" min="1" max="1"/>
    <col width="16" customWidth="1" style="22" min="2" max="2"/>
    <col width="55" customWidth="1" style="22" min="3" max="3"/>
  </cols>
  <sheetData>
    <row r="1" ht="22.05" customHeight="1" s="22">
      <c r="A1" s="4" t="inlineStr">
        <is>
          <t>Name</t>
        </is>
      </c>
      <c r="B1" s="4" t="inlineStr">
        <is>
          <t>Value</t>
        </is>
      </c>
      <c r="C1" s="4" t="inlineStr">
        <is>
          <t>Description</t>
        </is>
      </c>
    </row>
    <row r="2">
      <c r="A2" s="24" t="inlineStr">
        <is>
          <t xml:space="preserve">ENREGISTREMENT </t>
        </is>
      </c>
      <c r="B2" s="20" t="n"/>
      <c r="C2" s="20" t="n"/>
    </row>
    <row r="3">
      <c r="A3" t="inlineStr">
        <is>
          <t xml:space="preserve">version </t>
        </is>
      </c>
      <c r="B3" t="inlineStr">
        <is>
          <t>Fins</t>
        </is>
      </c>
      <c r="C3" s="2" t="inlineStr">
        <is>
          <t xml:space="preserve">Nom de la simulation </t>
        </is>
      </c>
    </row>
    <row r="4">
      <c r="A4" t="inlineStr">
        <is>
          <t>save_files</t>
        </is>
      </c>
      <c r="B4" t="inlineStr">
        <is>
          <t xml:space="preserve">True </t>
        </is>
      </c>
      <c r="C4" s="2" t="inlineStr">
        <is>
          <t xml:space="preserve">Crée .eng et .csv </t>
        </is>
      </c>
    </row>
    <row r="5">
      <c r="A5" t="inlineStr">
        <is>
          <t>n_points</t>
        </is>
      </c>
      <c r="B5" s="8" t="n">
        <v>1000</v>
      </c>
      <c r="C5" s="2" t="inlineStr">
        <is>
          <t xml:space="preserve">Discrétisation </t>
        </is>
      </c>
    </row>
    <row r="6">
      <c r="A6" t="inlineStr">
        <is>
          <t>write_to_file</t>
        </is>
      </c>
      <c r="B6" t="inlineStr">
        <is>
          <t xml:space="preserve">True </t>
        </is>
      </c>
      <c r="C6" s="2" t="inlineStr">
        <is>
          <t>Écrire les résultats</t>
        </is>
      </c>
    </row>
    <row r="7">
      <c r="A7" s="24" t="inlineStr">
        <is>
          <t xml:space="preserve">ENVIRONNEMENT </t>
        </is>
      </c>
      <c r="B7" s="20" t="n"/>
      <c r="C7" s="20" t="n"/>
    </row>
    <row r="8">
      <c r="A8" t="inlineStr">
        <is>
          <t>annee</t>
        </is>
      </c>
      <c r="B8" t="n">
        <v>2026</v>
      </c>
    </row>
    <row r="9">
      <c r="A9" t="inlineStr">
        <is>
          <t>mois</t>
        </is>
      </c>
      <c r="B9" t="n">
        <v>8</v>
      </c>
    </row>
    <row r="10">
      <c r="A10" t="inlineStr">
        <is>
          <t>jour</t>
        </is>
      </c>
      <c r="B10" t="n">
        <v>2</v>
      </c>
    </row>
    <row r="11">
      <c r="A11" t="inlineStr">
        <is>
          <t>heure</t>
        </is>
      </c>
      <c r="B11" t="n">
        <v>12</v>
      </c>
    </row>
    <row r="12">
      <c r="A12" t="inlineStr">
        <is>
          <t>minute</t>
        </is>
      </c>
      <c r="B12" t="n">
        <v>0</v>
      </c>
    </row>
    <row r="13">
      <c r="A13" t="inlineStr">
        <is>
          <t xml:space="preserve">latitude </t>
        </is>
      </c>
      <c r="B13" t="n">
        <v>39.3901499</v>
      </c>
      <c r="C13" s="2" t="inlineStr">
        <is>
          <t>EuRoC</t>
        </is>
      </c>
    </row>
    <row r="14">
      <c r="A14" t="inlineStr">
        <is>
          <t>longitude</t>
        </is>
      </c>
      <c r="B14" t="n">
        <v>-8.289145299999999</v>
      </c>
      <c r="C14" s="2" t="inlineStr">
        <is>
          <t>EuRoC</t>
        </is>
      </c>
    </row>
    <row r="15">
      <c r="A15" t="inlineStr">
        <is>
          <t xml:space="preserve">elevation </t>
        </is>
      </c>
      <c r="B15" t="n">
        <v>130</v>
      </c>
      <c r="C15" s="2" t="inlineStr">
        <is>
          <t xml:space="preserve">Altitude </t>
        </is>
      </c>
    </row>
    <row r="16">
      <c r="A16" s="24" t="inlineStr">
        <is>
          <t>RAIL</t>
        </is>
      </c>
      <c r="B16" s="20" t="n"/>
      <c r="C16" s="20" t="n"/>
    </row>
    <row r="17">
      <c r="A17" t="inlineStr">
        <is>
          <t>alpha_rail</t>
        </is>
      </c>
      <c r="B17" t="n">
        <v>6</v>
      </c>
      <c r="C17" s="2" t="inlineStr">
        <is>
          <t>Angle d'inclinaison p.r. à l'horizontale</t>
        </is>
      </c>
    </row>
    <row r="18">
      <c r="A18" t="inlineStr">
        <is>
          <t xml:space="preserve">beta_rail </t>
        </is>
      </c>
      <c r="B18" t="n">
        <v>6</v>
      </c>
      <c r="C18" s="2" t="inlineStr">
        <is>
          <t>Angle entre la direction de réaction et la normale au rail.</t>
        </is>
      </c>
    </row>
    <row r="19" ht="15" customHeight="1" s="22">
      <c r="A19" t="inlineStr">
        <is>
          <t>l_rail</t>
        </is>
      </c>
      <c r="B19" t="n">
        <v>11.65</v>
      </c>
      <c r="C19" s="2" t="inlineStr">
        <is>
          <t xml:space="preserve">Longeur </t>
        </is>
      </c>
    </row>
    <row r="20">
      <c r="A20" t="inlineStr">
        <is>
          <t xml:space="preserve">coeff_fr_rail </t>
        </is>
      </c>
      <c r="B20" t="n">
        <v>0.5</v>
      </c>
      <c r="C20" s="2" t="inlineStr">
        <is>
          <t xml:space="preserve">Coefficient de frottement </t>
        </is>
      </c>
    </row>
    <row r="21">
      <c r="A21" t="inlineStr">
        <is>
          <t>inclination_rail</t>
        </is>
      </c>
      <c r="B21" t="n">
        <v>84</v>
      </c>
      <c r="C21" s="2" t="inlineStr">
        <is>
          <t xml:space="preserve">Inclinaison </t>
        </is>
      </c>
    </row>
    <row r="22">
      <c r="A22" t="inlineStr">
        <is>
          <t xml:space="preserve">heading_rail </t>
        </is>
      </c>
      <c r="B22" t="n">
        <v>144</v>
      </c>
      <c r="C22" s="2" t="inlineStr">
        <is>
          <t xml:space="preserve">Orientation </t>
        </is>
      </c>
    </row>
    <row r="24">
      <c r="A24" t="inlineStr">
        <is>
          <t>SORTIES SOUHAITEES</t>
        </is>
      </c>
      <c r="C24" s="2" t="n"/>
    </row>
    <row r="25">
      <c r="A25" t="inlineStr">
        <is>
          <t>output_general</t>
        </is>
      </c>
      <c r="B25" t="b">
        <v>1</v>
      </c>
    </row>
    <row r="26">
      <c r="A26" t="inlineStr">
        <is>
          <t>output_euler_angles</t>
        </is>
      </c>
      <c r="B26" t="b">
        <v>0</v>
      </c>
    </row>
    <row r="27">
      <c r="A27" t="inlineStr">
        <is>
          <t>output_stability</t>
        </is>
      </c>
      <c r="B27" t="b">
        <v>1</v>
      </c>
    </row>
    <row r="28">
      <c r="A28" t="inlineStr">
        <is>
          <t>output_trajectory</t>
        </is>
      </c>
      <c r="B28" t="b">
        <v>0</v>
      </c>
    </row>
    <row r="29">
      <c r="A29" t="inlineStr">
        <is>
          <t>output_velocity</t>
        </is>
      </c>
      <c r="B29" t="b">
        <v>0</v>
      </c>
    </row>
    <row r="30">
      <c r="A30" t="inlineStr">
        <is>
          <t>output_acceleration</t>
        </is>
      </c>
      <c r="B30" t="b">
        <v>0</v>
      </c>
    </row>
    <row r="31">
      <c r="A31" t="inlineStr">
        <is>
          <t>output_thrust_curve</t>
        </is>
      </c>
      <c r="B31" t="b">
        <v>1</v>
      </c>
    </row>
    <row r="32">
      <c r="C32" s="2" t="n"/>
    </row>
  </sheetData>
  <mergeCells count="3">
    <mergeCell ref="A16:C16"/>
    <mergeCell ref="A7:C7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zoomScale="154" zoomScaleNormal="112" workbookViewId="0">
      <selection activeCell="A18" sqref="A18"/>
    </sheetView>
  </sheetViews>
  <sheetFormatPr baseColWidth="8" defaultColWidth="10.6640625" defaultRowHeight="14.25"/>
  <cols>
    <col width="22.1328125" customWidth="1" style="22" min="1" max="1"/>
    <col width="35.796875" customWidth="1" style="22" min="2" max="2"/>
    <col width="15" customWidth="1" style="22" min="8" max="8"/>
    <col width="14.86328125" customWidth="1" style="22" min="9" max="9"/>
    <col width="12.33203125" bestFit="1" customWidth="1" style="22" min="29" max="29"/>
  </cols>
  <sheetData>
    <row r="1">
      <c r="A1" s="7" t="n"/>
      <c r="B1" s="7" t="n"/>
    </row>
    <row r="2">
      <c r="A2" s="27" t="inlineStr">
        <is>
          <t>MASSE</t>
        </is>
      </c>
    </row>
    <row r="3">
      <c r="A3" s="28" t="inlineStr">
        <is>
          <t>Dry mass [kg]</t>
        </is>
      </c>
      <c r="B3" s="5" t="n">
        <v>98.665736</v>
      </c>
    </row>
    <row r="4">
      <c r="A4" s="28" t="inlineStr">
        <is>
          <t>Wet mass (initial) [kg]</t>
        </is>
      </c>
      <c r="B4" s="5" t="n">
        <v>126.4454514691551</v>
      </c>
    </row>
    <row r="5">
      <c r="A5" s="27" t="inlineStr">
        <is>
          <t>PERFORMANCES MOTEUR</t>
        </is>
      </c>
    </row>
    <row r="6">
      <c r="A6" s="28" t="inlineStr">
        <is>
          <t>Max thrust [N]</t>
        </is>
      </c>
      <c r="B6" s="5" t="n">
        <v>7000</v>
      </c>
    </row>
    <row r="7">
      <c r="A7" s="28" t="inlineStr">
        <is>
          <t>Total impulse [Ns]</t>
        </is>
      </c>
      <c r="B7" s="5" t="n">
        <v>37000</v>
      </c>
    </row>
    <row r="8">
      <c r="A8" s="27" t="inlineStr">
        <is>
          <t>CINÉMATIQUE &amp; TRAJECTOIRE</t>
        </is>
      </c>
    </row>
    <row r="9">
      <c r="A9" s="28" t="inlineStr">
        <is>
          <t>Apogee AGL [m]</t>
        </is>
      </c>
      <c r="B9" s="5" t="n">
        <v>3301.743950766118</v>
      </c>
    </row>
    <row r="10">
      <c r="A10" s="28" t="inlineStr">
        <is>
          <t>Apogee ASL [m]</t>
        </is>
      </c>
      <c r="B10" s="5" t="n">
        <v>3462.743950766118</v>
      </c>
    </row>
    <row r="11">
      <c r="A11" s="28" t="inlineStr">
        <is>
          <t>Max velocity [m/s]</t>
        </is>
      </c>
      <c r="B11" s="5" t="n">
        <v>259.0698803524808</v>
      </c>
    </row>
    <row r="12">
      <c r="A12" s="28" t="inlineStr">
        <is>
          <t>Max acceleration [m/s^2]</t>
        </is>
      </c>
      <c r="B12" s="5" t="n">
        <v>65.67710559042868</v>
      </c>
    </row>
    <row r="13">
      <c r="A13" s="28" t="inlineStr">
        <is>
          <t>Max Mach [-]</t>
        </is>
      </c>
      <c r="B13" s="10" t="n">
        <v>0.7566050121133737</v>
      </c>
    </row>
    <row r="14">
      <c r="A14" s="28" t="inlineStr">
        <is>
          <t>Time to apogee [s]</t>
        </is>
      </c>
      <c r="B14" s="5" t="n">
        <v>27.66545961575045</v>
      </c>
    </row>
    <row r="15">
      <c r="A15" s="28" t="inlineStr">
        <is>
          <t>Total flight time [s]</t>
        </is>
      </c>
      <c r="B15" s="5" t="n">
        <v>144.9148873326325</v>
      </c>
    </row>
    <row r="16">
      <c r="A16" s="27" t="inlineStr">
        <is>
          <t>SORTIE DE RAMPE</t>
        </is>
      </c>
    </row>
    <row r="17">
      <c r="A17" s="28" t="inlineStr">
        <is>
          <t>Rail exit velocity [m/s]</t>
        </is>
      </c>
      <c r="B17" s="5" t="n">
        <v>32.5195884499996</v>
      </c>
    </row>
    <row r="18">
      <c r="A18" s="29" t="inlineStr">
        <is>
          <t>Static margin rail exit [c]</t>
        </is>
      </c>
      <c r="B18" s="10" t="n">
        <v>3.572935904849944</v>
      </c>
    </row>
    <row r="19">
      <c r="A19" s="30" t="inlineStr">
        <is>
          <t>STABILITÉ</t>
        </is>
      </c>
    </row>
    <row r="20">
      <c r="A20" s="29" t="inlineStr">
        <is>
          <t>Static margin liftoff [c]</t>
        </is>
      </c>
      <c r="B20" s="10" t="n">
        <v>3.539959754939606</v>
      </c>
    </row>
    <row r="21" ht="14.65" customHeight="1" s="22">
      <c r="A21" s="29" t="n"/>
    </row>
    <row r="22">
      <c r="A22" s="29" t="n"/>
    </row>
    <row r="23">
      <c r="A23" s="29" t="n"/>
    </row>
    <row r="24" ht="14.65" customHeight="1" s="22" thickBot="1">
      <c r="A24" s="29" t="n"/>
    </row>
    <row r="25" ht="14.65" customHeight="1" s="22">
      <c r="A25" s="29" t="n"/>
      <c r="AC25" s="11" t="inlineStr">
        <is>
          <t>Wet Mass [g]</t>
        </is>
      </c>
    </row>
    <row r="26">
      <c r="A26" s="29" t="n"/>
      <c r="AC26" s="12" t="inlineStr">
        <is>
          <t>7kN</t>
        </is>
      </c>
    </row>
    <row r="27">
      <c r="A27" s="29" t="n"/>
      <c r="AC27" s="12" t="inlineStr">
        <is>
          <t>Estimation</t>
        </is>
      </c>
    </row>
    <row r="28" ht="16.9" customHeight="1" s="22" thickBot="1">
      <c r="A28" s="29" t="n"/>
      <c r="AC28" s="13" t="n">
        <v>122003</v>
      </c>
    </row>
    <row r="29">
      <c r="A29" s="29" t="n"/>
    </row>
    <row r="30" ht="15.75" customHeight="1" s="22">
      <c r="A30" s="29" t="n"/>
    </row>
    <row r="31">
      <c r="A31" s="29" t="n"/>
    </row>
    <row r="32">
      <c r="A32" s="29" t="n"/>
    </row>
    <row r="33">
      <c r="A33" s="29" t="n"/>
    </row>
    <row r="34">
      <c r="A34" s="29" t="n"/>
    </row>
    <row r="35" ht="14.65" customHeight="1" s="22">
      <c r="A35" s="29" t="n"/>
    </row>
    <row r="36">
      <c r="A36" s="29" t="n"/>
    </row>
    <row r="37">
      <c r="A37" s="29" t="n"/>
    </row>
    <row r="38">
      <c r="A38" s="29" t="n"/>
    </row>
    <row r="39">
      <c r="A39" s="29" t="n"/>
    </row>
    <row r="40">
      <c r="A40" s="29" t="n"/>
    </row>
    <row r="41">
      <c r="A41" s="29" t="n"/>
    </row>
  </sheetData>
  <mergeCells count="5">
    <mergeCell ref="A16:B16"/>
    <mergeCell ref="A2:B2"/>
    <mergeCell ref="A19:B19"/>
    <mergeCell ref="A5:B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2026-05-13T06:55:08Z</dcterms:created>
  <dcterms:modified xsi:type="dcterms:W3CDTF">2026-08-17T10:13:51Z</dcterms:modified>
  <cp:lastModifiedBy>Rafael Boisel</cp:lastModifiedBy>
</cp:coreProperties>
</file>