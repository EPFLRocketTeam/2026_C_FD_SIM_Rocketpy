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tructure" sheetId="1" state="visible" r:id="rId1"/>
    <sheet name="Propellant " sheetId="2" state="visible" r:id="rId2"/>
    <sheet name="Parameters " sheetId="3" state="visible" r:id="rId3"/>
    <sheet name="Simulatio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0" tint="-0.499984740745262"/>
      <sz val="11"/>
      <scheme val="minor"/>
    </font>
    <font>
      <name val="Arial"/>
      <sz val="10"/>
    </font>
    <font>
      <name val="Arial"/>
      <b val="1"/>
      <color rgb="FFFFFFFF"/>
      <sz val="11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5" borderId="2" applyAlignment="1" pivotButton="0" quotePrefix="0" xfId="0">
      <alignment horizontal="center"/>
    </xf>
    <xf numFmtId="0" fontId="0" fillId="0" borderId="2" pivotButton="0" quotePrefix="0" xfId="0"/>
    <xf numFmtId="0" fontId="2" fillId="3" borderId="0" applyAlignment="1" pivotButton="0" quotePrefix="0" xfId="0">
      <alignment horizontal="center"/>
    </xf>
    <xf numFmtId="0" fontId="0" fillId="0" borderId="0" pivotButton="0" quotePrefix="0" xfId="0"/>
    <xf numFmtId="0" fontId="2" fillId="7" borderId="2" applyAlignment="1" pivotButton="0" quotePrefix="0" xfId="0">
      <alignment horizontal="center" vertical="center"/>
    </xf>
    <xf numFmtId="0" fontId="5" fillId="8" borderId="0" pivotButton="0" quotePrefix="0" xfId="0"/>
    <xf numFmtId="0" fontId="6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zoomScale="64" zoomScaleNormal="115" workbookViewId="0">
      <pane ySplit="1" topLeftCell="A23" activePane="bottomLeft" state="frozen"/>
      <selection pane="bottomLeft" activeCell="F23" sqref="F23"/>
    </sheetView>
  </sheetViews>
  <sheetFormatPr baseColWidth="10" defaultColWidth="8.88671875" defaultRowHeight="14.4"/>
  <cols>
    <col width="32" customWidth="1" style="14" min="1" max="1"/>
    <col width="16" customWidth="1" style="14" min="2" max="2"/>
    <col width="55" customWidth="1" style="14" min="3" max="3"/>
    <col width="10.5546875" customWidth="1" style="14" min="5" max="5"/>
  </cols>
  <sheetData>
    <row r="1" ht="22.05" customHeight="1" s="14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s="13" t="inlineStr">
        <is>
          <t xml:space="preserve">ROCKET </t>
        </is>
      </c>
      <c r="E2" s="9" t="inlineStr">
        <is>
          <t>Longeur :</t>
        </is>
      </c>
      <c r="F2">
        <f>B9+B13+B16+B24+B27+B30+B33+B36+B42</f>
        <v/>
      </c>
      <c r="G2" t="inlineStr">
        <is>
          <t>[m]</t>
        </is>
      </c>
    </row>
    <row r="3">
      <c r="A3" t="inlineStr">
        <is>
          <t xml:space="preserve">m_additions </t>
        </is>
      </c>
      <c r="B3" t="n">
        <v>0</v>
      </c>
      <c r="C3" s="2" t="inlineStr">
        <is>
          <t xml:space="preserve">Masse additionelle </t>
        </is>
      </c>
      <c r="E3" s="9" t="inlineStr">
        <is>
          <t xml:space="preserve">Dry mass: </t>
        </is>
      </c>
      <c r="F3">
        <f>B10+B14+B17+B25+B28+B31+B34+B37+B43+B20</f>
        <v/>
      </c>
      <c r="G3" t="inlineStr">
        <is>
          <t>[kg]</t>
        </is>
      </c>
    </row>
    <row r="4">
      <c r="A4" t="inlineStr">
        <is>
          <t xml:space="preserve">r_rocket </t>
        </is>
      </c>
      <c r="B4" t="n">
        <v>0.1215</v>
      </c>
      <c r="C4" s="2" t="inlineStr">
        <is>
          <t xml:space="preserve">Rayon  </t>
        </is>
      </c>
    </row>
    <row r="5">
      <c r="A5" t="inlineStr">
        <is>
          <t>drag_coeff_rocket</t>
        </is>
      </c>
      <c r="B5" t="n">
        <v>0.38</v>
      </c>
      <c r="C5" s="2" t="inlineStr">
        <is>
          <t>Coefficient de trainée</t>
        </is>
      </c>
    </row>
    <row r="6">
      <c r="A6" s="13" t="inlineStr">
        <is>
          <t xml:space="preserve">BOAT TAIL </t>
        </is>
      </c>
    </row>
    <row r="7">
      <c r="A7" t="inlineStr">
        <is>
          <t>top_r_bt</t>
        </is>
      </c>
      <c r="B7" t="n">
        <v>0.1215</v>
      </c>
      <c r="C7" s="2" t="inlineStr">
        <is>
          <t xml:space="preserve">Top radius </t>
        </is>
      </c>
    </row>
    <row r="8">
      <c r="A8" t="inlineStr">
        <is>
          <t>bottom_r_bt</t>
        </is>
      </c>
      <c r="B8" t="n">
        <v>0.07000000000000001</v>
      </c>
      <c r="C8" s="2" t="inlineStr">
        <is>
          <t>Bottom radius</t>
        </is>
      </c>
    </row>
    <row r="9">
      <c r="A9" t="inlineStr">
        <is>
          <t>l_bt</t>
        </is>
      </c>
      <c r="B9" t="n">
        <v>0.41755</v>
      </c>
      <c r="C9" s="2" t="inlineStr">
        <is>
          <t xml:space="preserve">Longeur </t>
        </is>
      </c>
    </row>
    <row r="10">
      <c r="A10" t="inlineStr">
        <is>
          <t>m_bt</t>
        </is>
      </c>
      <c r="B10" t="n">
        <v>1</v>
      </c>
      <c r="C10" s="2" t="inlineStr">
        <is>
          <t>Masse</t>
        </is>
      </c>
    </row>
    <row r="11">
      <c r="A11" t="inlineStr">
        <is>
          <t>r_nozzle</t>
        </is>
      </c>
      <c r="B11" t="n">
        <v>0.04946</v>
      </c>
      <c r="C11" s="2" t="inlineStr">
        <is>
          <t xml:space="preserve">Rayon du nozzle </t>
        </is>
      </c>
    </row>
    <row r="12">
      <c r="A12" s="13" t="inlineStr">
        <is>
          <t>ENGINE BAY</t>
        </is>
      </c>
    </row>
    <row r="13">
      <c r="A13" t="inlineStr">
        <is>
          <t>l_ebay</t>
        </is>
      </c>
      <c r="B13" t="n">
        <v>0.756</v>
      </c>
      <c r="C13" s="2" t="inlineStr">
        <is>
          <t xml:space="preserve">Longeur </t>
        </is>
      </c>
    </row>
    <row r="14">
      <c r="A14" t="inlineStr">
        <is>
          <t>m_ebay</t>
        </is>
      </c>
      <c r="B14" t="n">
        <v>26.476</v>
      </c>
      <c r="C14" s="2" t="inlineStr">
        <is>
          <t>Masse</t>
        </is>
      </c>
    </row>
    <row r="15">
      <c r="A15" s="13" t="inlineStr">
        <is>
          <t>LOX BAY</t>
        </is>
      </c>
    </row>
    <row r="16">
      <c r="A16" t="inlineStr">
        <is>
          <t>l_lox</t>
        </is>
      </c>
      <c r="B16" t="n">
        <v>0.388</v>
      </c>
      <c r="C16" s="2" t="inlineStr">
        <is>
          <t>Longeur</t>
        </is>
      </c>
    </row>
    <row r="17">
      <c r="A17" t="inlineStr">
        <is>
          <t>m_lox</t>
        </is>
      </c>
      <c r="B17" t="n">
        <v>8.387</v>
      </c>
      <c r="C17" s="2" t="inlineStr">
        <is>
          <t>Masse</t>
        </is>
      </c>
    </row>
    <row r="18">
      <c r="A18" s="13" t="inlineStr">
        <is>
          <t xml:space="preserve">AEROCOVER </t>
        </is>
      </c>
    </row>
    <row r="19">
      <c r="A19" t="inlineStr">
        <is>
          <t xml:space="preserve">pos_aerocover </t>
        </is>
      </c>
      <c r="B19" t="n">
        <v>0.55</v>
      </c>
      <c r="C19" s="2" t="inlineStr">
        <is>
          <t>Position</t>
        </is>
      </c>
    </row>
    <row r="20">
      <c r="A20" t="inlineStr">
        <is>
          <t xml:space="preserve">m_aerocover </t>
        </is>
      </c>
      <c r="B20" s="5" t="n">
        <v>2.41</v>
      </c>
      <c r="C20" s="2" t="inlineStr">
        <is>
          <t>Masse</t>
        </is>
      </c>
    </row>
    <row r="21">
      <c r="A21" t="inlineStr">
        <is>
          <t>l_aerocover</t>
        </is>
      </c>
      <c r="B21" t="n">
        <v>1.6558</v>
      </c>
      <c r="C21" s="2" t="inlineStr">
        <is>
          <t>Longeur</t>
        </is>
      </c>
    </row>
    <row r="22">
      <c r="A22" t="inlineStr">
        <is>
          <t xml:space="preserve">r_aerocover </t>
        </is>
      </c>
      <c r="B22" t="n">
        <v>0.03</v>
      </c>
      <c r="C22" s="2" t="inlineStr">
        <is>
          <t xml:space="preserve">Rayon </t>
        </is>
      </c>
    </row>
    <row r="23">
      <c r="A23" s="13" t="inlineStr">
        <is>
          <t>PBAY 1</t>
        </is>
      </c>
    </row>
    <row r="24">
      <c r="A24" t="inlineStr">
        <is>
          <t>l_pbay1</t>
        </is>
      </c>
      <c r="B24" t="n">
        <v>0.9</v>
      </c>
      <c r="C24" s="2" t="inlineStr">
        <is>
          <t>Longeur</t>
        </is>
      </c>
    </row>
    <row r="25">
      <c r="A25" t="inlineStr">
        <is>
          <t>m_pbay1</t>
        </is>
      </c>
      <c r="B25" t="n">
        <v>11.049</v>
      </c>
      <c r="C25" s="2" t="inlineStr">
        <is>
          <t>Masse</t>
        </is>
      </c>
    </row>
    <row r="26">
      <c r="A26" s="13" t="inlineStr">
        <is>
          <t>ETH BAY</t>
        </is>
      </c>
    </row>
    <row r="27">
      <c r="A27" t="inlineStr">
        <is>
          <t>l_eth</t>
        </is>
      </c>
      <c r="B27" t="n">
        <v>0.388</v>
      </c>
      <c r="C27" s="2" t="inlineStr">
        <is>
          <t>Longeur</t>
        </is>
      </c>
    </row>
    <row r="28">
      <c r="A28" t="inlineStr">
        <is>
          <t>m_eth</t>
        </is>
      </c>
      <c r="B28" t="n">
        <v>8.387</v>
      </c>
      <c r="C28" s="2" t="inlineStr">
        <is>
          <t>Masse</t>
        </is>
      </c>
    </row>
    <row r="29">
      <c r="A29" s="13" t="inlineStr">
        <is>
          <t>PBAY 2</t>
        </is>
      </c>
    </row>
    <row r="30">
      <c r="A30" t="inlineStr">
        <is>
          <t>l_pbay2</t>
        </is>
      </c>
      <c r="B30" t="n">
        <v>0.9</v>
      </c>
      <c r="C30" s="2" t="inlineStr">
        <is>
          <t>Longeur</t>
        </is>
      </c>
    </row>
    <row r="31">
      <c r="A31" t="inlineStr">
        <is>
          <t>m_pbay2</t>
        </is>
      </c>
      <c r="B31" t="n">
        <v>11.03</v>
      </c>
      <c r="C31" s="2" t="inlineStr">
        <is>
          <t>Masse</t>
        </is>
      </c>
    </row>
    <row r="32">
      <c r="A32" s="13" t="inlineStr">
        <is>
          <t xml:space="preserve">AV BAY </t>
        </is>
      </c>
    </row>
    <row r="33">
      <c r="A33" t="inlineStr">
        <is>
          <t>l_avbay</t>
        </is>
      </c>
      <c r="B33" t="n">
        <v>0.35</v>
      </c>
      <c r="C33" s="2" t="inlineStr">
        <is>
          <t>Longeur</t>
        </is>
      </c>
    </row>
    <row r="34">
      <c r="A34" t="inlineStr">
        <is>
          <t>m_avbay</t>
        </is>
      </c>
      <c r="B34" t="n">
        <v>9.231999999999999</v>
      </c>
      <c r="C34" s="2" t="inlineStr">
        <is>
          <t>Masse</t>
        </is>
      </c>
    </row>
    <row r="35">
      <c r="A35" s="13" t="inlineStr">
        <is>
          <t xml:space="preserve">RE BAY </t>
        </is>
      </c>
    </row>
    <row r="36">
      <c r="A36" t="inlineStr">
        <is>
          <t>l_rebay</t>
        </is>
      </c>
      <c r="B36" t="n">
        <v>0.715</v>
      </c>
      <c r="C36" s="2" t="inlineStr">
        <is>
          <t>Longeur</t>
        </is>
      </c>
    </row>
    <row r="37">
      <c r="A37" t="inlineStr">
        <is>
          <t>m_rebay</t>
        </is>
      </c>
      <c r="B37" t="n">
        <v>11.044</v>
      </c>
      <c r="C37" s="2" t="inlineStr">
        <is>
          <t xml:space="preserve">Masse  </t>
        </is>
      </c>
    </row>
    <row r="38">
      <c r="A38" t="inlineStr">
        <is>
          <t>drag_coeff_para_reefed</t>
        </is>
      </c>
      <c r="B38" t="n">
        <v>1.6</v>
      </c>
      <c r="C38" s="2" t="inlineStr">
        <is>
          <t>Coefficient de trainée reefed</t>
        </is>
      </c>
    </row>
    <row r="39">
      <c r="A39" t="inlineStr">
        <is>
          <t>drag_coeff_para_unreefed</t>
        </is>
      </c>
      <c r="B39" t="n">
        <v>14.06</v>
      </c>
      <c r="C39" s="2" t="inlineStr">
        <is>
          <t>Coefficient de trainée unreefed</t>
        </is>
      </c>
    </row>
    <row r="40">
      <c r="A40" t="inlineStr">
        <is>
          <t>trig_alt_para</t>
        </is>
      </c>
      <c r="B40" t="n">
        <v>400</v>
      </c>
      <c r="C40" s="2" t="inlineStr">
        <is>
          <t xml:space="preserve">Altitude trigger </t>
        </is>
      </c>
    </row>
    <row r="41">
      <c r="A41" s="13" t="inlineStr">
        <is>
          <t>NOSE CONE</t>
        </is>
      </c>
    </row>
    <row r="42">
      <c r="A42" t="inlineStr">
        <is>
          <t xml:space="preserve">l_nosecone </t>
        </is>
      </c>
      <c r="B42" t="n">
        <v>1.003</v>
      </c>
      <c r="C42" s="2" t="inlineStr">
        <is>
          <t xml:space="preserve">Longeur </t>
        </is>
      </c>
    </row>
    <row r="43">
      <c r="A43" t="inlineStr">
        <is>
          <t>m_nosecone</t>
        </is>
      </c>
      <c r="B43" t="n">
        <v>5.838</v>
      </c>
      <c r="C43" s="2" t="inlineStr">
        <is>
          <t xml:space="preserve">Masse </t>
        </is>
      </c>
    </row>
    <row r="44">
      <c r="A44" s="13" t="inlineStr">
        <is>
          <t xml:space="preserve">TANK </t>
        </is>
      </c>
    </row>
    <row r="45">
      <c r="A45" t="inlineStr">
        <is>
          <t>r_int</t>
        </is>
      </c>
      <c r="B45" t="n">
        <v>0.115</v>
      </c>
      <c r="C45" s="2" t="inlineStr">
        <is>
          <t xml:space="preserve">Rayon intérieur </t>
        </is>
      </c>
    </row>
    <row r="46">
      <c r="A46" t="inlineStr">
        <is>
          <t>h_cyl</t>
        </is>
      </c>
      <c r="B46" t="n">
        <v>0.3851008075</v>
      </c>
      <c r="C46" s="2" t="inlineStr">
        <is>
          <t xml:space="preserve">Hauteur </t>
        </is>
      </c>
    </row>
    <row r="47">
      <c r="A47" t="inlineStr">
        <is>
          <t>h_cap</t>
        </is>
      </c>
      <c r="B47" t="n">
        <v>0.05</v>
      </c>
      <c r="C47" s="2" t="inlineStr">
        <is>
          <t xml:space="preserve">Hauteur des bulkead ellipse </t>
        </is>
      </c>
    </row>
    <row r="48">
      <c r="A48" s="13" t="inlineStr">
        <is>
          <t>COPV</t>
        </is>
      </c>
    </row>
    <row r="49">
      <c r="A49" t="inlineStr">
        <is>
          <t>r_int_copv</t>
        </is>
      </c>
      <c r="B49" t="n">
        <v>0.0885</v>
      </c>
      <c r="C49" s="2" t="inlineStr">
        <is>
          <t xml:space="preserve">Rayon intérieur </t>
        </is>
      </c>
    </row>
    <row r="50">
      <c r="A50" t="inlineStr">
        <is>
          <t xml:space="preserve">h_copv </t>
        </is>
      </c>
      <c r="B50" t="n">
        <v>0.57</v>
      </c>
      <c r="C50" s="2" t="inlineStr">
        <is>
          <t xml:space="preserve">Hauteur </t>
        </is>
      </c>
    </row>
    <row r="51">
      <c r="A51" s="13" t="inlineStr">
        <is>
          <t>FINS</t>
        </is>
      </c>
    </row>
    <row r="52">
      <c r="A52" t="inlineStr">
        <is>
          <t xml:space="preserve">n_fins </t>
        </is>
      </c>
      <c r="B52" t="n">
        <v>4</v>
      </c>
      <c r="C52" s="2" t="inlineStr">
        <is>
          <t>Nombre</t>
        </is>
      </c>
    </row>
    <row r="53">
      <c r="A53" t="inlineStr">
        <is>
          <t xml:space="preserve">env_fins </t>
        </is>
      </c>
      <c r="B53" t="n">
        <v>0.3</v>
      </c>
      <c r="C53" s="2" t="inlineStr">
        <is>
          <t>Envergure</t>
        </is>
      </c>
    </row>
    <row r="54">
      <c r="A54" t="inlineStr">
        <is>
          <t>rc_fins</t>
        </is>
      </c>
      <c r="B54" t="n">
        <v>0.671</v>
      </c>
      <c r="C54" s="2" t="inlineStr">
        <is>
          <t xml:space="preserve">Root chord </t>
        </is>
      </c>
    </row>
    <row r="55">
      <c r="A55" t="inlineStr">
        <is>
          <t>tc_fins</t>
        </is>
      </c>
      <c r="B55" t="n">
        <v>0.161</v>
      </c>
      <c r="C55" s="2" t="inlineStr">
        <is>
          <t xml:space="preserve">Tip chord </t>
        </is>
      </c>
    </row>
    <row r="56">
      <c r="A56" t="inlineStr">
        <is>
          <t xml:space="preserve">pos_fins </t>
        </is>
      </c>
      <c r="B56" t="n">
        <v>1.1315</v>
      </c>
      <c r="C56" s="2" t="inlineStr">
        <is>
          <t xml:space="preserve">Position </t>
        </is>
      </c>
    </row>
    <row r="57" ht="15" customHeight="1" s="14">
      <c r="A57" t="inlineStr">
        <is>
          <t>cangle_fins</t>
        </is>
      </c>
      <c r="B57" t="n">
        <v>0</v>
      </c>
      <c r="C57" s="2" t="inlineStr">
        <is>
          <t xml:space="preserve">Cant angle </t>
        </is>
      </c>
    </row>
    <row r="58">
      <c r="A58" t="inlineStr">
        <is>
          <t>sweep_l_fins</t>
        </is>
      </c>
      <c r="B58" t="n">
        <v>0.539</v>
      </c>
      <c r="C58" s="2" t="inlineStr">
        <is>
          <t xml:space="preserve">Sweep length </t>
        </is>
      </c>
    </row>
    <row r="59">
      <c r="A59" s="13" t="inlineStr">
        <is>
          <t>RAIL BUTTON</t>
        </is>
      </c>
    </row>
    <row r="60">
      <c r="A60" t="inlineStr">
        <is>
          <t>pos_sup_rb</t>
        </is>
      </c>
      <c r="B60" t="n">
        <v>0.4628</v>
      </c>
      <c r="C60" s="2" t="inlineStr">
        <is>
          <t>Position supérieure</t>
        </is>
      </c>
    </row>
    <row r="61">
      <c r="A61" t="inlineStr">
        <is>
          <t>pos_inf_rb</t>
        </is>
      </c>
      <c r="B61" t="n">
        <v>0.46279</v>
      </c>
      <c r="C61" s="2" t="inlineStr">
        <is>
          <t xml:space="preserve">Position inférieure </t>
        </is>
      </c>
    </row>
    <row r="66">
      <c r="C66" s="2" t="n"/>
    </row>
    <row r="67">
      <c r="C67" s="2" t="n"/>
    </row>
  </sheetData>
  <mergeCells count="15">
    <mergeCell ref="A41:C41"/>
    <mergeCell ref="A44:C44"/>
    <mergeCell ref="A23:C23"/>
    <mergeCell ref="A32:C32"/>
    <mergeCell ref="A51:C51"/>
    <mergeCell ref="A6:C6"/>
    <mergeCell ref="A18:C18"/>
    <mergeCell ref="A35:C35"/>
    <mergeCell ref="A12:C12"/>
    <mergeCell ref="A59:C59"/>
    <mergeCell ref="A48:C48"/>
    <mergeCell ref="A26:C26"/>
    <mergeCell ref="A2:C2"/>
    <mergeCell ref="A29:C29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tabSelected="1" zoomScale="95" workbookViewId="0">
      <selection activeCell="G13" sqref="G13"/>
    </sheetView>
  </sheetViews>
  <sheetFormatPr baseColWidth="10" defaultColWidth="8.88671875" defaultRowHeight="14.4"/>
  <cols>
    <col width="32" customWidth="1" style="14" min="1" max="1"/>
    <col width="16" customWidth="1" style="14" min="2" max="2"/>
    <col width="55" customWidth="1" style="14" min="3" max="3"/>
  </cols>
  <sheetData>
    <row r="1" ht="22.05" customHeight="1" s="14">
      <c r="A1" s="3" t="inlineStr">
        <is>
          <t>Name</t>
        </is>
      </c>
      <c r="B1" s="3" t="inlineStr">
        <is>
          <t>Value</t>
        </is>
      </c>
      <c r="C1" s="3" t="inlineStr">
        <is>
          <t>Description</t>
        </is>
      </c>
    </row>
    <row r="2">
      <c r="A2" s="11" t="inlineStr">
        <is>
          <t>PARAMÈTRES</t>
        </is>
      </c>
      <c r="B2" s="12" t="n"/>
      <c r="C2" s="12" t="n"/>
    </row>
    <row r="3">
      <c r="A3" t="inlineStr">
        <is>
          <t>of_ratio</t>
        </is>
      </c>
      <c r="B3" s="7" t="n">
        <v>1.5</v>
      </c>
    </row>
    <row r="4">
      <c r="A4" t="inlineStr">
        <is>
          <t>isp</t>
        </is>
      </c>
      <c r="B4" s="8" t="n">
        <v>160</v>
      </c>
    </row>
    <row r="5">
      <c r="A5" t="inlineStr">
        <is>
          <t>thrust</t>
        </is>
      </c>
      <c r="B5" s="8" t="n">
        <v>6500</v>
      </c>
      <c r="C5" s="2" t="n"/>
    </row>
    <row r="6">
      <c r="A6" t="inlineStr">
        <is>
          <t>total_impulse</t>
        </is>
      </c>
      <c r="B6" s="8" t="n">
        <v>40500</v>
      </c>
      <c r="C6" s="2" t="n"/>
    </row>
    <row r="7">
      <c r="A7" s="11" t="inlineStr">
        <is>
          <t>MASS FLOW RATE</t>
        </is>
      </c>
      <c r="B7" s="12" t="n"/>
      <c r="C7" s="12" t="n"/>
    </row>
    <row r="8">
      <c r="A8" t="inlineStr">
        <is>
          <t>lox_boil_off</t>
        </is>
      </c>
      <c r="B8" s="6" t="n">
        <v>0.001</v>
      </c>
    </row>
    <row r="9">
      <c r="A9" t="inlineStr">
        <is>
          <t xml:space="preserve">lox_ignition </t>
        </is>
      </c>
      <c r="B9" s="6" t="n">
        <v>4.362</v>
      </c>
    </row>
    <row r="10">
      <c r="A10" t="inlineStr">
        <is>
          <t xml:space="preserve">lox_prechill </t>
        </is>
      </c>
      <c r="B10" s="6" t="n">
        <v>4.362</v>
      </c>
    </row>
    <row r="11">
      <c r="A11" t="inlineStr">
        <is>
          <t xml:space="preserve">eth_ignition </t>
        </is>
      </c>
      <c r="B11" s="6" t="n">
        <v>0</v>
      </c>
    </row>
    <row r="12">
      <c r="A12" t="inlineStr">
        <is>
          <t>eth_frac_cooling</t>
        </is>
      </c>
      <c r="B12" t="n">
        <v>0.075</v>
      </c>
    </row>
    <row r="13">
      <c r="A13" s="11" t="inlineStr">
        <is>
          <t>MASS</t>
        </is>
      </c>
      <c r="B13" s="12" t="n"/>
      <c r="C13" s="12" t="n"/>
    </row>
    <row r="14">
      <c r="A14" t="inlineStr">
        <is>
          <t>m_eth_delay</t>
        </is>
      </c>
      <c r="B14" s="6" t="n">
        <v>0</v>
      </c>
      <c r="C14" s="2" t="n"/>
    </row>
    <row r="15">
      <c r="A15" t="inlineStr">
        <is>
          <t>m_eth_unused</t>
        </is>
      </c>
      <c r="B15" t="n">
        <v>0.405</v>
      </c>
      <c r="C15" s="2" t="inlineStr">
        <is>
          <t>Eth non-consommé</t>
        </is>
      </c>
    </row>
    <row r="16">
      <c r="A16" t="inlineStr">
        <is>
          <t>m_eth_density</t>
        </is>
      </c>
      <c r="B16" t="n">
        <v>810</v>
      </c>
      <c r="C16" s="2" t="inlineStr">
        <is>
          <t xml:space="preserve">Masse volumique eth </t>
        </is>
      </c>
    </row>
    <row r="17">
      <c r="A17" t="inlineStr">
        <is>
          <t>m_lox_unused</t>
        </is>
      </c>
      <c r="B17" t="n">
        <v>0.577</v>
      </c>
      <c r="C17" s="2" t="inlineStr">
        <is>
          <t xml:space="preserve">Lox non-consommé </t>
        </is>
      </c>
    </row>
    <row r="18">
      <c r="A18" t="inlineStr">
        <is>
          <t>m_lox_density</t>
        </is>
      </c>
      <c r="B18" t="n">
        <v>1154</v>
      </c>
      <c r="C18" s="2" t="inlineStr">
        <is>
          <t>Masse volumique lox</t>
        </is>
      </c>
    </row>
    <row r="19" ht="15" customHeight="1" s="14">
      <c r="A19" t="inlineStr">
        <is>
          <t>m_n2</t>
        </is>
      </c>
      <c r="B19" t="n">
        <v>2.605</v>
      </c>
      <c r="C19" s="2" t="inlineStr">
        <is>
          <t xml:space="preserve">N2 dans un copv </t>
        </is>
      </c>
    </row>
    <row r="20">
      <c r="A20" s="11" t="inlineStr">
        <is>
          <t>TIME</t>
        </is>
      </c>
      <c r="B20" s="12" t="n"/>
      <c r="C20" s="12" t="n"/>
    </row>
    <row r="21">
      <c r="A21" t="inlineStr">
        <is>
          <t xml:space="preserve">hold_time </t>
        </is>
      </c>
      <c r="B21" t="n">
        <v>300</v>
      </c>
    </row>
    <row r="22">
      <c r="A22" t="inlineStr">
        <is>
          <t xml:space="preserve">prechill_time </t>
        </is>
      </c>
      <c r="B22" t="n">
        <v>0.2</v>
      </c>
    </row>
    <row r="23">
      <c r="A23" t="inlineStr">
        <is>
          <t>ignition_delay</t>
        </is>
      </c>
      <c r="B23" t="n">
        <v>-0.05</v>
      </c>
    </row>
    <row r="24">
      <c r="A24" t="inlineStr">
        <is>
          <t xml:space="preserve">ramp_up_time </t>
        </is>
      </c>
      <c r="B24" t="n">
        <v>0.4</v>
      </c>
    </row>
    <row r="25">
      <c r="A25" t="inlineStr">
        <is>
          <t xml:space="preserve">cutoff_time </t>
        </is>
      </c>
      <c r="B25" t="n">
        <v>0.025</v>
      </c>
    </row>
    <row r="26">
      <c r="A26" t="inlineStr">
        <is>
          <t xml:space="preserve">ramp_down_time </t>
        </is>
      </c>
      <c r="B26" t="n">
        <v>0.2</v>
      </c>
    </row>
    <row r="27">
      <c r="A27" s="11" t="inlineStr">
        <is>
          <t xml:space="preserve">FORCE </t>
        </is>
      </c>
      <c r="B27" s="12" t="n"/>
      <c r="C27" s="12" t="n"/>
    </row>
    <row r="28">
      <c r="A28" t="inlineStr">
        <is>
          <t xml:space="preserve">f_shutdown </t>
        </is>
      </c>
      <c r="B28" t="n">
        <v>0</v>
      </c>
      <c r="C28" s="2" t="inlineStr">
        <is>
          <t xml:space="preserve">Force finale de la thrust curve </t>
        </is>
      </c>
    </row>
    <row r="29">
      <c r="A29" t="inlineStr">
        <is>
          <t xml:space="preserve">f_hold_down </t>
        </is>
      </c>
      <c r="B29" t="n">
        <v>3300</v>
      </c>
      <c r="C29" s="2" t="inlineStr">
        <is>
          <t xml:space="preserve">Force du hold-down </t>
        </is>
      </c>
    </row>
  </sheetData>
  <mergeCells count="5">
    <mergeCell ref="A13:C13"/>
    <mergeCell ref="A27:C27"/>
    <mergeCell ref="A7:C7"/>
    <mergeCell ref="A20:C20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zoomScale="77" workbookViewId="0">
      <selection activeCell="B11" sqref="B11"/>
    </sheetView>
  </sheetViews>
  <sheetFormatPr baseColWidth="10" defaultColWidth="8.88671875" defaultRowHeight="14.4"/>
  <cols>
    <col width="32" customWidth="1" style="14" min="1" max="1"/>
    <col width="16" customWidth="1" style="14" min="2" max="2"/>
    <col width="55" customWidth="1" style="14" min="3" max="3"/>
  </cols>
  <sheetData>
    <row r="1" ht="22.05" customHeight="1" s="14">
      <c r="A1" s="4" t="inlineStr">
        <is>
          <t>Name</t>
        </is>
      </c>
      <c r="B1" s="4" t="inlineStr">
        <is>
          <t>Value</t>
        </is>
      </c>
      <c r="C1" s="4" t="inlineStr">
        <is>
          <t>Description</t>
        </is>
      </c>
    </row>
    <row r="2">
      <c r="A2" s="15" t="inlineStr">
        <is>
          <t xml:space="preserve">ENREGISTREMENT </t>
        </is>
      </c>
      <c r="B2" s="12" t="n"/>
      <c r="C2" s="12" t="n"/>
    </row>
    <row r="3">
      <c r="A3" t="inlineStr">
        <is>
          <t xml:space="preserve">version </t>
        </is>
      </c>
      <c r="B3" t="inlineStr">
        <is>
          <t>TEMPLATE</t>
        </is>
      </c>
      <c r="C3" s="2" t="inlineStr">
        <is>
          <t xml:space="preserve">Nom de la simulation </t>
        </is>
      </c>
    </row>
    <row r="4">
      <c r="A4" t="inlineStr">
        <is>
          <t>save_files</t>
        </is>
      </c>
      <c r="B4" t="inlineStr">
        <is>
          <t xml:space="preserve">True </t>
        </is>
      </c>
      <c r="C4" s="2" t="inlineStr">
        <is>
          <t xml:space="preserve">Crée .eng et .csv </t>
        </is>
      </c>
    </row>
    <row r="5">
      <c r="A5" t="inlineStr">
        <is>
          <t>n_points</t>
        </is>
      </c>
      <c r="B5" s="8" t="n">
        <v>1000</v>
      </c>
      <c r="C5" s="2" t="inlineStr">
        <is>
          <t xml:space="preserve">Discrétisation </t>
        </is>
      </c>
    </row>
    <row r="6">
      <c r="A6" t="inlineStr">
        <is>
          <t>write_to_file</t>
        </is>
      </c>
      <c r="B6" t="inlineStr">
        <is>
          <t>False</t>
        </is>
      </c>
      <c r="C6" s="2" t="inlineStr">
        <is>
          <t>Écrire les résultats</t>
        </is>
      </c>
    </row>
    <row r="7">
      <c r="A7" s="15" t="inlineStr">
        <is>
          <t xml:space="preserve">ENVIRONNEMENT </t>
        </is>
      </c>
      <c r="B7" s="12" t="n"/>
      <c r="C7" s="12" t="n"/>
    </row>
    <row r="8">
      <c r="A8" t="inlineStr">
        <is>
          <t>annee</t>
        </is>
      </c>
      <c r="B8" t="n">
        <v>2026</v>
      </c>
    </row>
    <row r="9">
      <c r="A9" t="inlineStr">
        <is>
          <t>mois</t>
        </is>
      </c>
      <c r="B9" t="n">
        <v>6</v>
      </c>
    </row>
    <row r="10">
      <c r="A10" t="inlineStr">
        <is>
          <t>jour</t>
        </is>
      </c>
      <c r="B10" t="n">
        <v>2</v>
      </c>
    </row>
    <row r="11">
      <c r="A11" t="inlineStr">
        <is>
          <t>heure</t>
        </is>
      </c>
      <c r="B11" t="n">
        <v>12</v>
      </c>
    </row>
    <row r="12">
      <c r="A12" t="inlineStr">
        <is>
          <t>minute</t>
        </is>
      </c>
      <c r="B12" t="n">
        <v>0</v>
      </c>
    </row>
    <row r="13">
      <c r="A13" t="inlineStr">
        <is>
          <t xml:space="preserve">latitude </t>
        </is>
      </c>
      <c r="B13" t="n">
        <v>39.3901499</v>
      </c>
      <c r="C13" s="2" t="inlineStr">
        <is>
          <t>EuRoC</t>
        </is>
      </c>
    </row>
    <row r="14">
      <c r="A14" t="inlineStr">
        <is>
          <t>longitude</t>
        </is>
      </c>
      <c r="B14" t="n">
        <v>-8.289145299999999</v>
      </c>
      <c r="C14" s="2" t="inlineStr">
        <is>
          <t>EuRoC</t>
        </is>
      </c>
    </row>
    <row r="15">
      <c r="A15" t="inlineStr">
        <is>
          <t xml:space="preserve">elevation </t>
        </is>
      </c>
      <c r="B15" t="n">
        <v>130</v>
      </c>
      <c r="C15" s="2" t="inlineStr">
        <is>
          <t xml:space="preserve">Altitude </t>
        </is>
      </c>
    </row>
    <row r="16">
      <c r="A16" s="15" t="inlineStr">
        <is>
          <t>RAIL</t>
        </is>
      </c>
      <c r="B16" s="12" t="n"/>
      <c r="C16" s="12" t="n"/>
    </row>
    <row r="17">
      <c r="A17" t="inlineStr">
        <is>
          <t>alpha_rail</t>
        </is>
      </c>
      <c r="B17" t="n">
        <v>6</v>
      </c>
      <c r="C17" s="2" t="inlineStr">
        <is>
          <t>Angle d'inclinaison p.r. à l'horizontale</t>
        </is>
      </c>
    </row>
    <row r="18">
      <c r="A18" t="inlineStr">
        <is>
          <t xml:space="preserve">beta_rail </t>
        </is>
      </c>
      <c r="B18" t="n">
        <v>6</v>
      </c>
      <c r="C18" s="2" t="inlineStr">
        <is>
          <t>Angle entre la direction de réaction et la normale au rail.</t>
        </is>
      </c>
    </row>
    <row r="19" ht="15" customHeight="1" s="14">
      <c r="A19" t="inlineStr">
        <is>
          <t>l_rail</t>
        </is>
      </c>
      <c r="B19" t="n">
        <v>11.65</v>
      </c>
      <c r="C19" s="2" t="inlineStr">
        <is>
          <t xml:space="preserve">Longeur </t>
        </is>
      </c>
    </row>
    <row r="20">
      <c r="A20" t="inlineStr">
        <is>
          <t xml:space="preserve">coeff_fr_rail </t>
        </is>
      </c>
      <c r="B20" t="n">
        <v>0.5</v>
      </c>
      <c r="C20" s="2" t="inlineStr">
        <is>
          <t xml:space="preserve">Coefficient de frottement </t>
        </is>
      </c>
    </row>
    <row r="21">
      <c r="A21" t="inlineStr">
        <is>
          <t>inclination_rail</t>
        </is>
      </c>
      <c r="B21" t="n">
        <v>84</v>
      </c>
      <c r="C21" s="2" t="inlineStr">
        <is>
          <t xml:space="preserve">Inclinaison </t>
        </is>
      </c>
    </row>
    <row r="22">
      <c r="A22" t="inlineStr">
        <is>
          <t xml:space="preserve">heading_rail </t>
        </is>
      </c>
      <c r="B22" t="n">
        <v>144</v>
      </c>
      <c r="C22" s="2" t="inlineStr">
        <is>
          <t xml:space="preserve">Orientation </t>
        </is>
      </c>
    </row>
    <row r="24">
      <c r="C24" s="2" t="n"/>
    </row>
    <row r="35">
      <c r="C35" s="2" t="n"/>
    </row>
  </sheetData>
  <mergeCells count="3">
    <mergeCell ref="A16:C16"/>
    <mergeCell ref="A7:C7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zoomScale="92" workbookViewId="0">
      <selection activeCell="D12" sqref="D12"/>
    </sheetView>
  </sheetViews>
  <sheetFormatPr baseColWidth="10" defaultRowHeight="14.4"/>
  <cols>
    <col width="22.109375" customWidth="1" style="14" min="1" max="1"/>
    <col width="35.88671875" customWidth="1" style="14" min="2" max="2"/>
  </cols>
  <sheetData>
    <row r="1">
      <c r="A1" s="7" t="n"/>
      <c r="B1" s="7" t="n"/>
    </row>
    <row r="2">
      <c r="A2" s="17" t="inlineStr">
        <is>
          <t>PERFORMANCES MOTEUR</t>
        </is>
      </c>
    </row>
    <row r="3">
      <c r="A3" s="10" t="inlineStr">
        <is>
          <t>Max thrust [N]</t>
        </is>
      </c>
      <c r="B3" s="7" t="n">
        <v>6500</v>
      </c>
    </row>
    <row r="4">
      <c r="A4" s="10" t="inlineStr">
        <is>
          <t>Total impulse [Ns]</t>
        </is>
      </c>
      <c r="B4" s="8" t="n">
        <v>39241.96780499999</v>
      </c>
    </row>
    <row r="5">
      <c r="A5" s="17" t="inlineStr">
        <is>
          <t>CINÉMATIQUE &amp; TRAJECTOIRE</t>
        </is>
      </c>
    </row>
    <row r="6">
      <c r="A6" s="10" t="inlineStr">
        <is>
          <t>Apogee AGL [m]</t>
        </is>
      </c>
      <c r="B6" s="8" t="n">
        <v>3710.37060477165</v>
      </c>
    </row>
    <row r="7">
      <c r="A7" s="10" t="inlineStr">
        <is>
          <t>Apogee ASL [m]</t>
        </is>
      </c>
      <c r="B7" s="8" t="n">
        <v>3874.37060477165</v>
      </c>
    </row>
    <row r="8">
      <c r="A8" s="10" t="inlineStr">
        <is>
          <t>Max velocity [m/s]</t>
        </is>
      </c>
      <c r="B8" s="7" t="n">
        <v>273.2359057224067</v>
      </c>
    </row>
    <row r="9">
      <c r="A9" s="10" t="inlineStr">
        <is>
          <t>Max acceleration [m/s^2]</t>
        </is>
      </c>
      <c r="B9" s="7" t="n">
        <v>66.34992880606764</v>
      </c>
    </row>
    <row r="10">
      <c r="A10" s="10" t="inlineStr">
        <is>
          <t>Max Mach [-]</t>
        </is>
      </c>
      <c r="B10" s="7" t="n">
        <v>0.8032139220219472</v>
      </c>
    </row>
    <row r="11">
      <c r="A11" s="10" t="inlineStr">
        <is>
          <t>Time to apogee [s]</t>
        </is>
      </c>
      <c r="B11" s="7" t="n">
        <v>29.51666446218675</v>
      </c>
    </row>
    <row r="12">
      <c r="A12" s="10" t="inlineStr">
        <is>
          <t>Total flight time [s]</t>
        </is>
      </c>
      <c r="B12" s="7" t="n">
        <v>161.5447908393407</v>
      </c>
    </row>
    <row r="13">
      <c r="A13" s="17" t="inlineStr">
        <is>
          <t>SORTIE DE RAMPE</t>
        </is>
      </c>
    </row>
    <row r="14">
      <c r="A14" s="10" t="inlineStr">
        <is>
          <t>Rail exit velocity [m/s]</t>
        </is>
      </c>
      <c r="B14" s="7" t="n">
        <v>30.52663410658775</v>
      </c>
    </row>
    <row r="15">
      <c r="A15" s="10" t="inlineStr">
        <is>
          <t>Static margin rail exit [c]</t>
        </is>
      </c>
      <c r="B15" s="8" t="n">
        <v>3.343616377300622</v>
      </c>
    </row>
    <row r="16">
      <c r="A16" s="17" t="inlineStr">
        <is>
          <t>STABILITÉ</t>
        </is>
      </c>
    </row>
    <row r="17">
      <c r="A17" s="10" t="inlineStr">
        <is>
          <t>Static margin liftoff [c]</t>
        </is>
      </c>
      <c r="B17" s="7" t="n">
        <v>3.327412159414359</v>
      </c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</sheetData>
  <mergeCells count="4">
    <mergeCell ref="A16:B16"/>
    <mergeCell ref="A2:B2"/>
    <mergeCell ref="A13:B13"/>
    <mergeCell ref="A5:B5"/>
  </mergeCells>
  <conditionalFormatting sqref="B6">
    <cfRule type="colorScale" priority="3">
      <colorScale>
        <cfvo type="num" val="2000"/>
        <cfvo type="num" val="3000"/>
        <cfvo type="num" val="4000"/>
        <color rgb="FFF8696B"/>
        <color rgb="FFFFEB84"/>
        <color rgb="FF63BE7B"/>
      </colorScale>
    </cfRule>
  </conditionalFormatting>
  <conditionalFormatting sqref="B14">
    <cfRule type="colorScale" priority="1">
      <colorScale>
        <cfvo type="num" val="25"/>
        <cfvo type="num" val="30"/>
        <cfvo type="num" val="3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2026-05-13T06:55:08Z</dcterms:created>
  <dcterms:modified xsi:type="dcterms:W3CDTF">2026-06-01T15:44:20Z</dcterms:modified>
  <cp:lastModifiedBy>Maxime Pralong</cp:lastModifiedBy>
</cp:coreProperties>
</file>