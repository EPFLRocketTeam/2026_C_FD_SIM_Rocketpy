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85522fb5f488138/Documents/GitHub/2026_C_FD_SIM_Rocketpy/RocketPy_26/TEMPLATE_SIM/"/>
    </mc:Choice>
  </mc:AlternateContent>
  <xr:revisionPtr revIDLastSave="37" documentId="11_C9DD2F4FA7B08B6997265DCA874B396EB9AE37AC" xr6:coauthVersionLast="47" xr6:coauthVersionMax="47" xr10:uidLastSave="{B7D6CC94-AD4D-4677-80CE-5154E96650E1}"/>
  <bookViews>
    <workbookView xWindow="11424" yWindow="0" windowWidth="11712" windowHeight="13776" xr2:uid="{00000000-000D-0000-FFFF-FFFF00000000}"/>
  </bookViews>
  <sheets>
    <sheet name="Structure" sheetId="1" r:id="rId1"/>
    <sheet name="Propellant " sheetId="2" r:id="rId2"/>
    <sheet name="Parameters " sheetId="3" r:id="rId3"/>
    <sheet name="Simul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<sst xmlns="http://schemas.openxmlformats.org/spreadsheetml/2006/main" count="224" uniqueCount="197">
  <si>
    <t>Name</t>
  </si>
  <si>
    <t>Value</t>
  </si>
  <si>
    <t>Description</t>
  </si>
  <si>
    <t xml:space="preserve">ENREGISTREMENT </t>
  </si>
  <si>
    <t xml:space="preserve">version </t>
  </si>
  <si>
    <t>TEMPLATE</t>
  </si>
  <si>
    <t xml:space="preserve">Nom de la simulation </t>
  </si>
  <si>
    <t>save_files</t>
  </si>
  <si>
    <t xml:space="preserve">True </t>
  </si>
  <si>
    <t xml:space="preserve">Crée .eng et .csv </t>
  </si>
  <si>
    <t>n_points</t>
  </si>
  <si>
    <t xml:space="preserve">Discrétisation </t>
  </si>
  <si>
    <t>write_to_file</t>
  </si>
  <si>
    <t>False</t>
  </si>
  <si>
    <t>Écrire les résultats</t>
  </si>
  <si>
    <t xml:space="preserve">ENVIRONNEMENT </t>
  </si>
  <si>
    <t>annee</t>
  </si>
  <si>
    <t>mois</t>
  </si>
  <si>
    <t>jour</t>
  </si>
  <si>
    <t>heure</t>
  </si>
  <si>
    <t>minute</t>
  </si>
  <si>
    <t xml:space="preserve">latitude </t>
  </si>
  <si>
    <t>EuRoC</t>
  </si>
  <si>
    <t>longitude</t>
  </si>
  <si>
    <t xml:space="preserve">elevation </t>
  </si>
  <si>
    <t xml:space="preserve">Altitude </t>
  </si>
  <si>
    <t>RAIL</t>
  </si>
  <si>
    <t>alpha_rail</t>
  </si>
  <si>
    <t>Angle d'inclinaison p.r. à l'horizontale</t>
  </si>
  <si>
    <t xml:space="preserve">beta_rail </t>
  </si>
  <si>
    <t>Angle entre la direction de réaction et la normale au rail.</t>
  </si>
  <si>
    <t>l_rail</t>
  </si>
  <si>
    <t xml:space="preserve">Longeur </t>
  </si>
  <si>
    <t xml:space="preserve">coeff_fr_rail </t>
  </si>
  <si>
    <t xml:space="preserve">Coefficient de frottement </t>
  </si>
  <si>
    <t>inclination_rail</t>
  </si>
  <si>
    <t xml:space="preserve">Inclinaison </t>
  </si>
  <si>
    <t xml:space="preserve">heading_rail </t>
  </si>
  <si>
    <t xml:space="preserve">Orientation </t>
  </si>
  <si>
    <t>SORTIES SOUHAITEES</t>
  </si>
  <si>
    <t>output_general</t>
  </si>
  <si>
    <t>output_euler_angles</t>
  </si>
  <si>
    <t>output_stability</t>
  </si>
  <si>
    <t>output_trajectory</t>
  </si>
  <si>
    <t>output_velocity</t>
  </si>
  <si>
    <t>output_acceleration</t>
  </si>
  <si>
    <t>output_thrust_curve</t>
  </si>
  <si>
    <t xml:space="preserve">ROCKET </t>
  </si>
  <si>
    <t>Longeur :</t>
  </si>
  <si>
    <t>[m]</t>
  </si>
  <si>
    <t xml:space="preserve">m_additions </t>
  </si>
  <si>
    <t xml:space="preserve">Masse additionelle </t>
  </si>
  <si>
    <t xml:space="preserve">Dry mass: </t>
  </si>
  <si>
    <t>[kg]</t>
  </si>
  <si>
    <t xml:space="preserve">r_rocket </t>
  </si>
  <si>
    <t xml:space="preserve">Rayon  </t>
  </si>
  <si>
    <t>drag_coeff_rocket</t>
  </si>
  <si>
    <t>Coefficient de trainée</t>
  </si>
  <si>
    <t xml:space="preserve">BOAT TAIL </t>
  </si>
  <si>
    <t>top_r_bt</t>
  </si>
  <si>
    <t xml:space="preserve">Top radius </t>
  </si>
  <si>
    <t>bottom_r_bt</t>
  </si>
  <si>
    <t>Bottom radius</t>
  </si>
  <si>
    <t>l_bt</t>
  </si>
  <si>
    <t>m_bt</t>
  </si>
  <si>
    <t>Masse</t>
  </si>
  <si>
    <t>r_nozzle</t>
  </si>
  <si>
    <t xml:space="preserve">Rayon du nozzle </t>
  </si>
  <si>
    <t>ENGINE BAY</t>
  </si>
  <si>
    <t>l_ebay</t>
  </si>
  <si>
    <t>m_ebay</t>
  </si>
  <si>
    <t>LOX BAY</t>
  </si>
  <si>
    <t>l_lox</t>
  </si>
  <si>
    <t>Longeur</t>
  </si>
  <si>
    <t>m_lox</t>
  </si>
  <si>
    <t xml:space="preserve">AEROCOVER </t>
  </si>
  <si>
    <t xml:space="preserve">pos_aerocover </t>
  </si>
  <si>
    <t>Position</t>
  </si>
  <si>
    <t xml:space="preserve">m_aerocover </t>
  </si>
  <si>
    <t>l_aerocover</t>
  </si>
  <si>
    <t xml:space="preserve">r_aerocover </t>
  </si>
  <si>
    <t xml:space="preserve">Rayon </t>
  </si>
  <si>
    <t>PBAY 1</t>
  </si>
  <si>
    <t>l_pbay1</t>
  </si>
  <si>
    <t>m_pbay1</t>
  </si>
  <si>
    <t>ETH BAY</t>
  </si>
  <si>
    <t>l_eth</t>
  </si>
  <si>
    <t>m_eth</t>
  </si>
  <si>
    <t>PBAY 2</t>
  </si>
  <si>
    <t>l_pbay2</t>
  </si>
  <si>
    <t>m_pbay2</t>
  </si>
  <si>
    <t xml:space="preserve">AV BAY </t>
  </si>
  <si>
    <t>l_avbay</t>
  </si>
  <si>
    <t>m_avbay</t>
  </si>
  <si>
    <t xml:space="preserve">RE BAY </t>
  </si>
  <si>
    <t>l_rebay</t>
  </si>
  <si>
    <t>m_rebay</t>
  </si>
  <si>
    <t xml:space="preserve">Masse  </t>
  </si>
  <si>
    <t>drag_coeff_para_reefed</t>
  </si>
  <si>
    <t>Coefficient de trainée reefed</t>
  </si>
  <si>
    <t>drag_coeff_para_unreefed</t>
  </si>
  <si>
    <t>Coefficient de trainée unreefed</t>
  </si>
  <si>
    <t>trig_alt_para</t>
  </si>
  <si>
    <t xml:space="preserve">Altitude trigger </t>
  </si>
  <si>
    <t>NOSE CONE</t>
  </si>
  <si>
    <t xml:space="preserve">l_nosecone </t>
  </si>
  <si>
    <t>m_nosecone</t>
  </si>
  <si>
    <t xml:space="preserve">Masse </t>
  </si>
  <si>
    <t xml:space="preserve">TANK </t>
  </si>
  <si>
    <t>r_int</t>
  </si>
  <si>
    <t xml:space="preserve">Rayon intérieur </t>
  </si>
  <si>
    <t>spherical_caps</t>
  </si>
  <si>
    <t xml:space="preserve">Hauteur </t>
  </si>
  <si>
    <t>tank_volume</t>
  </si>
  <si>
    <t xml:space="preserve">Hauteur des bulkead ellipse </t>
  </si>
  <si>
    <t>COPV</t>
  </si>
  <si>
    <t>r_int_copv</t>
  </si>
  <si>
    <t xml:space="preserve">h_copv </t>
  </si>
  <si>
    <t>FINS</t>
  </si>
  <si>
    <t xml:space="preserve">n_fins </t>
  </si>
  <si>
    <t>Nombre</t>
  </si>
  <si>
    <t xml:space="preserve">env_fins </t>
  </si>
  <si>
    <t>Envergure</t>
  </si>
  <si>
    <t>rc_fins</t>
  </si>
  <si>
    <t xml:space="preserve">Root chord </t>
  </si>
  <si>
    <t>tc_fins</t>
  </si>
  <si>
    <t xml:space="preserve">Tip chord </t>
  </si>
  <si>
    <t xml:space="preserve">pos_fins </t>
  </si>
  <si>
    <t xml:space="preserve">Position </t>
  </si>
  <si>
    <t>cangle_fins</t>
  </si>
  <si>
    <t xml:space="preserve">Cant angle </t>
  </si>
  <si>
    <t>sweep_l_fins</t>
  </si>
  <si>
    <t xml:space="preserve">Sweep length </t>
  </si>
  <si>
    <t>RAIL BUTTON</t>
  </si>
  <si>
    <t>pos_sup_rb</t>
  </si>
  <si>
    <t>Position supérieure</t>
  </si>
  <si>
    <t>pos_inf_rb</t>
  </si>
  <si>
    <t xml:space="preserve">Position inférieure </t>
  </si>
  <si>
    <t>PARAMÈTRES</t>
  </si>
  <si>
    <t>of_ratio</t>
  </si>
  <si>
    <t>isp</t>
  </si>
  <si>
    <t>thrust</t>
  </si>
  <si>
    <t>total_impulse</t>
  </si>
  <si>
    <t>MASS FLOW RATE</t>
  </si>
  <si>
    <t>lox_boil_off</t>
  </si>
  <si>
    <t xml:space="preserve">lox_ignition </t>
  </si>
  <si>
    <t xml:space="preserve">lox_prechill </t>
  </si>
  <si>
    <t xml:space="preserve">eth_ignition </t>
  </si>
  <si>
    <t>eth_frac_cooling</t>
  </si>
  <si>
    <t>MASS</t>
  </si>
  <si>
    <t>m_eth_delay</t>
  </si>
  <si>
    <t>m_eth_unused</t>
  </si>
  <si>
    <t>Eth non-consommé</t>
  </si>
  <si>
    <t>m_lox_unused</t>
  </si>
  <si>
    <t xml:space="preserve">Lox non-consommé </t>
  </si>
  <si>
    <t>m_n2</t>
  </si>
  <si>
    <t xml:space="preserve">N2 dans un copv </t>
  </si>
  <si>
    <t>TIME</t>
  </si>
  <si>
    <t xml:space="preserve">hold_time </t>
  </si>
  <si>
    <t xml:space="preserve">prechill_time </t>
  </si>
  <si>
    <t>ignition_delay</t>
  </si>
  <si>
    <t xml:space="preserve">ramp_up_time </t>
  </si>
  <si>
    <t xml:space="preserve">cutoff_time </t>
  </si>
  <si>
    <t xml:space="preserve">ramp_down_time </t>
  </si>
  <si>
    <t xml:space="preserve">FORCE </t>
  </si>
  <si>
    <t xml:space="preserve">f_shutdown </t>
  </si>
  <si>
    <t xml:space="preserve">Force finale de la thrust curve </t>
  </si>
  <si>
    <t xml:space="preserve">f_hold_down </t>
  </si>
  <si>
    <t xml:space="preserve">Force du hold-down </t>
  </si>
  <si>
    <t>THRUST CURVE MODEL</t>
  </si>
  <si>
    <t>thrust_curve_mode</t>
  </si>
  <si>
    <t>constant</t>
  </si>
  <si>
    <t>derated_thrust</t>
  </si>
  <si>
    <t>PERFORMANCES MOTEUR</t>
  </si>
  <si>
    <t>Max thrust [N]</t>
  </si>
  <si>
    <t>Total impulse [Ns]</t>
  </si>
  <si>
    <t>CINÉMATIQUE &amp; TRAJECTOIRE</t>
  </si>
  <si>
    <t>Apogee AGL [m]</t>
  </si>
  <si>
    <t>Apogee ASL [m]</t>
  </si>
  <si>
    <t>Max velocity [m/s]</t>
  </si>
  <si>
    <t>Max acceleration [m/s^2]</t>
  </si>
  <si>
    <t>Max Mach [-]</t>
  </si>
  <si>
    <t>Time to apogee [s]</t>
  </si>
  <si>
    <t>Total flight time [s]</t>
  </si>
  <si>
    <t>SORTIE DE RAMPE</t>
  </si>
  <si>
    <t>Rail exit velocity [m/s]</t>
  </si>
  <si>
    <t>Static margin rail exit [c]</t>
  </si>
  <si>
    <t>STABILITÉ</t>
  </si>
  <si>
    <t>Static margin liftoff [c]</t>
  </si>
  <si>
    <t>eth_temperature</t>
  </si>
  <si>
    <t>Température en K</t>
  </si>
  <si>
    <t>eth_pressure</t>
  </si>
  <si>
    <t>Pression en Pa</t>
  </si>
  <si>
    <t>eth_massic_frac</t>
  </si>
  <si>
    <t>Fraction massique de l'eth dans le fuel (par rapport à l'eau)</t>
  </si>
  <si>
    <t>lox_temperature</t>
  </si>
  <si>
    <t>lox_pressure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</si>
</sst>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0"/>
      <name val="Arial"/>
    </font>
    <font>
      <b/>
      <sz val="11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0" borderId="0" xfId="0" applyFont="1"/>
    <xf numFmtId="0" fontId="4" fillId="0" borderId="0" xfId="0" applyFont="1"/>
    <xf numFmtId="165" fontId="4" fillId="0" borderId="0" xfId="0" applyNumberFormat="1" applyFont="1"/>
    <xf numFmtId="11" fontId="0" fillId="0" borderId="0" xfId="0" applyNumberFormat="1"/>
    <xf numFmtId="0" fontId="2" fillId="3" borderId="0" xfId="0" applyFont="1" applyFill="1" applyAlignment="1">
      <alignment horizontal="center"/>
    </xf>
    <xf numFmtId="0" fontId="0" fillId="0" borderId="0" xfId="0"/>
    <xf numFmtId="0" fontId="2" fillId="5" borderId="2" xfId="0" applyFont="1" applyFill="1" applyBorder="1" applyAlignment="1">
      <alignment horizontal="center"/>
    </xf>
    <xf numFmtId="0" fontId="0" fillId="0" borderId="2" xfId="0" applyBorder="1"/>
    <xf numFmtId="0" fontId="2" fillId="7" borderId="2" xfId="0" applyFont="1" applyFill="1" applyBorder="1" applyAlignment="1">
      <alignment horizontal="center" vertical="center"/>
    </xf>
    <xf numFmtId="165" fontId="5" fillId="8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topLeftCell="C1" zoomScale="133" zoomScaleNormal="115" workbookViewId="0">
      <pane ySplit="1" topLeftCell="A2" activePane="bottomLeft" state="frozen"/>
      <selection pane="bottomLeft" activeCell="F9" sqref="F9"/>
    </sheetView>
  </sheetViews>
  <sheetFormatPr baseColWidth="10" defaultColWidth="8.77734375" defaultRowHeight="14.4" x14ac:dyDescent="0.3"/>
  <cols>
    <col min="1" max="1" width="32" customWidth="1"/>
    <col min="2" max="2" width="16" customWidth="1"/>
    <col min="3" max="3" width="55" customWidth="1"/>
    <col min="5" max="5" width="10.44140625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</row>
    <row r="2" spans="1:7" x14ac:dyDescent="0.3">
      <c r="A2" s="13" t="s">
        <v>47</v>
      </c>
      <c r="B2" s="14"/>
      <c r="C2" s="14"/>
      <c r="E2" s="9" t="s">
        <v>48</v>
      </c>
      <c r="F2">
        <f>B9+B13+B16+B24+B27+B30+B33+B36+B42</f>
        <v>5.8175499999999998</v>
      </c>
      <c r="G2" t="s">
        <v>49</v>
      </c>
    </row>
    <row r="3" spans="1:7" x14ac:dyDescent="0.3">
      <c r="A3" t="s">
        <v>50</v>
      </c>
      <c r="B3">
        <v>0</v>
      </c>
      <c r="C3" s="2" t="s">
        <v>51</v>
      </c>
      <c r="E3" s="9" t="s">
        <v>52</v>
      </c>
      <c r="F3">
        <f>B10+B14+B17+B25+B28+B31+B34+B37+B43+B20</f>
        <v>94.85299999999998</v>
      </c>
      <c r="G3" t="s">
        <v>53</v>
      </c>
    </row>
    <row r="4" spans="1:7" x14ac:dyDescent="0.3">
      <c r="A4" t="s">
        <v>54</v>
      </c>
      <c r="B4">
        <v>0.1215</v>
      </c>
      <c r="C4" s="2" t="s">
        <v>55</v>
      </c>
    </row>
    <row r="5" spans="1:7" x14ac:dyDescent="0.3">
      <c r="A5" t="s">
        <v>56</v>
      </c>
      <c r="B5">
        <v>0.38</v>
      </c>
      <c r="C5" s="2" t="s">
        <v>57</v>
      </c>
    </row>
    <row r="6" spans="1:7" x14ac:dyDescent="0.3">
      <c r="A6" s="13" t="s">
        <v>58</v>
      </c>
      <c r="B6" s="14"/>
      <c r="C6" s="14"/>
    </row>
    <row r="7" spans="1:7" x14ac:dyDescent="0.3">
      <c r="A7" t="s">
        <v>59</v>
      </c>
      <c r="B7">
        <v>0.1215</v>
      </c>
      <c r="C7" s="2" t="s">
        <v>60</v>
      </c>
    </row>
    <row r="8" spans="1:7" x14ac:dyDescent="0.3">
      <c r="A8" t="s">
        <v>61</v>
      </c>
      <c r="B8">
        <v>7.0000000000000007E-2</v>
      </c>
      <c r="C8" s="2" t="s">
        <v>62</v>
      </c>
    </row>
    <row r="9" spans="1:7" x14ac:dyDescent="0.3">
      <c r="A9" t="s">
        <v>63</v>
      </c>
      <c r="B9">
        <v>0.41754999999999998</v>
      </c>
      <c r="C9" s="2" t="s">
        <v>32</v>
      </c>
    </row>
    <row r="10" spans="1:7" x14ac:dyDescent="0.3">
      <c r="A10" t="s">
        <v>64</v>
      </c>
      <c r="B10">
        <v>1</v>
      </c>
      <c r="C10" s="2" t="s">
        <v>65</v>
      </c>
    </row>
    <row r="11" spans="1:7" x14ac:dyDescent="0.3">
      <c r="A11" t="s">
        <v>66</v>
      </c>
      <c r="B11">
        <v>4.9459999999999997E-2</v>
      </c>
      <c r="C11" s="2" t="s">
        <v>67</v>
      </c>
    </row>
    <row r="12" spans="1:7" x14ac:dyDescent="0.3">
      <c r="A12" s="13" t="s">
        <v>68</v>
      </c>
      <c r="B12" s="14"/>
      <c r="C12" s="14"/>
    </row>
    <row r="13" spans="1:7" x14ac:dyDescent="0.3">
      <c r="A13" t="s">
        <v>69</v>
      </c>
      <c r="B13">
        <v>0.75600000000000001</v>
      </c>
      <c r="C13" s="2" t="s">
        <v>32</v>
      </c>
    </row>
    <row r="14" spans="1:7" x14ac:dyDescent="0.3">
      <c r="A14" t="s">
        <v>70</v>
      </c>
      <c r="B14">
        <v>26.475999999999999</v>
      </c>
      <c r="C14" s="2" t="s">
        <v>65</v>
      </c>
    </row>
    <row r="15" spans="1:7" x14ac:dyDescent="0.3">
      <c r="A15" s="13" t="s">
        <v>71</v>
      </c>
      <c r="B15" s="14"/>
      <c r="C15" s="14"/>
    </row>
    <row r="16" spans="1:7" x14ac:dyDescent="0.3">
      <c r="A16" t="s">
        <v>72</v>
      </c>
      <c r="B16">
        <v>0.38800000000000001</v>
      </c>
      <c r="C16" s="2" t="s">
        <v>73</v>
      </c>
    </row>
    <row r="17" spans="1:3" x14ac:dyDescent="0.3">
      <c r="A17" t="s">
        <v>74</v>
      </c>
      <c r="B17">
        <v>8.3870000000000005</v>
      </c>
      <c r="C17" s="2" t="s">
        <v>65</v>
      </c>
    </row>
    <row r="18" spans="1:3" x14ac:dyDescent="0.3">
      <c r="A18" s="13" t="s">
        <v>75</v>
      </c>
      <c r="B18" s="14"/>
      <c r="C18" s="14"/>
    </row>
    <row r="19" spans="1:3" x14ac:dyDescent="0.3">
      <c r="A19" t="s">
        <v>76</v>
      </c>
      <c r="B19">
        <v>0.55000000000000004</v>
      </c>
      <c r="C19" s="2" t="s">
        <v>77</v>
      </c>
    </row>
    <row r="20" spans="1:3" x14ac:dyDescent="0.3">
      <c r="A20" t="s">
        <v>78</v>
      </c>
      <c r="B20" s="5">
        <v>2.41</v>
      </c>
      <c r="C20" s="2" t="s">
        <v>65</v>
      </c>
    </row>
    <row r="21" spans="1:3" x14ac:dyDescent="0.3">
      <c r="A21" t="s">
        <v>79</v>
      </c>
      <c r="B21">
        <v>1.6557999999999999</v>
      </c>
      <c r="C21" s="2" t="s">
        <v>73</v>
      </c>
    </row>
    <row r="22" spans="1:3" x14ac:dyDescent="0.3">
      <c r="A22" t="s">
        <v>80</v>
      </c>
      <c r="B22">
        <v>0.03</v>
      </c>
      <c r="C22" s="2" t="s">
        <v>81</v>
      </c>
    </row>
    <row r="23" spans="1:3" x14ac:dyDescent="0.3">
      <c r="A23" s="13" t="s">
        <v>82</v>
      </c>
      <c r="B23" s="14"/>
      <c r="C23" s="14"/>
    </row>
    <row r="24" spans="1:3" x14ac:dyDescent="0.3">
      <c r="A24" t="s">
        <v>83</v>
      </c>
      <c r="B24">
        <v>0.9</v>
      </c>
      <c r="C24" s="2" t="s">
        <v>73</v>
      </c>
    </row>
    <row r="25" spans="1:3" x14ac:dyDescent="0.3">
      <c r="A25" t="s">
        <v>84</v>
      </c>
      <c r="B25">
        <v>11.048999999999999</v>
      </c>
      <c r="C25" s="2" t="s">
        <v>65</v>
      </c>
    </row>
    <row r="26" spans="1:3" x14ac:dyDescent="0.3">
      <c r="A26" s="13" t="s">
        <v>85</v>
      </c>
      <c r="B26" s="14"/>
      <c r="C26" s="14"/>
    </row>
    <row r="27" spans="1:3" x14ac:dyDescent="0.3">
      <c r="A27" t="s">
        <v>86</v>
      </c>
      <c r="B27">
        <v>0.38800000000000001</v>
      </c>
      <c r="C27" s="2" t="s">
        <v>73</v>
      </c>
    </row>
    <row r="28" spans="1:3" x14ac:dyDescent="0.3">
      <c r="A28" t="s">
        <v>87</v>
      </c>
      <c r="B28">
        <v>8.3870000000000005</v>
      </c>
      <c r="C28" s="2" t="s">
        <v>65</v>
      </c>
    </row>
    <row r="29" spans="1:3" x14ac:dyDescent="0.3">
      <c r="A29" s="13" t="s">
        <v>88</v>
      </c>
      <c r="B29" s="14"/>
      <c r="C29" s="14"/>
    </row>
    <row r="30" spans="1:3" x14ac:dyDescent="0.3">
      <c r="A30" t="s">
        <v>89</v>
      </c>
      <c r="B30">
        <v>0.9</v>
      </c>
      <c r="C30" s="2" t="s">
        <v>73</v>
      </c>
    </row>
    <row r="31" spans="1:3" x14ac:dyDescent="0.3">
      <c r="A31" t="s">
        <v>90</v>
      </c>
      <c r="B31">
        <v>11.03</v>
      </c>
      <c r="C31" s="2" t="s">
        <v>65</v>
      </c>
    </row>
    <row r="32" spans="1:3" x14ac:dyDescent="0.3">
      <c r="A32" s="13" t="s">
        <v>91</v>
      </c>
      <c r="B32" s="14"/>
      <c r="C32" s="14"/>
    </row>
    <row r="33" spans="1:3" x14ac:dyDescent="0.3">
      <c r="A33" t="s">
        <v>92</v>
      </c>
      <c r="B33">
        <v>0.35</v>
      </c>
      <c r="C33" s="2" t="s">
        <v>73</v>
      </c>
    </row>
    <row r="34" spans="1:3" x14ac:dyDescent="0.3">
      <c r="A34" t="s">
        <v>93</v>
      </c>
      <c r="B34">
        <v>9.2319999999999993</v>
      </c>
      <c r="C34" s="2" t="s">
        <v>65</v>
      </c>
    </row>
    <row r="35" spans="1:3" x14ac:dyDescent="0.3">
      <c r="A35" s="13" t="s">
        <v>94</v>
      </c>
      <c r="B35" s="14"/>
      <c r="C35" s="14"/>
    </row>
    <row r="36" spans="1:3" x14ac:dyDescent="0.3">
      <c r="A36" t="s">
        <v>95</v>
      </c>
      <c r="B36">
        <v>0.71499999999999997</v>
      </c>
      <c r="C36" s="2" t="s">
        <v>73</v>
      </c>
    </row>
    <row r="37" spans="1:3" x14ac:dyDescent="0.3">
      <c r="A37" t="s">
        <v>96</v>
      </c>
      <c r="B37">
        <v>11.044</v>
      </c>
      <c r="C37" s="2" t="s">
        <v>97</v>
      </c>
    </row>
    <row r="38" spans="1:3" x14ac:dyDescent="0.3">
      <c r="A38" t="s">
        <v>98</v>
      </c>
      <c r="B38">
        <v>4</v>
      </c>
      <c r="C38" s="2" t="s">
        <v>99</v>
      </c>
    </row>
    <row r="39" spans="1:3" x14ac:dyDescent="0.3">
      <c r="A39" t="s">
        <v>100</v>
      </c>
      <c r="B39">
        <v>25</v>
      </c>
      <c r="C39" s="2" t="s">
        <v>101</v>
      </c>
    </row>
    <row r="40" spans="1:3" x14ac:dyDescent="0.3">
      <c r="A40" t="s">
        <v>102</v>
      </c>
      <c r="B40">
        <v>400</v>
      </c>
      <c r="C40" s="2" t="s">
        <v>103</v>
      </c>
    </row>
    <row r="41" spans="1:3" x14ac:dyDescent="0.3">
      <c r="A41" s="13" t="s">
        <v>104</v>
      </c>
      <c r="B41" s="14"/>
      <c r="C41" s="14"/>
    </row>
    <row r="42" spans="1:3" x14ac:dyDescent="0.3">
      <c r="A42" t="s">
        <v>105</v>
      </c>
      <c r="B42">
        <v>1.0029999999999999</v>
      </c>
      <c r="C42" s="2" t="s">
        <v>32</v>
      </c>
    </row>
    <row r="43" spans="1:3" x14ac:dyDescent="0.3">
      <c r="A43" t="s">
        <v>106</v>
      </c>
      <c r="B43">
        <v>5.8380000000000001</v>
      </c>
      <c r="C43" s="2" t="s">
        <v>107</v>
      </c>
    </row>
    <row r="44" spans="1:3" x14ac:dyDescent="0.3">
      <c r="A44" s="13" t="s">
        <v>108</v>
      </c>
      <c r="B44" s="14"/>
      <c r="C44" s="14"/>
    </row>
    <row r="45" spans="1:3" x14ac:dyDescent="0.3">
      <c r="A45" t="s">
        <v>109</v>
      </c>
      <c r="B45">
        <v>0.115</v>
      </c>
      <c r="C45" s="2" t="s">
        <v>110</v>
      </c>
    </row>
    <row r="46" spans="1:3" x14ac:dyDescent="0.3">
      <c r="A46" t="s">
        <v>111</v>
      </c>
      <c r="B46" t="b">
        <v>0</v>
      </c>
      <c r="C46" s="2" t="s">
        <v>112</v>
      </c>
    </row>
    <row r="47" spans="1:3" x14ac:dyDescent="0.3">
      <c r="A47" t="s">
        <v>113</v>
      </c>
      <c r="B47">
        <v>1.6E-2</v>
      </c>
      <c r="C47" s="2" t="s">
        <v>114</v>
      </c>
    </row>
    <row r="48" spans="1:3" x14ac:dyDescent="0.3">
      <c r="A48" s="13" t="s">
        <v>115</v>
      </c>
      <c r="B48" s="14"/>
      <c r="C48" s="14"/>
    </row>
    <row r="49" spans="1:3" x14ac:dyDescent="0.3">
      <c r="A49" t="s">
        <v>116</v>
      </c>
      <c r="B49">
        <v>8.8499999999999995E-2</v>
      </c>
      <c r="C49" s="2" t="s">
        <v>110</v>
      </c>
    </row>
    <row r="50" spans="1:3" x14ac:dyDescent="0.3">
      <c r="A50" t="s">
        <v>117</v>
      </c>
      <c r="B50">
        <v>0.56999999999999995</v>
      </c>
      <c r="C50" s="2" t="s">
        <v>112</v>
      </c>
    </row>
    <row r="51" spans="1:3" x14ac:dyDescent="0.3">
      <c r="A51" s="13" t="s">
        <v>118</v>
      </c>
      <c r="B51" s="14"/>
      <c r="C51" s="14"/>
    </row>
    <row r="52" spans="1:3" x14ac:dyDescent="0.3">
      <c r="A52" t="s">
        <v>119</v>
      </c>
      <c r="B52">
        <v>4</v>
      </c>
      <c r="C52" s="2" t="s">
        <v>120</v>
      </c>
    </row>
    <row r="53" spans="1:3" x14ac:dyDescent="0.3">
      <c r="A53" t="s">
        <v>121</v>
      </c>
      <c r="B53">
        <v>0.3</v>
      </c>
      <c r="C53" s="2" t="s">
        <v>122</v>
      </c>
    </row>
    <row r="54" spans="1:3" x14ac:dyDescent="0.3">
      <c r="A54" t="s">
        <v>123</v>
      </c>
      <c r="B54">
        <v>0.67100000000000004</v>
      </c>
      <c r="C54" s="2" t="s">
        <v>124</v>
      </c>
    </row>
    <row r="55" spans="1:3" x14ac:dyDescent="0.3">
      <c r="A55" t="s">
        <v>125</v>
      </c>
      <c r="B55">
        <v>0.161</v>
      </c>
      <c r="C55" s="2" t="s">
        <v>126</v>
      </c>
    </row>
    <row r="56" spans="1:3" x14ac:dyDescent="0.3">
      <c r="A56" t="s">
        <v>127</v>
      </c>
      <c r="B56">
        <v>1.1315</v>
      </c>
      <c r="C56" s="2" t="s">
        <v>128</v>
      </c>
    </row>
    <row r="57" spans="1:3" ht="15" customHeight="1" x14ac:dyDescent="0.3">
      <c r="A57" t="s">
        <v>129</v>
      </c>
      <c r="B57">
        <v>0</v>
      </c>
      <c r="C57" s="2" t="s">
        <v>130</v>
      </c>
    </row>
    <row r="58" spans="1:3" x14ac:dyDescent="0.3">
      <c r="A58" t="s">
        <v>131</v>
      </c>
      <c r="B58">
        <v>0.53900000000000003</v>
      </c>
      <c r="C58" s="2" t="s">
        <v>132</v>
      </c>
    </row>
    <row r="59" spans="1:3" x14ac:dyDescent="0.3">
      <c r="A59" s="13" t="s">
        <v>133</v>
      </c>
      <c r="B59" s="14"/>
      <c r="C59" s="14"/>
    </row>
    <row r="60" spans="1:3" x14ac:dyDescent="0.3">
      <c r="A60" t="s">
        <v>134</v>
      </c>
      <c r="B60">
        <v>0.46279999999999999</v>
      </c>
      <c r="C60" s="2" t="s">
        <v>135</v>
      </c>
    </row>
    <row r="61" spans="1:3" x14ac:dyDescent="0.3">
      <c r="A61" t="s">
        <v>136</v>
      </c>
      <c r="B61">
        <v>0.46278999999999998</v>
      </c>
      <c r="C61" s="2" t="s">
        <v>137</v>
      </c>
    </row>
    <row r="66" spans="3:3" x14ac:dyDescent="0.3">
      <c r="C66" s="2"/>
    </row>
    <row r="67" spans="3:3" x14ac:dyDescent="0.3">
      <c r="C67" s="2"/>
    </row>
  </sheetData>
  <mergeCells count="15">
    <mergeCell ref="A59:C59"/>
    <mergeCell ref="A48:C48"/>
    <mergeCell ref="A26:C26"/>
    <mergeCell ref="A41:C41"/>
    <mergeCell ref="A44:C44"/>
    <mergeCell ref="A32:C32"/>
    <mergeCell ref="A2:C2"/>
    <mergeCell ref="A51:C51"/>
    <mergeCell ref="A15:C15"/>
    <mergeCell ref="A6:C6"/>
    <mergeCell ref="A18:C18"/>
    <mergeCell ref="A35:C35"/>
    <mergeCell ref="A29:C29"/>
    <mergeCell ref="A23:C23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topLeftCell="A9" zoomScale="150" workbookViewId="0">
      <selection activeCell="C22" sqref="C22"/>
    </sheetView>
  </sheetViews>
  <sheetFormatPr baseColWidth="10" defaultColWidth="8.77734375" defaultRowHeight="14.4" x14ac:dyDescent="0.3"/>
  <cols>
    <col min="1" max="1" width="32" customWidth="1"/>
    <col min="2" max="2" width="16" customWidth="1"/>
    <col min="3" max="3" width="55" customWidth="1"/>
  </cols>
  <sheetData>
    <row r="1" spans="1:3" ht="22.05" customHeight="1" x14ac:dyDescent="0.3">
      <c r="A1" s="3" t="s">
        <v>0</v>
      </c>
      <c r="B1" s="3" t="s">
        <v>1</v>
      </c>
      <c r="C1" s="3" t="s">
        <v>2</v>
      </c>
    </row>
    <row r="2" spans="1:3" x14ac:dyDescent="0.3">
      <c r="A2" s="15" t="s">
        <v>138</v>
      </c>
      <c r="B2" s="16"/>
      <c r="C2" s="16"/>
    </row>
    <row r="3" spans="1:3" x14ac:dyDescent="0.3">
      <c r="A3" t="s">
        <v>139</v>
      </c>
      <c r="B3" s="7">
        <v>1.7</v>
      </c>
    </row>
    <row r="4" spans="1:3" x14ac:dyDescent="0.3">
      <c r="A4" t="s">
        <v>140</v>
      </c>
      <c r="B4" s="8">
        <v>180</v>
      </c>
    </row>
    <row r="5" spans="1:3" x14ac:dyDescent="0.3">
      <c r="A5" t="s">
        <v>141</v>
      </c>
      <c r="B5" s="8">
        <v>5500</v>
      </c>
      <c r="C5" s="2"/>
    </row>
    <row r="6" spans="1:3" x14ac:dyDescent="0.3">
      <c r="A6" t="s">
        <v>142</v>
      </c>
      <c r="B6" s="8">
        <v>40500</v>
      </c>
      <c r="C6" s="2"/>
    </row>
    <row r="7" spans="1:3" x14ac:dyDescent="0.3">
      <c r="A7" s="15" t="s">
        <v>143</v>
      </c>
      <c r="B7" s="16"/>
      <c r="C7" s="16"/>
    </row>
    <row r="8" spans="1:3" x14ac:dyDescent="0.3">
      <c r="A8" t="s">
        <v>144</v>
      </c>
      <c r="B8" s="6">
        <v>1E-3</v>
      </c>
    </row>
    <row r="9" spans="1:3" x14ac:dyDescent="0.3">
      <c r="A9" t="s">
        <v>145</v>
      </c>
      <c r="B9" s="6">
        <v>0</v>
      </c>
    </row>
    <row r="10" spans="1:3" x14ac:dyDescent="0.3">
      <c r="A10" t="s">
        <v>146</v>
      </c>
      <c r="B10" s="6">
        <v>0.253</v>
      </c>
    </row>
    <row r="11" spans="1:3" x14ac:dyDescent="0.3">
      <c r="A11" t="s">
        <v>147</v>
      </c>
      <c r="B11" s="6">
        <v>0</v>
      </c>
    </row>
    <row r="12" spans="1:3" x14ac:dyDescent="0.3">
      <c r="A12" t="s">
        <v>148</v>
      </c>
      <c r="B12">
        <v>7.5399999999999995E-2</v>
      </c>
    </row>
    <row r="13" spans="1:3" x14ac:dyDescent="0.3">
      <c r="A13" s="15" t="s">
        <v>149</v>
      </c>
      <c r="B13" s="16"/>
      <c r="C13" s="16"/>
    </row>
    <row r="14" spans="1:3" x14ac:dyDescent="0.3">
      <c r="A14" t="s">
        <v>150</v>
      </c>
      <c r="B14" s="6">
        <v>0</v>
      </c>
      <c r="C14" s="2"/>
    </row>
    <row r="15" spans="1:3" x14ac:dyDescent="0.3">
      <c r="A15" t="s">
        <v>151</v>
      </c>
      <c r="B15">
        <v>0.40500000000000003</v>
      </c>
      <c r="C15" s="2" t="s">
        <v>152</v>
      </c>
    </row>
    <row r="16" spans="1:3" x14ac:dyDescent="0.3">
      <c r="A16" t="s">
        <v>189</v>
      </c>
      <c r="B16">
        <v>293.14999999999998</v>
      </c>
      <c r="C16" s="2" t="s">
        <v>190</v>
      </c>
    </row>
    <row r="17" spans="1:3" x14ac:dyDescent="0.3">
      <c r="A17" t="s">
        <v>191</v>
      </c>
      <c r="B17" s="12">
        <v>6000000</v>
      </c>
      <c r="C17" s="2" t="s">
        <v>192</v>
      </c>
    </row>
    <row r="18" spans="1:3" x14ac:dyDescent="0.3">
      <c r="A18" t="s">
        <v>193</v>
      </c>
      <c r="B18">
        <v>0.9</v>
      </c>
      <c r="C18" s="2" t="s">
        <v>194</v>
      </c>
    </row>
    <row r="19" spans="1:3" x14ac:dyDescent="0.3">
      <c r="A19" t="s">
        <v>153</v>
      </c>
      <c r="B19">
        <v>0.57699999999999996</v>
      </c>
      <c r="C19" s="2" t="s">
        <v>154</v>
      </c>
    </row>
    <row r="20" spans="1:3" x14ac:dyDescent="0.3">
      <c r="A20" t="s">
        <v>195</v>
      </c>
      <c r="B20">
        <v>90.15</v>
      </c>
      <c r="C20" s="2" t="s">
        <v>190</v>
      </c>
    </row>
    <row r="21" spans="1:3" x14ac:dyDescent="0.3">
      <c r="A21" t="s">
        <v>196</v>
      </c>
      <c r="B21" s="12">
        <v>6000000</v>
      </c>
      <c r="C21" s="2" t="s">
        <v>192</v>
      </c>
    </row>
    <row r="22" spans="1:3" ht="15" customHeight="1" x14ac:dyDescent="0.3">
      <c r="A22" t="s">
        <v>155</v>
      </c>
      <c r="B22">
        <v>2.605</v>
      </c>
      <c r="C22" s="2" t="s">
        <v>156</v>
      </c>
    </row>
    <row r="23" spans="1:3" x14ac:dyDescent="0.3">
      <c r="A23" s="15" t="s">
        <v>157</v>
      </c>
      <c r="B23" s="16"/>
      <c r="C23" s="16"/>
    </row>
    <row r="24" spans="1:3" x14ac:dyDescent="0.3">
      <c r="A24" t="s">
        <v>158</v>
      </c>
      <c r="B24">
        <v>300</v>
      </c>
    </row>
    <row r="25" spans="1:3" x14ac:dyDescent="0.3">
      <c r="A25" t="s">
        <v>159</v>
      </c>
      <c r="B25">
        <v>0.2</v>
      </c>
    </row>
    <row r="26" spans="1:3" x14ac:dyDescent="0.3">
      <c r="A26" t="s">
        <v>160</v>
      </c>
      <c r="B26">
        <v>0</v>
      </c>
    </row>
    <row r="27" spans="1:3" x14ac:dyDescent="0.3">
      <c r="A27" t="s">
        <v>161</v>
      </c>
      <c r="B27">
        <v>0.123</v>
      </c>
    </row>
    <row r="28" spans="1:3" x14ac:dyDescent="0.3">
      <c r="A28" t="s">
        <v>162</v>
      </c>
      <c r="B28">
        <v>0</v>
      </c>
    </row>
    <row r="29" spans="1:3" x14ac:dyDescent="0.3">
      <c r="A29" t="s">
        <v>163</v>
      </c>
      <c r="B29">
        <v>0.17499999999999999</v>
      </c>
    </row>
    <row r="30" spans="1:3" x14ac:dyDescent="0.3">
      <c r="A30" s="15" t="s">
        <v>164</v>
      </c>
      <c r="B30" s="16"/>
      <c r="C30" s="16"/>
    </row>
    <row r="31" spans="1:3" x14ac:dyDescent="0.3">
      <c r="A31" t="s">
        <v>165</v>
      </c>
      <c r="B31">
        <v>0</v>
      </c>
      <c r="C31" s="2" t="s">
        <v>166</v>
      </c>
    </row>
    <row r="32" spans="1:3" x14ac:dyDescent="0.3">
      <c r="A32" t="s">
        <v>167</v>
      </c>
      <c r="B32">
        <v>3300</v>
      </c>
      <c r="C32" s="2" t="s">
        <v>168</v>
      </c>
    </row>
    <row r="34" spans="1:2" x14ac:dyDescent="0.3">
      <c r="A34" t="s">
        <v>169</v>
      </c>
    </row>
    <row r="35" spans="1:2" x14ac:dyDescent="0.3">
      <c r="A35" t="s">
        <v>170</v>
      </c>
      <c r="B35" t="s">
        <v>171</v>
      </c>
    </row>
    <row r="36" spans="1:2" x14ac:dyDescent="0.3">
      <c r="A36" t="s">
        <v>172</v>
      </c>
      <c r="B36">
        <v>0</v>
      </c>
    </row>
  </sheetData>
  <mergeCells count="5">
    <mergeCell ref="A13:C13"/>
    <mergeCell ref="A30:C30"/>
    <mergeCell ref="A7:C7"/>
    <mergeCell ref="A23:C23"/>
    <mergeCell ref="A2:C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topLeftCell="A21" zoomScale="190" workbookViewId="0">
      <selection activeCell="B3" sqref="B3"/>
    </sheetView>
  </sheetViews>
  <sheetFormatPr baseColWidth="10" defaultColWidth="8.77734375" defaultRowHeight="14.4" x14ac:dyDescent="0.3"/>
  <cols>
    <col min="1" max="1" width="32" customWidth="1"/>
    <col min="2" max="2" width="16" customWidth="1"/>
    <col min="3" max="3" width="55" customWidth="1"/>
  </cols>
  <sheetData>
    <row r="1" spans="1:3" ht="22.05" customHeight="1" x14ac:dyDescent="0.3">
      <c r="A1" s="4" t="s">
        <v>0</v>
      </c>
      <c r="B1" s="4" t="s">
        <v>1</v>
      </c>
      <c r="C1" s="4" t="s">
        <v>2</v>
      </c>
    </row>
    <row r="2" spans="1:3" x14ac:dyDescent="0.3">
      <c r="A2" s="17" t="s">
        <v>3</v>
      </c>
      <c r="B2" s="16"/>
      <c r="C2" s="16"/>
    </row>
    <row r="3" spans="1:3" x14ac:dyDescent="0.3">
      <c r="A3" t="s">
        <v>4</v>
      </c>
      <c r="B3" t="s">
        <v>5</v>
      </c>
      <c r="C3" s="2" t="s">
        <v>6</v>
      </c>
    </row>
    <row r="4" spans="1:3" x14ac:dyDescent="0.3">
      <c r="A4" t="s">
        <v>7</v>
      </c>
      <c r="B4" t="s">
        <v>8</v>
      </c>
      <c r="C4" s="2" t="s">
        <v>9</v>
      </c>
    </row>
    <row r="5" spans="1:3" x14ac:dyDescent="0.3">
      <c r="A5" t="s">
        <v>10</v>
      </c>
      <c r="B5" s="8">
        <v>1000</v>
      </c>
      <c r="C5" s="2" t="s">
        <v>11</v>
      </c>
    </row>
    <row r="6" spans="1:3" x14ac:dyDescent="0.3">
      <c r="A6" t="s">
        <v>12</v>
      </c>
      <c r="B6" t="s">
        <v>13</v>
      </c>
      <c r="C6" s="2" t="s">
        <v>14</v>
      </c>
    </row>
    <row r="7" spans="1:3" x14ac:dyDescent="0.3">
      <c r="A7" s="17" t="s">
        <v>15</v>
      </c>
      <c r="B7" s="16"/>
      <c r="C7" s="16"/>
    </row>
    <row r="8" spans="1:3" x14ac:dyDescent="0.3">
      <c r="A8" t="s">
        <v>16</v>
      </c>
      <c r="B8">
        <v>2026</v>
      </c>
    </row>
    <row r="9" spans="1:3" x14ac:dyDescent="0.3">
      <c r="A9" t="s">
        <v>17</v>
      </c>
      <c r="B9">
        <v>6</v>
      </c>
    </row>
    <row r="10" spans="1:3" x14ac:dyDescent="0.3">
      <c r="A10" t="s">
        <v>18</v>
      </c>
      <c r="B10">
        <v>2</v>
      </c>
    </row>
    <row r="11" spans="1:3" x14ac:dyDescent="0.3">
      <c r="A11" t="s">
        <v>19</v>
      </c>
      <c r="B11">
        <v>12</v>
      </c>
    </row>
    <row r="12" spans="1:3" x14ac:dyDescent="0.3">
      <c r="A12" t="s">
        <v>20</v>
      </c>
      <c r="B12">
        <v>0</v>
      </c>
    </row>
    <row r="13" spans="1:3" x14ac:dyDescent="0.3">
      <c r="A13" t="s">
        <v>21</v>
      </c>
      <c r="B13">
        <v>39.390149899999997</v>
      </c>
      <c r="C13" s="2" t="s">
        <v>22</v>
      </c>
    </row>
    <row r="14" spans="1:3" x14ac:dyDescent="0.3">
      <c r="A14" t="s">
        <v>23</v>
      </c>
      <c r="B14">
        <v>-8.2891452999999995</v>
      </c>
      <c r="C14" s="2" t="s">
        <v>22</v>
      </c>
    </row>
    <row r="15" spans="1:3" x14ac:dyDescent="0.3">
      <c r="A15" t="s">
        <v>24</v>
      </c>
      <c r="B15">
        <v>130</v>
      </c>
      <c r="C15" s="2" t="s">
        <v>25</v>
      </c>
    </row>
    <row r="16" spans="1:3" x14ac:dyDescent="0.3">
      <c r="A16" s="17" t="s">
        <v>26</v>
      </c>
      <c r="B16" s="16"/>
      <c r="C16" s="16"/>
    </row>
    <row r="17" spans="1:3" x14ac:dyDescent="0.3">
      <c r="A17" t="s">
        <v>27</v>
      </c>
      <c r="B17">
        <v>6</v>
      </c>
      <c r="C17" s="2" t="s">
        <v>28</v>
      </c>
    </row>
    <row r="18" spans="1:3" x14ac:dyDescent="0.3">
      <c r="A18" t="s">
        <v>29</v>
      </c>
      <c r="B18">
        <v>6</v>
      </c>
      <c r="C18" s="2" t="s">
        <v>30</v>
      </c>
    </row>
    <row r="19" spans="1:3" ht="15" customHeight="1" x14ac:dyDescent="0.3">
      <c r="A19" t="s">
        <v>31</v>
      </c>
      <c r="B19">
        <v>11.65</v>
      </c>
      <c r="C19" s="2" t="s">
        <v>32</v>
      </c>
    </row>
    <row r="20" spans="1:3" x14ac:dyDescent="0.3">
      <c r="A20" t="s">
        <v>33</v>
      </c>
      <c r="B20">
        <v>0.5</v>
      </c>
      <c r="C20" s="2" t="s">
        <v>34</v>
      </c>
    </row>
    <row r="21" spans="1:3" x14ac:dyDescent="0.3">
      <c r="A21" t="s">
        <v>35</v>
      </c>
      <c r="B21">
        <v>84</v>
      </c>
      <c r="C21" s="2" t="s">
        <v>36</v>
      </c>
    </row>
    <row r="22" spans="1:3" x14ac:dyDescent="0.3">
      <c r="A22" t="s">
        <v>37</v>
      </c>
      <c r="B22">
        <v>144</v>
      </c>
      <c r="C22" s="2" t="s">
        <v>38</v>
      </c>
    </row>
    <row r="24" spans="1:3" x14ac:dyDescent="0.3">
      <c r="A24" t="s">
        <v>39</v>
      </c>
      <c r="C24" s="2"/>
    </row>
    <row r="25" spans="1:3" x14ac:dyDescent="0.3">
      <c r="A25" t="s">
        <v>40</v>
      </c>
      <c r="B25" t="b">
        <v>1</v>
      </c>
    </row>
    <row r="26" spans="1:3" x14ac:dyDescent="0.3">
      <c r="A26" t="s">
        <v>41</v>
      </c>
      <c r="B26" t="b">
        <v>0</v>
      </c>
    </row>
    <row r="27" spans="1:3" x14ac:dyDescent="0.3">
      <c r="A27" t="s">
        <v>42</v>
      </c>
      <c r="B27" t="b">
        <v>0</v>
      </c>
    </row>
    <row r="28" spans="1:3" x14ac:dyDescent="0.3">
      <c r="A28" t="s">
        <v>43</v>
      </c>
      <c r="B28" t="b">
        <v>0</v>
      </c>
    </row>
    <row r="29" spans="1:3" x14ac:dyDescent="0.3">
      <c r="A29" t="s">
        <v>44</v>
      </c>
      <c r="B29" t="b">
        <v>0</v>
      </c>
    </row>
    <row r="30" spans="1:3" x14ac:dyDescent="0.3">
      <c r="A30" t="s">
        <v>45</v>
      </c>
      <c r="B30" t="b">
        <v>0</v>
      </c>
    </row>
    <row r="31" spans="1:3" x14ac:dyDescent="0.3">
      <c r="A31" t="s">
        <v>46</v>
      </c>
      <c r="B31" t="b">
        <v>0</v>
      </c>
    </row>
    <row r="32" spans="1:3" x14ac:dyDescent="0.3">
      <c r="C32" s="2"/>
    </row>
  </sheetData>
  <mergeCells count="3">
    <mergeCell ref="A16:C16"/>
    <mergeCell ref="A7:C7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1"/>
  <sheetViews>
    <sheetView zoomScale="112" workbookViewId="0">
      <selection activeCell="F5" sqref="F5"/>
    </sheetView>
  </sheetViews>
  <sheetFormatPr baseColWidth="10" defaultRowHeight="14.4" x14ac:dyDescent="0.3"/>
  <cols>
    <col min="1" max="1" width="22.109375" customWidth="1"/>
    <col min="2" max="2" width="35.77734375" customWidth="1"/>
  </cols>
  <sheetData>
    <row r="1" spans="1:2" x14ac:dyDescent="0.3">
      <c r="A1" s="7"/>
      <c r="B1" s="7"/>
    </row>
    <row r="2" spans="1:2" x14ac:dyDescent="0.3">
      <c r="A2" s="18" t="s">
        <v>173</v>
      </c>
      <c r="B2" s="14"/>
    </row>
    <row r="3" spans="1:2" x14ac:dyDescent="0.3">
      <c r="A3" s="11" t="s">
        <v>174</v>
      </c>
      <c r="B3" s="7">
        <v>5500</v>
      </c>
    </row>
    <row r="4" spans="1:2" x14ac:dyDescent="0.3">
      <c r="A4" s="11" t="s">
        <v>175</v>
      </c>
      <c r="B4" s="7">
        <v>40411.022698499997</v>
      </c>
    </row>
    <row r="5" spans="1:2" x14ac:dyDescent="0.3">
      <c r="A5" s="18" t="s">
        <v>176</v>
      </c>
      <c r="B5" s="14"/>
    </row>
    <row r="6" spans="1:2" x14ac:dyDescent="0.3">
      <c r="A6" s="11" t="s">
        <v>177</v>
      </c>
      <c r="B6" s="7">
        <v>3807.5145338293319</v>
      </c>
    </row>
    <row r="7" spans="1:2" x14ac:dyDescent="0.3">
      <c r="A7" s="11" t="s">
        <v>178</v>
      </c>
      <c r="B7" s="7">
        <v>3911.5145338293319</v>
      </c>
    </row>
    <row r="8" spans="1:2" x14ac:dyDescent="0.3">
      <c r="A8" s="11" t="s">
        <v>179</v>
      </c>
      <c r="B8" s="7">
        <v>272.83375364988592</v>
      </c>
    </row>
    <row r="9" spans="1:2" x14ac:dyDescent="0.3">
      <c r="A9" s="11" t="s">
        <v>180</v>
      </c>
      <c r="B9" s="7">
        <v>66.099687856506478</v>
      </c>
    </row>
    <row r="10" spans="1:2" x14ac:dyDescent="0.3">
      <c r="A10" s="11" t="s">
        <v>181</v>
      </c>
      <c r="B10" s="7">
        <v>0.81504806695996479</v>
      </c>
    </row>
    <row r="11" spans="1:2" x14ac:dyDescent="0.3">
      <c r="A11" s="11" t="s">
        <v>182</v>
      </c>
      <c r="B11" s="7">
        <v>30.49613725715653</v>
      </c>
    </row>
    <row r="12" spans="1:2" x14ac:dyDescent="0.3">
      <c r="A12" s="11" t="s">
        <v>183</v>
      </c>
      <c r="B12" s="7">
        <v>165.6653175932592</v>
      </c>
    </row>
    <row r="13" spans="1:2" x14ac:dyDescent="0.3">
      <c r="A13" s="18" t="s">
        <v>184</v>
      </c>
      <c r="B13" s="14"/>
    </row>
    <row r="14" spans="1:2" x14ac:dyDescent="0.3">
      <c r="A14" s="11" t="s">
        <v>185</v>
      </c>
      <c r="B14" s="7">
        <v>27.919218121086761</v>
      </c>
    </row>
    <row r="15" spans="1:2" x14ac:dyDescent="0.3">
      <c r="A15" s="11" t="s">
        <v>186</v>
      </c>
      <c r="B15" s="7">
        <v>3.3476788497937262</v>
      </c>
    </row>
    <row r="16" spans="1:2" x14ac:dyDescent="0.3">
      <c r="A16" s="18" t="s">
        <v>187</v>
      </c>
      <c r="B16" s="14"/>
    </row>
    <row r="17" spans="1:2" x14ac:dyDescent="0.3">
      <c r="A17" s="11" t="s">
        <v>188</v>
      </c>
      <c r="B17" s="7">
        <v>3.3255509324656729</v>
      </c>
    </row>
    <row r="18" spans="1:2" x14ac:dyDescent="0.3">
      <c r="A18" s="10"/>
    </row>
    <row r="19" spans="1:2" x14ac:dyDescent="0.3">
      <c r="A19" s="10"/>
    </row>
    <row r="20" spans="1:2" x14ac:dyDescent="0.3">
      <c r="A20" s="10"/>
    </row>
    <row r="21" spans="1:2" x14ac:dyDescent="0.3">
      <c r="A21" s="10"/>
    </row>
    <row r="22" spans="1:2" x14ac:dyDescent="0.3">
      <c r="A22" s="10"/>
    </row>
    <row r="23" spans="1:2" x14ac:dyDescent="0.3">
      <c r="A23" s="10"/>
    </row>
    <row r="24" spans="1:2" x14ac:dyDescent="0.3">
      <c r="A24" s="10"/>
    </row>
    <row r="25" spans="1:2" x14ac:dyDescent="0.3">
      <c r="A25" s="10"/>
    </row>
    <row r="26" spans="1:2" x14ac:dyDescent="0.3">
      <c r="A26" s="10"/>
    </row>
    <row r="27" spans="1:2" x14ac:dyDescent="0.3">
      <c r="A27" s="10"/>
    </row>
    <row r="28" spans="1:2" x14ac:dyDescent="0.3">
      <c r="A28" s="10"/>
    </row>
    <row r="29" spans="1:2" x14ac:dyDescent="0.3">
      <c r="A29" s="10"/>
    </row>
    <row r="30" spans="1:2" x14ac:dyDescent="0.3">
      <c r="A30" s="10"/>
    </row>
    <row r="31" spans="1:2" x14ac:dyDescent="0.3">
      <c r="A31" s="10"/>
    </row>
    <row r="32" spans="1:2" x14ac:dyDescent="0.3">
      <c r="A32" s="10"/>
    </row>
    <row r="33" spans="1:1" x14ac:dyDescent="0.3">
      <c r="A33" s="10"/>
    </row>
    <row r="34" spans="1:1" x14ac:dyDescent="0.3">
      <c r="A34" s="10"/>
    </row>
    <row r="35" spans="1:1" x14ac:dyDescent="0.3">
      <c r="A35" s="10"/>
    </row>
    <row r="36" spans="1:1" x14ac:dyDescent="0.3">
      <c r="A36" s="10"/>
    </row>
    <row r="37" spans="1:1" x14ac:dyDescent="0.3">
      <c r="A37" s="10"/>
    </row>
    <row r="38" spans="1:1" x14ac:dyDescent="0.3">
      <c r="A38" s="10"/>
    </row>
    <row r="39" spans="1:1" x14ac:dyDescent="0.3">
      <c r="A39" s="10"/>
    </row>
    <row r="40" spans="1:1" x14ac:dyDescent="0.3">
      <c r="A40" s="10"/>
    </row>
    <row r="41" spans="1:1" x14ac:dyDescent="0.3">
      <c r="A41" s="10"/>
    </row>
  </sheetData>
  <mergeCells count="4">
    <mergeCell ref="A13:B13"/>
    <mergeCell ref="A16:B16"/>
    <mergeCell ref="A2:B2"/>
    <mergeCell ref="A5:B5"/>
  </mergeCells>
  <conditionalFormatting sqref="B6">
    <cfRule type="colorScale" priority="3">
      <colorScale>
        <cfvo type="num" val="2000"/>
        <cfvo type="num" val="3000"/>
        <cfvo type="num" val="4000"/>
        <color rgb="FFF8696B"/>
        <color rgb="FFFFEB84"/>
        <color rgb="FF63BE7B"/>
      </colorScale>
    </cfRule>
  </conditionalFormatting>
  <conditionalFormatting sqref="B14">
    <cfRule type="colorScale" priority="1">
      <colorScale>
        <cfvo type="num" val="25"/>
        <cfvo type="num" val="30"/>
        <cfvo type="num" val="3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Structure</vt:lpstr>
      <vt:lpstr>Propellant </vt:lpstr>
      <vt:lpstr>Parameters </vt:lpstr>
      <vt:lpstr>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Valentine Thürler</cp:lastModifiedBy>
  <dcterms:created xsi:type="dcterms:W3CDTF">2026-05-13T06:55:08Z</dcterms:created>
  <dcterms:modified xsi:type="dcterms:W3CDTF">2026-10-14T20:54:25Z</dcterms:modified>
</cp:coreProperties>
</file>