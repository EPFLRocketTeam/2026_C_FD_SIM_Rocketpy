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3896" firstSheet="0" activeTab="0"/>
  </bookViews>
  <sheets>
    <sheet sheetId="1" name="Structure" state="visible" r:id="rId4"/>
    <sheet sheetId="2" name="Propellant " state="visible" r:id="rId5"/>
    <sheet sheetId="3" name="Parameters " state="visible" r:id="rId6"/>
    <sheet sheetId="4" name="Simulation" state="visible" r:id="rId7"/>
  </sheets>
  <calcPr calcId="171027"/>
</workbook>
</file>

<file path=xl/sharedStrings.xml><?xml version="1.0" encoding="utf-8"?>
<sst xmlns="http://schemas.openxmlformats.org/spreadsheetml/2006/main" count="255" uniqueCount="222">
  <si>
    <t>Name</t>
  </si>
  <si>
    <t>Value</t>
  </si>
  <si>
    <t>Description</t>
  </si>
  <si>
    <t xml:space="preserve">ROCKET </t>
  </si>
  <si>
    <t>Longeur :</t>
  </si>
  <si>
    <t>[m]</t>
  </si>
  <si>
    <t>mode_CoM</t>
  </si>
  <si>
    <t>0 or 1</t>
  </si>
  <si>
    <t>mode_Inertia</t>
  </si>
  <si>
    <t xml:space="preserve">Dry mass: </t>
  </si>
  <si>
    <t>[kg]</t>
  </si>
  <si>
    <t>l_center_of_mass</t>
  </si>
  <si>
    <t>Mode 1 only</t>
  </si>
  <si>
    <t>m_dry_measured</t>
  </si>
  <si>
    <t xml:space="preserve">r_rocket </t>
  </si>
  <si>
    <t xml:space="preserve">Rayon  </t>
  </si>
  <si>
    <t>drag_coeff_rocket</t>
  </si>
  <si>
    <t>Coefficient de trainée</t>
  </si>
  <si>
    <t xml:space="preserve">BOAT TAIL </t>
  </si>
  <si>
    <t>top_r_bt</t>
  </si>
  <si>
    <t xml:space="preserve">Top radius </t>
  </si>
  <si>
    <t>bottom_r_bt</t>
  </si>
  <si>
    <t>Bottom radius</t>
  </si>
  <si>
    <t>l_bt</t>
  </si>
  <si>
    <t xml:space="preserve">Longeur </t>
  </si>
  <si>
    <t>m_bt</t>
  </si>
  <si>
    <t>Masse</t>
  </si>
  <si>
    <t>r_nozzle</t>
  </si>
  <si>
    <t xml:space="preserve">Rayon du nozzle </t>
  </si>
  <si>
    <t>ENGINE BAY</t>
  </si>
  <si>
    <t>l_ebay</t>
  </si>
  <si>
    <t>m_ebay</t>
  </si>
  <si>
    <t>LOX BAY</t>
  </si>
  <si>
    <t>pos_lox</t>
  </si>
  <si>
    <t>Position</t>
  </si>
  <si>
    <t>l_lox</t>
  </si>
  <si>
    <t>Longeur</t>
  </si>
  <si>
    <t>m_lox</t>
  </si>
  <si>
    <t xml:space="preserve">AEROCOVER </t>
  </si>
  <si>
    <t xml:space="preserve">pos_aerocover </t>
  </si>
  <si>
    <t xml:space="preserve">m_aerocover </t>
  </si>
  <si>
    <t>l_aerocover</t>
  </si>
  <si>
    <t xml:space="preserve">r_aerocover </t>
  </si>
  <si>
    <t xml:space="preserve">Rayon </t>
  </si>
  <si>
    <t>PBAY 1</t>
  </si>
  <si>
    <t>pos_copv_mbay</t>
  </si>
  <si>
    <t>l_pbay1</t>
  </si>
  <si>
    <t>m_pbay1</t>
  </si>
  <si>
    <t>ETH BAY</t>
  </si>
  <si>
    <t>pos_eth</t>
  </si>
  <si>
    <t>l_eth</t>
  </si>
  <si>
    <t>m_eth</t>
  </si>
  <si>
    <t>PBAY 2</t>
  </si>
  <si>
    <t>pos_copv_pbay</t>
  </si>
  <si>
    <t>l_pbay2</t>
  </si>
  <si>
    <t>m_pbay2</t>
  </si>
  <si>
    <t xml:space="preserve">AV BAY </t>
  </si>
  <si>
    <t>l_avbay</t>
  </si>
  <si>
    <t>m_avbay</t>
  </si>
  <si>
    <t xml:space="preserve">RE BAY </t>
  </si>
  <si>
    <t>l_rebay</t>
  </si>
  <si>
    <t>m_rebay</t>
  </si>
  <si>
    <t xml:space="preserve">Masse  </t>
  </si>
  <si>
    <t>drag_coeff_para_reefed</t>
  </si>
  <si>
    <t>Coefficient de trainée reefed</t>
  </si>
  <si>
    <t>drag_coeff_para_unreefed</t>
  </si>
  <si>
    <t>Coefficient de trainée unreefed</t>
  </si>
  <si>
    <t>trig_alt_para</t>
  </si>
  <si>
    <t xml:space="preserve">Altitude trigger </t>
  </si>
  <si>
    <t>NOSE CONE</t>
  </si>
  <si>
    <t xml:space="preserve">l_nosecone </t>
  </si>
  <si>
    <t>m_nosecone</t>
  </si>
  <si>
    <t xml:space="preserve">Masse </t>
  </si>
  <si>
    <t xml:space="preserve">TANK </t>
  </si>
  <si>
    <t>r_int</t>
  </si>
  <si>
    <t xml:space="preserve">Rayon intérieur </t>
  </si>
  <si>
    <t>tank_spherical_caps</t>
  </si>
  <si>
    <t xml:space="preserve">Hauteur </t>
  </si>
  <si>
    <t>tank_volume</t>
  </si>
  <si>
    <t xml:space="preserve">Hauteur des bulkead ellipse </t>
  </si>
  <si>
    <t>COPV</t>
  </si>
  <si>
    <t>r_int_copv</t>
  </si>
  <si>
    <t>copv_spherical_caps</t>
  </si>
  <si>
    <t>copv_volume</t>
  </si>
  <si>
    <t>Volume</t>
  </si>
  <si>
    <t>FINS</t>
  </si>
  <si>
    <t xml:space="preserve">n_fins </t>
  </si>
  <si>
    <t>Nombre</t>
  </si>
  <si>
    <t>kg</t>
  </si>
  <si>
    <t xml:space="preserve">env_fins </t>
  </si>
  <si>
    <t>Envergure</t>
  </si>
  <si>
    <t>rc_fins</t>
  </si>
  <si>
    <t xml:space="preserve">Root chord </t>
  </si>
  <si>
    <t>tc_fins</t>
  </si>
  <si>
    <t xml:space="preserve">Tip chord </t>
  </si>
  <si>
    <t xml:space="preserve">pos_fins </t>
  </si>
  <si>
    <t xml:space="preserve">Position </t>
  </si>
  <si>
    <t>mm</t>
  </si>
  <si>
    <t>cangle_fins</t>
  </si>
  <si>
    <t xml:space="preserve">Cant angle </t>
  </si>
  <si>
    <t>sweep_l_fins</t>
  </si>
  <si>
    <t xml:space="preserve">Sweep length </t>
  </si>
  <si>
    <t>m_fins</t>
  </si>
  <si>
    <t>Update manually each save</t>
  </si>
  <si>
    <t>RAIL BUTTON</t>
  </si>
  <si>
    <t>pos_sup_rb</t>
  </si>
  <si>
    <t>Position supérieure</t>
  </si>
  <si>
    <t>pos_inf_rb</t>
  </si>
  <si>
    <t xml:space="preserve">Position inférieure </t>
  </si>
  <si>
    <t>PARAMÈTRES</t>
  </si>
  <si>
    <t>of_ratio</t>
  </si>
  <si>
    <t>isp</t>
  </si>
  <si>
    <t>thrust</t>
  </si>
  <si>
    <t>total_impulse</t>
  </si>
  <si>
    <t>MASS FLOW RATE</t>
  </si>
  <si>
    <t>lox_boil_off</t>
  </si>
  <si>
    <t xml:space="preserve">lox_prechill </t>
  </si>
  <si>
    <t>lox_ignition</t>
  </si>
  <si>
    <t>lox_ramp_up</t>
  </si>
  <si>
    <t>lox_ramp_down</t>
  </si>
  <si>
    <t>lox_cutoff</t>
  </si>
  <si>
    <t xml:space="preserve">eth_ignition </t>
  </si>
  <si>
    <t>eth_ramp_up</t>
  </si>
  <si>
    <t>eth_ramp_down</t>
  </si>
  <si>
    <t>eth_cutoff</t>
  </si>
  <si>
    <t>eth_frac_cooling</t>
  </si>
  <si>
    <t>MASS</t>
  </si>
  <si>
    <t>m_eth_unused</t>
  </si>
  <si>
    <t>Eth non-consommé</t>
  </si>
  <si>
    <t>eth_temperature</t>
  </si>
  <si>
    <t>Température en K</t>
  </si>
  <si>
    <t>eth_pressure</t>
  </si>
  <si>
    <t>Pression en Pa</t>
  </si>
  <si>
    <t>eth_massic_frac</t>
  </si>
  <si>
    <t>Fraction massique de l'eth dans le fuel (par rapport à l'eau)</t>
  </si>
  <si>
    <t>m_lox_unused</t>
  </si>
  <si>
    <t xml:space="preserve">Lox non-consommé </t>
  </si>
  <si>
    <t>lox_temperature</t>
  </si>
  <si>
    <t>lox_pressure</t>
  </si>
  <si>
    <t>m_n2</t>
  </si>
  <si>
    <t xml:space="preserve">N2 dans un copv </t>
  </si>
  <si>
    <t>TIME</t>
  </si>
  <si>
    <t xml:space="preserve">hold_time </t>
  </si>
  <si>
    <t xml:space="preserve">prechill_time </t>
  </si>
  <si>
    <t>ignition_delay</t>
  </si>
  <si>
    <t xml:space="preserve">ramp_up_time </t>
  </si>
  <si>
    <t xml:space="preserve">cutoff_time </t>
  </si>
  <si>
    <t xml:space="preserve">ramp_down_time </t>
  </si>
  <si>
    <t xml:space="preserve">FORCE </t>
  </si>
  <si>
    <t xml:space="preserve">f_shutdown </t>
  </si>
  <si>
    <t xml:space="preserve">Force finale de la thrust curve </t>
  </si>
  <si>
    <t xml:space="preserve">f_hold_down </t>
  </si>
  <si>
    <t xml:space="preserve">Force du hold-down </t>
  </si>
  <si>
    <t>THRUST CURVE MODEL</t>
  </si>
  <si>
    <t>thrust_curve_mode</t>
  </si>
  <si>
    <t>constant</t>
  </si>
  <si>
    <t>constant or peaked</t>
  </si>
  <si>
    <t>derated_thrust</t>
  </si>
  <si>
    <t xml:space="preserve">ENREGISTREMENT </t>
  </si>
  <si>
    <t xml:space="preserve">version </t>
  </si>
  <si>
    <t>EuRoC_rapport</t>
  </si>
  <si>
    <t xml:space="preserve">Nom de la simulation </t>
  </si>
  <si>
    <t>save_files</t>
  </si>
  <si>
    <t xml:space="preserve">True </t>
  </si>
  <si>
    <t xml:space="preserve">Crée .eng et .csv </t>
  </si>
  <si>
    <t>n_points</t>
  </si>
  <si>
    <t xml:space="preserve">Discrétisation </t>
  </si>
  <si>
    <t>write_to_file</t>
  </si>
  <si>
    <t>Écrire les résultats</t>
  </si>
  <si>
    <t xml:space="preserve">ENVIRONNEMENT </t>
  </si>
  <si>
    <t>annee</t>
  </si>
  <si>
    <t>mois</t>
  </si>
  <si>
    <t>jour</t>
  </si>
  <si>
    <t>heure</t>
  </si>
  <si>
    <t>minute</t>
  </si>
  <si>
    <t xml:space="preserve">latitude </t>
  </si>
  <si>
    <t>EuRoC</t>
  </si>
  <si>
    <t>longitude</t>
  </si>
  <si>
    <t xml:space="preserve">elevation </t>
  </si>
  <si>
    <t xml:space="preserve">Altitude </t>
  </si>
  <si>
    <t>RAIL</t>
  </si>
  <si>
    <t>alpha_rail</t>
  </si>
  <si>
    <t>Angle d'inclinaison p.r. à l'horizontale</t>
  </si>
  <si>
    <t xml:space="preserve">beta_rail </t>
  </si>
  <si>
    <t>Angle entre la direction de réaction et la normale au rail.</t>
  </si>
  <si>
    <t>l_rail</t>
  </si>
  <si>
    <t xml:space="preserve">coeff_fr_rail </t>
  </si>
  <si>
    <t xml:space="preserve">Coefficient de frottement </t>
  </si>
  <si>
    <t>inclination_rail</t>
  </si>
  <si>
    <t xml:space="preserve">Inclinaison </t>
  </si>
  <si>
    <t xml:space="preserve">heading_rail </t>
  </si>
  <si>
    <t xml:space="preserve">Orientation </t>
  </si>
  <si>
    <t>SORTIES SOUHAITEES</t>
  </si>
  <si>
    <t>output_general</t>
  </si>
  <si>
    <t>output_euler_angles</t>
  </si>
  <si>
    <t>output_stability</t>
  </si>
  <si>
    <t>output_trajectory</t>
  </si>
  <si>
    <t>output_velocity</t>
  </si>
  <si>
    <t>output_acceleration</t>
  </si>
  <si>
    <t>output_thrust_curve</t>
  </si>
  <si>
    <t>MASSE</t>
  </si>
  <si>
    <t>Dry mass [kg]</t>
  </si>
  <si>
    <t>Wet mass (initial) [kg]</t>
  </si>
  <si>
    <t>PERFORMANCES MOTEUR</t>
  </si>
  <si>
    <t>Max thrust [N]</t>
  </si>
  <si>
    <t>Total impulse [Ns]</t>
  </si>
  <si>
    <t>CINÉMATIQUE &amp; TRAJECTOIRE</t>
  </si>
  <si>
    <t>Apogee AGL [m]</t>
  </si>
  <si>
    <t>Apogee ASL [m]</t>
  </si>
  <si>
    <t>Max velocity [m/s]</t>
  </si>
  <si>
    <t>Max acceleration [m/s^2]</t>
  </si>
  <si>
    <t>Max Mach [-]</t>
  </si>
  <si>
    <t>Time to apogee [s]</t>
  </si>
  <si>
    <t>Total flight time [s]</t>
  </si>
  <si>
    <t>SORTIE DE RAMPE</t>
  </si>
  <si>
    <t>Rail exit velocity [m/s]</t>
  </si>
  <si>
    <t>Static margin rail exit [c]</t>
  </si>
  <si>
    <t>STABILITÉ</t>
  </si>
  <si>
    <t>Static margin liftoff [c]</t>
  </si>
  <si>
    <t>Wet Mass [g]</t>
  </si>
  <si>
    <t>7kN</t>
  </si>
  <si>
    <t>Estimation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</si>
</sst>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00"/>
    <numFmt numFmtId="165" formatCode="0.00000"/>
    <numFmt numFmtId="166" formatCode="0.0"/>
    <numFmt numFmtId="167" formatCode="0.0000"/>
  </numFmts>
  <fonts count="8" x14ac:knownFonts="1">
    <font>
      <color theme="1"/>
      <family val="2"/>
      <scheme val="minor"/>
      <sz val="11"/>
      <name val="Calibri"/>
    </font>
    <font>
      <b/>
      <color rgb="FFFFFFFF"/>
      <family val="2"/>
      <sz val="12"/>
      <name val="Calibri"/>
    </font>
    <font>
      <b/>
      <color theme="1"/>
      <family val="2"/>
      <scheme val="minor"/>
      <sz val="11"/>
      <name val="Calibri"/>
    </font>
    <font>
      <i/>
      <color theme="0" tint="-0.499984740745262"/>
      <family val="2"/>
      <scheme val="minor"/>
      <sz val="11"/>
      <name val="Calibri"/>
    </font>
    <font>
      <color theme="1"/>
      <family val="2"/>
      <sz val="10"/>
      <name val="Arial"/>
    </font>
    <font>
      <b/>
      <color rgb="00FFFFFF"/>
      <sz val="11"/>
      <name val="Arial"/>
    </font>
    <font>
      <sz val="10"/>
      <name val="Arial"/>
    </font>
    <font>
      <b/>
      <color theme="1"/>
      <family val="2"/>
      <sz val="10"/>
      <name val="Arial"/>
    </font>
  </fonts>
  <fills count="12">
    <fill>
      <patternFill patternType="none"/>
    </fill>
    <fill>
      <patternFill patternType="gray125"/>
    </fill>
    <fill>
      <patternFill patternType="solid">
        <fgColor rgb="FF305496"/>
      </patternFill>
    </fill>
    <fill>
      <patternFill patternType="solid">
        <fgColor theme="4" tint="0.5999938962981048"/>
        <bgColor indexed="64"/>
      </patternFill>
    </fill>
    <fill>
      <patternFill/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FFCCCCCC"/>
        <bgColor indexed="64"/>
      </patternFill>
    </fill>
    <fill>
      <patternFill patternType="solid">
        <fgColor rgb="FFEFEFEF"/>
        <bgColor indexed="64"/>
      </patternFill>
    </fill>
  </fills>
  <borders count="6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/>
      <right/>
      <top style="thin">
        <color rgb="FF888888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/>
      <bottom/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2" fillId="4" borderId="0" xfId="0" applyFont="1" applyFill="1"/>
    <xf numFmtId="0" fontId="3" fillId="4" borderId="0" xfId="0" applyFont="1" applyFill="1"/>
    <xf numFmtId="2" fontId="0" fillId="4" borderId="0" xfId="0" applyNumberFormat="1" applyFill="1"/>
    <xf numFmtId="164" fontId="2" fillId="4" borderId="0" xfId="0" applyNumberFormat="1" applyFont="1" applyFill="1"/>
    <xf numFmtId="165" fontId="0" fillId="4" borderId="0" xfId="0" applyNumberFormat="1" applyFill="1"/>
    <xf numFmtId="0" fontId="1" fillId="5" borderId="1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/>
    </xf>
    <xf numFmtId="0" fontId="0" fillId="4" borderId="2" xfId="0" applyFill="1" applyBorder="1"/>
    <xf numFmtId="166" fontId="0" fillId="4" borderId="0" xfId="0" applyNumberFormat="1" applyFill="1"/>
    <xf numFmtId="1" fontId="0" fillId="4" borderId="0" xfId="0" applyNumberFormat="1" applyFill="1"/>
    <xf numFmtId="164" fontId="0" fillId="4" borderId="0" xfId="0" applyNumberFormat="1" applyFill="1"/>
    <xf numFmtId="0" fontId="4" fillId="4" borderId="0" xfId="0" applyFont="1" applyFill="1"/>
    <xf numFmtId="11" fontId="0" fillId="4" borderId="0" xfId="0" applyNumberFormat="1" applyFill="1"/>
    <xf numFmtId="0" fontId="2" fillId="6" borderId="0" xfId="0" applyFont="1" applyFill="1" applyAlignment="1">
      <alignment horizontal="center"/>
    </xf>
    <xf numFmtId="0" fontId="1" fillId="7" borderId="1" xfId="0" applyFont="1" applyFill="1" applyBorder="1" applyAlignment="1">
      <alignment horizontal="center" vertical="center" wrapText="1"/>
    </xf>
    <xf numFmtId="0" fontId="2" fillId="8" borderId="2" xfId="0" applyFont="1" applyFill="1" applyBorder="1" applyAlignment="1">
      <alignment horizontal="center" vertical="center"/>
    </xf>
    <xf numFmtId="166" fontId="5" fillId="9" borderId="0" xfId="0" applyNumberFormat="1" applyFont="1" applyFill="1"/>
    <xf numFmtId="166" fontId="6" fillId="4" borderId="0" xfId="0" applyNumberFormat="1" applyFont="1" applyFill="1"/>
    <xf numFmtId="167" fontId="0" fillId="4" borderId="0" xfId="0" applyNumberFormat="1" applyFill="1"/>
    <xf numFmtId="0" fontId="6" fillId="4" borderId="0" xfId="0" applyFont="1" applyFill="1"/>
    <xf numFmtId="0" fontId="5" fillId="9" borderId="0" xfId="0" applyFont="1" applyFill="1"/>
    <xf numFmtId="0" fontId="7" fillId="10" borderId="3" xfId="0" applyFont="1" applyFill="1" applyBorder="1" applyAlignment="1">
      <alignment horizontal="center" vertical="center" wrapText="1"/>
    </xf>
    <xf numFmtId="0" fontId="4" fillId="11" borderId="4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H75"/>
  <sheetViews>
    <sheetView workbookViewId="0" zoomScale="110" zoomScaleNormal="115">
      <pane ySplit="1" topLeftCell="A2" activePane="bottomLeft" state="frozen"/>
      <selection pane="bottomLeft" activeCell="C6" sqref="C6"/>
    </sheetView>
  </sheetViews>
  <sheetFormatPr defaultRowHeight="14.4" outlineLevelRow="0" outlineLevelCol="0" x14ac:dyDescent="0" defaultColWidth="8.77734375" customHeight="1"/>
  <cols>
    <col min="1" max="1" width="32" customWidth="1"/>
    <col min="2" max="2" width="16" customWidth="1"/>
    <col min="3" max="3" width="55" customWidth="1"/>
    <col min="5" max="5" width="10.44140625" customWidth="1"/>
  </cols>
  <sheetData>
    <row r="1" ht="22.05" customHeight="1" spans="1:3" x14ac:dyDescent="0.25">
      <c r="A1" s="1" t="s">
        <v>0</v>
      </c>
      <c r="B1" s="1" t="s">
        <v>1</v>
      </c>
      <c r="C1" s="1" t="s">
        <v>2</v>
      </c>
    </row>
    <row r="2" spans="1:7" x14ac:dyDescent="0.25">
      <c r="A2" s="2" t="s">
        <v>3</v>
      </c>
      <c r="B2"/>
      <c r="C2"/>
      <c r="E2" s="3" t="s">
        <v>4</v>
      </c>
      <c r="F2">
        <f>B12+B16+B20+B29+B33+B37+B40+B43+B49</f>
      </c>
      <c r="G2" t="s">
        <v>5</v>
      </c>
    </row>
    <row r="3" spans="1:5" x14ac:dyDescent="0.25">
      <c r="A3" t="s">
        <v>6</v>
      </c>
      <c r="B3">
        <v>0</v>
      </c>
      <c r="C3" s="4" t="s">
        <v>7</v>
      </c>
      <c r="E3" s="3"/>
    </row>
    <row r="4" spans="1:7" x14ac:dyDescent="0.25">
      <c r="A4" t="s">
        <v>8</v>
      </c>
      <c r="B4">
        <v>1</v>
      </c>
      <c r="C4" s="4" t="s">
        <v>7</v>
      </c>
      <c r="E4" s="3" t="s">
        <v>9</v>
      </c>
      <c r="F4" s="5">
        <f>SUM(B13,B17,B21,B24,B30,B34,B38,B41,B44,B50)+B67</f>
      </c>
      <c r="G4" t="s">
        <v>10</v>
      </c>
    </row>
    <row r="5" spans="1:6" x14ac:dyDescent="0.25">
      <c r="A5" t="s">
        <v>11</v>
      </c>
      <c r="B5">
        <v>2.66</v>
      </c>
      <c r="C5" s="4" t="s">
        <v>12</v>
      </c>
      <c r="E5" s="3"/>
      <c r="F5">
        <f>F4+B6</f>
      </c>
    </row>
    <row r="6" spans="1:5" x14ac:dyDescent="0.25">
      <c r="A6" t="s">
        <v>13</v>
      </c>
      <c r="B6">
        <v>84.5</v>
      </c>
      <c r="C6" s="4" t="s">
        <v>12</v>
      </c>
      <c r="E6" s="6"/>
    </row>
    <row r="7" spans="1:8" x14ac:dyDescent="0.25">
      <c r="A7" t="s">
        <v>14</v>
      </c>
      <c r="B7">
        <v>0.1215</v>
      </c>
      <c r="C7" s="4" t="s">
        <v>15</v>
      </c>
      <c r="E7">
        <f>B7*2</f>
      </c>
      <c r="H7" s="7"/>
    </row>
    <row r="8" spans="1:3" x14ac:dyDescent="0.25">
      <c r="A8" t="s">
        <v>16</v>
      </c>
      <c r="B8">
        <v>0.38</v>
      </c>
      <c r="C8" s="4" t="s">
        <v>17</v>
      </c>
    </row>
    <row r="9" spans="1:3" x14ac:dyDescent="0.25">
      <c r="A9" s="2" t="s">
        <v>18</v>
      </c>
      <c r="B9"/>
      <c r="C9"/>
    </row>
    <row r="10" spans="1:3" x14ac:dyDescent="0.25">
      <c r="A10" t="s">
        <v>19</v>
      </c>
      <c r="B10">
        <v>0.1215</v>
      </c>
      <c r="C10" s="4" t="s">
        <v>20</v>
      </c>
    </row>
    <row r="11" spans="1:3" x14ac:dyDescent="0.25">
      <c r="A11" t="s">
        <v>21</v>
      </c>
      <c r="B11">
        <v>0.07</v>
      </c>
      <c r="C11" s="4" t="s">
        <v>22</v>
      </c>
    </row>
    <row r="12" spans="1:3" x14ac:dyDescent="0.25">
      <c r="A12" t="s">
        <v>23</v>
      </c>
      <c r="B12">
        <v>0.44</v>
      </c>
      <c r="C12" s="4" t="s">
        <v>24</v>
      </c>
    </row>
    <row r="13" spans="1:5" x14ac:dyDescent="0.25">
      <c r="A13" t="s">
        <v>25</v>
      </c>
      <c r="B13">
        <v>1.05</v>
      </c>
      <c r="C13" s="4" t="s">
        <v>26</v>
      </c>
      <c r="D13">
        <v>1.05</v>
      </c>
      <c r="E13">
        <v>7.353</v>
      </c>
    </row>
    <row r="14" spans="1:3" x14ac:dyDescent="0.25">
      <c r="A14" t="s">
        <v>27</v>
      </c>
      <c r="B14">
        <v>0.04946</v>
      </c>
      <c r="C14" s="4" t="s">
        <v>28</v>
      </c>
    </row>
    <row r="15" spans="1:3" x14ac:dyDescent="0.25">
      <c r="A15" s="2" t="s">
        <v>29</v>
      </c>
      <c r="B15"/>
      <c r="C15"/>
    </row>
    <row r="16" spans="1:3" x14ac:dyDescent="0.25">
      <c r="A16" t="s">
        <v>30</v>
      </c>
      <c r="B16">
        <v>0.728</v>
      </c>
      <c r="C16" s="4" t="s">
        <v>24</v>
      </c>
    </row>
    <row r="17" spans="1:5" x14ac:dyDescent="0.25">
      <c r="A17" t="s">
        <v>31</v>
      </c>
      <c r="B17">
        <v>2.6464</v>
      </c>
      <c r="C17" s="4" t="s">
        <v>26</v>
      </c>
      <c r="D17">
        <v>2.6464</v>
      </c>
      <c r="E17">
        <v>12.797</v>
      </c>
    </row>
    <row r="18" spans="1:3" x14ac:dyDescent="0.25">
      <c r="A18" s="2" t="s">
        <v>32</v>
      </c>
      <c r="B18"/>
      <c r="C18"/>
    </row>
    <row r="19" spans="1:3" x14ac:dyDescent="0.25">
      <c r="A19" t="s">
        <v>33</v>
      </c>
      <c r="B19">
        <v>1.393</v>
      </c>
      <c r="C19" s="4" t="s">
        <v>34</v>
      </c>
    </row>
    <row r="20" spans="1:3" x14ac:dyDescent="0.25">
      <c r="A20" t="s">
        <v>35</v>
      </c>
      <c r="B20">
        <v>0.45</v>
      </c>
      <c r="C20" s="4" t="s">
        <v>36</v>
      </c>
    </row>
    <row r="21" spans="1:5" x14ac:dyDescent="0.25">
      <c r="A21" t="s">
        <v>37</v>
      </c>
      <c r="B21">
        <v>0</v>
      </c>
      <c r="C21" s="4" t="s">
        <v>26</v>
      </c>
      <c r="D21">
        <v>0</v>
      </c>
      <c r="E21">
        <v>8.387</v>
      </c>
    </row>
    <row r="22" spans="1:3" x14ac:dyDescent="0.25">
      <c r="A22" s="2" t="s">
        <v>38</v>
      </c>
      <c r="B22"/>
      <c r="C22"/>
    </row>
    <row r="23" spans="1:3" x14ac:dyDescent="0.25">
      <c r="A23" t="s">
        <v>39</v>
      </c>
      <c r="B23">
        <v>0.55</v>
      </c>
      <c r="C23" s="4" t="s">
        <v>34</v>
      </c>
    </row>
    <row r="24" spans="1:5" x14ac:dyDescent="0.25">
      <c r="A24" t="s">
        <v>40</v>
      </c>
      <c r="B24" s="5">
        <v>0.894</v>
      </c>
      <c r="C24" s="4" t="s">
        <v>26</v>
      </c>
      <c r="D24" s="5">
        <v>0.894</v>
      </c>
      <c r="E24" s="5">
        <v>2.379</v>
      </c>
    </row>
    <row r="25" spans="1:3" x14ac:dyDescent="0.25">
      <c r="A25" t="s">
        <v>41</v>
      </c>
      <c r="B25">
        <v>2.533</v>
      </c>
      <c r="C25" s="4" t="s">
        <v>36</v>
      </c>
    </row>
    <row r="26" spans="1:3" x14ac:dyDescent="0.25">
      <c r="A26" t="s">
        <v>42</v>
      </c>
      <c r="B26">
        <v>0.03</v>
      </c>
      <c r="C26" s="4" t="s">
        <v>43</v>
      </c>
    </row>
    <row r="27" spans="1:3" x14ac:dyDescent="0.25">
      <c r="A27" s="2" t="s">
        <v>44</v>
      </c>
      <c r="B27"/>
      <c r="C27"/>
    </row>
    <row r="28" spans="1:3" x14ac:dyDescent="0.25">
      <c r="A28" t="s">
        <v>45</v>
      </c>
      <c r="B28">
        <v>2.22531</v>
      </c>
      <c r="C28" s="4" t="s">
        <v>34</v>
      </c>
    </row>
    <row r="29" spans="1:3" x14ac:dyDescent="0.25">
      <c r="A29" t="s">
        <v>46</v>
      </c>
      <c r="B29">
        <v>1.154</v>
      </c>
      <c r="C29" s="4" t="s">
        <v>36</v>
      </c>
    </row>
    <row r="30" spans="1:5" x14ac:dyDescent="0.25">
      <c r="A30" t="s">
        <v>47</v>
      </c>
      <c r="B30">
        <v>1.7528</v>
      </c>
      <c r="C30" s="4" t="s">
        <v>26</v>
      </c>
      <c r="D30">
        <v>1.7528</v>
      </c>
      <c r="E30">
        <v>17.527</v>
      </c>
    </row>
    <row r="31" spans="1:3" x14ac:dyDescent="0.25">
      <c r="A31" s="2" t="s">
        <v>48</v>
      </c>
      <c r="B31"/>
      <c r="C31"/>
    </row>
    <row r="32" spans="1:3" x14ac:dyDescent="0.25">
      <c r="A32" t="s">
        <v>49</v>
      </c>
      <c r="B32">
        <v>2.998</v>
      </c>
      <c r="C32" s="4" t="s">
        <v>34</v>
      </c>
    </row>
    <row r="33" spans="1:3" x14ac:dyDescent="0.25">
      <c r="A33" t="s">
        <v>50</v>
      </c>
      <c r="B33">
        <v>0.45</v>
      </c>
      <c r="C33" s="4" t="s">
        <v>36</v>
      </c>
    </row>
    <row r="34" spans="1:5" x14ac:dyDescent="0.25">
      <c r="A34" t="s">
        <v>51</v>
      </c>
      <c r="B34">
        <v>0</v>
      </c>
      <c r="C34" s="4" t="s">
        <v>26</v>
      </c>
      <c r="D34">
        <v>0</v>
      </c>
      <c r="E34">
        <v>8.387</v>
      </c>
    </row>
    <row r="35" spans="1:3" x14ac:dyDescent="0.25">
      <c r="A35" s="2" t="s">
        <v>52</v>
      </c>
      <c r="B35"/>
      <c r="C35"/>
    </row>
    <row r="36" spans="1:3" x14ac:dyDescent="0.25">
      <c r="A36" t="s">
        <v>53</v>
      </c>
      <c r="B36">
        <v>3.64731</v>
      </c>
      <c r="C36" s="4" t="s">
        <v>34</v>
      </c>
    </row>
    <row r="37" spans="1:3" x14ac:dyDescent="0.25">
      <c r="A37" t="s">
        <v>54</v>
      </c>
      <c r="B37">
        <v>0.8</v>
      </c>
      <c r="C37" s="4" t="s">
        <v>36</v>
      </c>
    </row>
    <row r="38" spans="1:5" x14ac:dyDescent="0.25">
      <c r="A38" t="s">
        <v>55</v>
      </c>
      <c r="B38">
        <v>1.2154</v>
      </c>
      <c r="C38" s="4" t="s">
        <v>26</v>
      </c>
      <c r="D38">
        <v>1.2154</v>
      </c>
      <c r="E38">
        <v>14.21</v>
      </c>
    </row>
    <row r="39" spans="1:3" x14ac:dyDescent="0.25">
      <c r="A39" s="2" t="s">
        <v>56</v>
      </c>
      <c r="B39"/>
      <c r="C39"/>
    </row>
    <row r="40" spans="1:3" x14ac:dyDescent="0.25">
      <c r="A40" t="s">
        <v>57</v>
      </c>
      <c r="B40">
        <v>0.393</v>
      </c>
      <c r="C40" s="4" t="s">
        <v>36</v>
      </c>
    </row>
    <row r="41" spans="1:5" x14ac:dyDescent="0.25">
      <c r="A41" t="s">
        <v>58</v>
      </c>
      <c r="B41">
        <v>0.5428</v>
      </c>
      <c r="C41" s="4" t="s">
        <v>26</v>
      </c>
      <c r="D41">
        <v>0.5428</v>
      </c>
      <c r="E41">
        <v>9.835</v>
      </c>
    </row>
    <row r="42" spans="1:3" x14ac:dyDescent="0.25">
      <c r="A42" s="2" t="s">
        <v>59</v>
      </c>
      <c r="B42"/>
      <c r="C42"/>
    </row>
    <row r="43" spans="1:3" x14ac:dyDescent="0.25">
      <c r="A43" t="s">
        <v>60</v>
      </c>
      <c r="B43">
        <v>0.781</v>
      </c>
      <c r="C43" s="4" t="s">
        <v>36</v>
      </c>
    </row>
    <row r="44" spans="1:5" x14ac:dyDescent="0.25">
      <c r="A44" t="s">
        <v>61</v>
      </c>
      <c r="B44">
        <v>0.2054</v>
      </c>
      <c r="C44" s="4" t="s">
        <v>62</v>
      </c>
      <c r="D44">
        <v>0.2054</v>
      </c>
      <c r="E44">
        <v>10.311</v>
      </c>
    </row>
    <row r="45" spans="1:3" x14ac:dyDescent="0.25">
      <c r="A45" t="s">
        <v>63</v>
      </c>
      <c r="B45">
        <v>6</v>
      </c>
      <c r="C45" s="4" t="s">
        <v>64</v>
      </c>
    </row>
    <row r="46" spans="1:3" x14ac:dyDescent="0.25">
      <c r="A46" t="s">
        <v>65</v>
      </c>
      <c r="B46">
        <v>42</v>
      </c>
      <c r="C46" s="4" t="s">
        <v>66</v>
      </c>
    </row>
    <row r="47" spans="1:3" x14ac:dyDescent="0.25">
      <c r="A47" t="s">
        <v>67</v>
      </c>
      <c r="B47">
        <v>400</v>
      </c>
      <c r="C47" s="4" t="s">
        <v>68</v>
      </c>
    </row>
    <row r="48" spans="1:3" x14ac:dyDescent="0.25">
      <c r="A48" s="2" t="s">
        <v>69</v>
      </c>
      <c r="B48"/>
      <c r="C48"/>
    </row>
    <row r="49" spans="1:3" x14ac:dyDescent="0.25">
      <c r="A49" t="s">
        <v>70</v>
      </c>
      <c r="B49">
        <v>1.022</v>
      </c>
      <c r="C49" s="4" t="s">
        <v>24</v>
      </c>
    </row>
    <row r="50" spans="1:5" x14ac:dyDescent="0.25">
      <c r="A50" t="s">
        <v>71</v>
      </c>
      <c r="B50">
        <v>3.683</v>
      </c>
      <c r="C50" s="4" t="s">
        <v>72</v>
      </c>
      <c r="D50">
        <v>3.683</v>
      </c>
      <c r="E50">
        <v>5.612</v>
      </c>
    </row>
    <row r="51" spans="1:3" x14ac:dyDescent="0.25">
      <c r="A51" s="2" t="s">
        <v>73</v>
      </c>
      <c r="B51"/>
      <c r="C51"/>
    </row>
    <row r="52" spans="1:3" x14ac:dyDescent="0.25">
      <c r="A52" t="s">
        <v>74</v>
      </c>
      <c r="B52">
        <v>0.115</v>
      </c>
      <c r="C52" s="4" t="s">
        <v>75</v>
      </c>
    </row>
    <row r="53" spans="1:3" x14ac:dyDescent="0.25">
      <c r="A53" t="s">
        <v>76</v>
      </c>
      <c r="B53" t="b">
        <v>0</v>
      </c>
      <c r="C53" s="4" t="s">
        <v>77</v>
      </c>
    </row>
    <row r="54" spans="1:3" x14ac:dyDescent="0.25">
      <c r="A54" t="s">
        <v>78</v>
      </c>
      <c r="B54">
        <v>0.016</v>
      </c>
      <c r="C54" s="4" t="s">
        <v>79</v>
      </c>
    </row>
    <row r="55" spans="1:3" x14ac:dyDescent="0.25">
      <c r="A55" s="2" t="s">
        <v>80</v>
      </c>
      <c r="B55"/>
      <c r="C55"/>
    </row>
    <row r="56" spans="1:3" x14ac:dyDescent="0.25">
      <c r="A56" t="s">
        <v>81</v>
      </c>
      <c r="B56">
        <v>0.0858</v>
      </c>
      <c r="C56" s="4" t="s">
        <v>75</v>
      </c>
    </row>
    <row r="57" spans="1:2" x14ac:dyDescent="0.25">
      <c r="A57" t="s">
        <v>82</v>
      </c>
      <c r="B57" t="b">
        <v>1</v>
      </c>
    </row>
    <row r="58" spans="1:3" x14ac:dyDescent="0.25">
      <c r="A58" t="s">
        <v>83</v>
      </c>
      <c r="B58">
        <v>0.009</v>
      </c>
      <c r="C58" s="4" t="s">
        <v>84</v>
      </c>
    </row>
    <row r="59" spans="1:3" x14ac:dyDescent="0.25">
      <c r="A59" s="2" t="s">
        <v>85</v>
      </c>
      <c r="B59"/>
      <c r="C59"/>
    </row>
    <row r="60" spans="1:6" x14ac:dyDescent="0.25">
      <c r="A60" t="s">
        <v>86</v>
      </c>
      <c r="B60">
        <v>4</v>
      </c>
      <c r="C60" s="4" t="s">
        <v>87</v>
      </c>
      <c r="E60">
        <f>B60*(4.857*B61*((B62+B63)/2))</f>
      </c>
      <c r="F60" t="s">
        <v>88</v>
      </c>
    </row>
    <row r="61" spans="1:3" x14ac:dyDescent="0.25">
      <c r="A61" t="s">
        <v>89</v>
      </c>
      <c r="B61">
        <v>0.3</v>
      </c>
      <c r="C61" s="4" t="s">
        <v>90</v>
      </c>
    </row>
    <row r="62" spans="1:3" x14ac:dyDescent="0.25">
      <c r="A62" t="s">
        <v>91</v>
      </c>
      <c r="B62">
        <v>0.671</v>
      </c>
      <c r="C62" s="4" t="s">
        <v>92</v>
      </c>
    </row>
    <row r="63" spans="1:3" x14ac:dyDescent="0.25">
      <c r="A63" t="s">
        <v>93</v>
      </c>
      <c r="B63">
        <v>0.16</v>
      </c>
      <c r="C63" s="4" t="s">
        <v>94</v>
      </c>
    </row>
    <row r="64" ht="15" customHeight="1" spans="1:6" x14ac:dyDescent="0.25">
      <c r="A64" t="s">
        <v>95</v>
      </c>
      <c r="B64">
        <v>1.13</v>
      </c>
      <c r="C64" s="4" t="s">
        <v>96</v>
      </c>
      <c r="E64">
        <f>(B64-B62)*1000</f>
      </c>
      <c r="F64" t="s">
        <v>97</v>
      </c>
    </row>
    <row r="65" spans="1:3" x14ac:dyDescent="0.25">
      <c r="A65" t="s">
        <v>98</v>
      </c>
      <c r="B65">
        <v>0</v>
      </c>
      <c r="C65" s="4" t="s">
        <v>99</v>
      </c>
    </row>
    <row r="66" spans="1:3" x14ac:dyDescent="0.25">
      <c r="A66" t="s">
        <v>100</v>
      </c>
      <c r="B66">
        <v>0.539</v>
      </c>
      <c r="C66" s="4" t="s">
        <v>101</v>
      </c>
    </row>
    <row r="67" spans="1:3" x14ac:dyDescent="0.25">
      <c r="A67" t="s">
        <v>102</v>
      </c>
      <c r="B67">
        <v>2.4</v>
      </c>
      <c r="C67" s="4" t="s">
        <v>103</v>
      </c>
    </row>
    <row r="68" spans="1:3" x14ac:dyDescent="0.25">
      <c r="A68" s="2" t="s">
        <v>104</v>
      </c>
      <c r="B68"/>
      <c r="C68"/>
    </row>
    <row r="69" spans="1:3" x14ac:dyDescent="0.25">
      <c r="A69" t="s">
        <v>105</v>
      </c>
      <c r="B69">
        <v>0.4628</v>
      </c>
      <c r="C69" s="4" t="s">
        <v>106</v>
      </c>
    </row>
    <row r="70" spans="1:3" x14ac:dyDescent="0.25">
      <c r="A70" t="s">
        <v>107</v>
      </c>
      <c r="B70">
        <v>0.46279</v>
      </c>
      <c r="C70" s="4" t="s">
        <v>108</v>
      </c>
    </row>
    <row r="74" spans="3:3" x14ac:dyDescent="0.25">
      <c r="C74" s="4"/>
    </row>
    <row r="75" spans="3:3" x14ac:dyDescent="0.25">
      <c r="C75" s="4"/>
    </row>
  </sheetData>
  <mergeCells count="15">
    <mergeCell ref="A2:C2"/>
    <mergeCell ref="A9:C9"/>
    <mergeCell ref="A15:C15"/>
    <mergeCell ref="A18:C18"/>
    <mergeCell ref="A22:C22"/>
    <mergeCell ref="A27:C27"/>
    <mergeCell ref="A31:C31"/>
    <mergeCell ref="A35:C35"/>
    <mergeCell ref="A39:C39"/>
    <mergeCell ref="A42:C42"/>
    <mergeCell ref="A48:C48"/>
    <mergeCell ref="A51:C51"/>
    <mergeCell ref="A55:C55"/>
    <mergeCell ref="A59:C59"/>
    <mergeCell ref="A68:C68"/>
  </mergeCells>
  <pageMargins left="0.75" right="0.75" top="1" bottom="1" header="0.5" footer="0.5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C40"/>
  <sheetViews>
    <sheetView workbookViewId="0" zoomScale="116" zoomScaleNormal="100">
      <selection activeCell="C27" sqref="C27"/>
    </sheetView>
  </sheetViews>
  <sheetFormatPr defaultRowHeight="14.4" outlineLevelRow="0" outlineLevelCol="0" x14ac:dyDescent="0" defaultColWidth="8.77734375" customHeight="1"/>
  <cols>
    <col min="1" max="1" width="32" customWidth="1"/>
    <col min="2" max="2" width="16" customWidth="1"/>
    <col min="3" max="3" width="55" customWidth="1"/>
  </cols>
  <sheetData>
    <row r="1" ht="22.05" customHeight="1" spans="1:3" x14ac:dyDescent="0.25">
      <c r="A1" s="8" t="s">
        <v>0</v>
      </c>
      <c r="B1" s="8" t="s">
        <v>1</v>
      </c>
      <c r="C1" s="8" t="s">
        <v>2</v>
      </c>
    </row>
    <row r="2" spans="1:3" x14ac:dyDescent="0.25">
      <c r="A2" s="9" t="s">
        <v>109</v>
      </c>
      <c r="B2" s="10"/>
      <c r="C2" s="10"/>
    </row>
    <row r="3" spans="1:2" x14ac:dyDescent="0.25">
      <c r="A3" t="s">
        <v>110</v>
      </c>
      <c r="B3" s="11">
        <v>1.5</v>
      </c>
    </row>
    <row r="4" spans="1:2" x14ac:dyDescent="0.25">
      <c r="A4" t="s">
        <v>111</v>
      </c>
      <c r="B4" s="12">
        <v>190</v>
      </c>
    </row>
    <row r="5" spans="1:3" x14ac:dyDescent="0.25">
      <c r="A5" t="s">
        <v>112</v>
      </c>
      <c r="B5" s="12">
        <v>7000</v>
      </c>
      <c r="C5" s="4"/>
    </row>
    <row r="6" spans="1:3" x14ac:dyDescent="0.25">
      <c r="A6" t="s">
        <v>113</v>
      </c>
      <c r="B6" s="12">
        <v>36000</v>
      </c>
      <c r="C6" s="4"/>
    </row>
    <row r="7" spans="1:3" x14ac:dyDescent="0.25">
      <c r="A7" s="9" t="s">
        <v>114</v>
      </c>
      <c r="B7" s="10"/>
      <c r="C7" s="10"/>
    </row>
    <row r="8" spans="1:2" x14ac:dyDescent="0.25">
      <c r="A8" t="s">
        <v>115</v>
      </c>
      <c r="B8" s="13">
        <v>0.001</v>
      </c>
    </row>
    <row r="9" spans="1:2" x14ac:dyDescent="0.25">
      <c r="A9" t="s">
        <v>116</v>
      </c>
      <c r="B9" s="14">
        <v>3.634769409</v>
      </c>
    </row>
    <row r="10" spans="1:2" x14ac:dyDescent="0.25">
      <c r="A10" t="s">
        <v>117</v>
      </c>
      <c r="B10" s="14">
        <v>0</v>
      </c>
    </row>
    <row r="11" spans="1:2" x14ac:dyDescent="0.25">
      <c r="A11" t="s">
        <v>118</v>
      </c>
      <c r="B11" s="14">
        <v>2.623168871</v>
      </c>
    </row>
    <row r="12" spans="1:2" x14ac:dyDescent="0.25">
      <c r="A12" t="s">
        <v>119</v>
      </c>
      <c r="B12" s="14">
        <v>2.623168871</v>
      </c>
    </row>
    <row r="13" spans="1:3" x14ac:dyDescent="0.25">
      <c r="A13" t="s">
        <v>120</v>
      </c>
      <c r="B13" s="14">
        <v>0</v>
      </c>
      <c r="C13" s="14">
        <v>3.634769409</v>
      </c>
    </row>
    <row r="14" spans="1:2" x14ac:dyDescent="0.25">
      <c r="A14" t="s">
        <v>121</v>
      </c>
      <c r="B14" s="14">
        <v>2.29321782</v>
      </c>
    </row>
    <row r="15" spans="1:2" x14ac:dyDescent="0.25">
      <c r="A15" t="s">
        <v>122</v>
      </c>
      <c r="B15" s="14">
        <v>1.672500989</v>
      </c>
    </row>
    <row r="16" spans="1:2" x14ac:dyDescent="0.25">
      <c r="A16" t="s">
        <v>123</v>
      </c>
      <c r="B16" s="14">
        <v>1.672500989</v>
      </c>
    </row>
    <row r="17" spans="1:2" x14ac:dyDescent="0.25">
      <c r="A17" t="s">
        <v>124</v>
      </c>
      <c r="B17">
        <v>2.29321782</v>
      </c>
    </row>
    <row r="18" spans="1:2" x14ac:dyDescent="0.25">
      <c r="A18" t="s">
        <v>125</v>
      </c>
      <c r="B18">
        <v>0.0754</v>
      </c>
    </row>
    <row r="19" spans="1:3" x14ac:dyDescent="0.25">
      <c r="A19" s="9" t="s">
        <v>126</v>
      </c>
      <c r="B19" s="10"/>
      <c r="C19" s="10"/>
    </row>
    <row r="20" spans="1:3" x14ac:dyDescent="0.25">
      <c r="A20" t="s">
        <v>127</v>
      </c>
      <c r="B20">
        <v>0.405</v>
      </c>
      <c r="C20" s="4" t="s">
        <v>128</v>
      </c>
    </row>
    <row r="21" spans="1:3" x14ac:dyDescent="0.25">
      <c r="A21" t="s">
        <v>129</v>
      </c>
      <c r="B21">
        <v>293.15</v>
      </c>
      <c r="C21" s="4" t="s">
        <v>130</v>
      </c>
    </row>
    <row r="22" spans="1:3" x14ac:dyDescent="0.25">
      <c r="A22" t="s">
        <v>131</v>
      </c>
      <c r="B22" s="15">
        <v>6000000</v>
      </c>
      <c r="C22" s="4" t="s">
        <v>132</v>
      </c>
    </row>
    <row r="23" spans="1:3" x14ac:dyDescent="0.25">
      <c r="A23" t="s">
        <v>133</v>
      </c>
      <c r="B23">
        <v>0.9</v>
      </c>
      <c r="C23" s="4" t="s">
        <v>134</v>
      </c>
    </row>
    <row r="24" spans="1:3" x14ac:dyDescent="0.25">
      <c r="A24" t="s">
        <v>135</v>
      </c>
      <c r="B24">
        <v>0.577</v>
      </c>
      <c r="C24" s="4" t="s">
        <v>136</v>
      </c>
    </row>
    <row r="25" spans="1:3" x14ac:dyDescent="0.25">
      <c r="A25" t="s">
        <v>137</v>
      </c>
      <c r="B25">
        <v>90.15</v>
      </c>
      <c r="C25" s="4" t="s">
        <v>130</v>
      </c>
    </row>
    <row r="26" spans="1:3" x14ac:dyDescent="0.25">
      <c r="A26" t="s">
        <v>138</v>
      </c>
      <c r="B26" s="15">
        <v>6000000</v>
      </c>
      <c r="C26" s="4" t="s">
        <v>132</v>
      </c>
    </row>
    <row r="27" ht="15" customHeight="1" spans="1:3" x14ac:dyDescent="0.25">
      <c r="A27" t="s">
        <v>139</v>
      </c>
      <c r="B27">
        <v>2.605</v>
      </c>
      <c r="C27" s="4" t="s">
        <v>140</v>
      </c>
    </row>
    <row r="28" spans="1:3" x14ac:dyDescent="0.25">
      <c r="A28" s="9" t="s">
        <v>141</v>
      </c>
      <c r="B28" s="10"/>
      <c r="C28" s="10"/>
    </row>
    <row r="29" spans="1:2" x14ac:dyDescent="0.25">
      <c r="A29" t="s">
        <v>142</v>
      </c>
      <c r="B29">
        <v>300</v>
      </c>
    </row>
    <row r="30" spans="1:2" x14ac:dyDescent="0.25">
      <c r="A30" t="s">
        <v>143</v>
      </c>
      <c r="B30">
        <v>0.2</v>
      </c>
    </row>
    <row r="31" spans="1:2" x14ac:dyDescent="0.25">
      <c r="A31" t="s">
        <v>144</v>
      </c>
      <c r="B31">
        <v>0.13</v>
      </c>
    </row>
    <row r="32" spans="1:2" x14ac:dyDescent="0.25">
      <c r="A32" t="s">
        <v>145</v>
      </c>
      <c r="B32">
        <v>0.125</v>
      </c>
    </row>
    <row r="33" spans="1:2" x14ac:dyDescent="0.25">
      <c r="A33" t="s">
        <v>146</v>
      </c>
      <c r="B33">
        <v>0.04</v>
      </c>
    </row>
    <row r="34" spans="1:2" x14ac:dyDescent="0.25">
      <c r="A34" t="s">
        <v>147</v>
      </c>
      <c r="B34">
        <v>0.175</v>
      </c>
    </row>
    <row r="35" spans="1:3" x14ac:dyDescent="0.25">
      <c r="A35" s="9" t="s">
        <v>148</v>
      </c>
      <c r="B35" s="10"/>
      <c r="C35" s="10"/>
    </row>
    <row r="36" spans="1:3" x14ac:dyDescent="0.25">
      <c r="A36" t="s">
        <v>149</v>
      </c>
      <c r="B36">
        <v>0</v>
      </c>
      <c r="C36" s="4" t="s">
        <v>150</v>
      </c>
    </row>
    <row r="37" spans="1:3" x14ac:dyDescent="0.25">
      <c r="A37" t="s">
        <v>151</v>
      </c>
      <c r="B37">
        <v>4500</v>
      </c>
      <c r="C37" s="4" t="s">
        <v>152</v>
      </c>
    </row>
    <row r="38" spans="1:3" x14ac:dyDescent="0.25">
      <c r="A38" s="16" t="s">
        <v>153</v>
      </c>
      <c r="B38"/>
      <c r="C38"/>
    </row>
    <row r="39" spans="1:3" x14ac:dyDescent="0.25">
      <c r="A39" t="s">
        <v>154</v>
      </c>
      <c r="B39" t="s">
        <v>155</v>
      </c>
      <c r="C39" s="4" t="s">
        <v>156</v>
      </c>
    </row>
    <row r="40" spans="1:2" x14ac:dyDescent="0.25">
      <c r="A40" t="s">
        <v>157</v>
      </c>
      <c r="B40">
        <v>0</v>
      </c>
    </row>
  </sheetData>
  <mergeCells count="6">
    <mergeCell ref="A2:C2"/>
    <mergeCell ref="A7:C7"/>
    <mergeCell ref="A19:C19"/>
    <mergeCell ref="A28:C28"/>
    <mergeCell ref="A35:C35"/>
    <mergeCell ref="A38:C38"/>
  </mergeCells>
  <pageMargins left="0.7" right="0.7" top="0.75" bottom="0.75" header="0.3" footer="0.3"/>
  <pageSetup paperSize="9" orientation="portrait" horizontalDpi="0" verticalDpi="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C32"/>
  <sheetViews>
    <sheetView workbookViewId="0" zoomScale="98" zoomScaleNormal="100">
      <selection activeCell="C30" sqref="C30"/>
    </sheetView>
  </sheetViews>
  <sheetFormatPr defaultRowHeight="14.4" outlineLevelRow="0" outlineLevelCol="0" x14ac:dyDescent="0" defaultColWidth="8.77734375" customHeight="1"/>
  <cols>
    <col min="1" max="1" width="32" customWidth="1"/>
    <col min="2" max="2" width="16" customWidth="1"/>
    <col min="3" max="3" width="55" customWidth="1"/>
  </cols>
  <sheetData>
    <row r="1" ht="22.05" customHeight="1" spans="1:3" x14ac:dyDescent="0.25">
      <c r="A1" s="17" t="s">
        <v>0</v>
      </c>
      <c r="B1" s="17" t="s">
        <v>1</v>
      </c>
      <c r="C1" s="17" t="s">
        <v>2</v>
      </c>
    </row>
    <row r="2" spans="1:3" x14ac:dyDescent="0.25">
      <c r="A2" s="18" t="s">
        <v>158</v>
      </c>
      <c r="B2" s="10"/>
      <c r="C2" s="10"/>
    </row>
    <row r="3" spans="1:3" x14ac:dyDescent="0.25">
      <c r="A3" t="s">
        <v>159</v>
      </c>
      <c r="B3" t="s">
        <v>160</v>
      </c>
      <c r="C3" s="4" t="s">
        <v>161</v>
      </c>
    </row>
    <row r="4" spans="1:3" x14ac:dyDescent="0.25">
      <c r="A4" t="s">
        <v>162</v>
      </c>
      <c r="B4" t="s">
        <v>163</v>
      </c>
      <c r="C4" s="4" t="s">
        <v>164</v>
      </c>
    </row>
    <row r="5" spans="1:3" x14ac:dyDescent="0.25">
      <c r="A5" t="s">
        <v>165</v>
      </c>
      <c r="B5" s="12">
        <v>1000</v>
      </c>
      <c r="C5" s="4" t="s">
        <v>166</v>
      </c>
    </row>
    <row r="6" spans="1:3" x14ac:dyDescent="0.25">
      <c r="A6" t="s">
        <v>167</v>
      </c>
      <c r="B6" t="s">
        <v>163</v>
      </c>
      <c r="C6" s="4" t="s">
        <v>168</v>
      </c>
    </row>
    <row r="7" spans="1:3" x14ac:dyDescent="0.25">
      <c r="A7" s="18" t="s">
        <v>169</v>
      </c>
      <c r="B7" s="10"/>
      <c r="C7" s="10"/>
    </row>
    <row r="8" spans="1:2" x14ac:dyDescent="0.25">
      <c r="A8" t="s">
        <v>170</v>
      </c>
      <c r="B8">
        <v>2026</v>
      </c>
    </row>
    <row r="9" spans="1:2" x14ac:dyDescent="0.25">
      <c r="A9" t="s">
        <v>171</v>
      </c>
      <c r="B9">
        <v>8</v>
      </c>
    </row>
    <row r="10" spans="1:2" x14ac:dyDescent="0.25">
      <c r="A10" t="s">
        <v>172</v>
      </c>
      <c r="B10">
        <v>2</v>
      </c>
    </row>
    <row r="11" spans="1:2" x14ac:dyDescent="0.25">
      <c r="A11" t="s">
        <v>173</v>
      </c>
      <c r="B11">
        <v>12</v>
      </c>
    </row>
    <row r="12" spans="1:2" x14ac:dyDescent="0.25">
      <c r="A12" t="s">
        <v>174</v>
      </c>
      <c r="B12">
        <v>0</v>
      </c>
    </row>
    <row r="13" spans="1:3" x14ac:dyDescent="0.25">
      <c r="A13" t="s">
        <v>175</v>
      </c>
      <c r="B13">
        <v>39.3901499</v>
      </c>
      <c r="C13" s="4" t="s">
        <v>176</v>
      </c>
    </row>
    <row r="14" spans="1:3" x14ac:dyDescent="0.25">
      <c r="A14" t="s">
        <v>177</v>
      </c>
      <c r="B14">
        <v>-8.2891453</v>
      </c>
      <c r="C14" s="4" t="s">
        <v>176</v>
      </c>
    </row>
    <row r="15" spans="1:3" x14ac:dyDescent="0.25">
      <c r="A15" t="s">
        <v>178</v>
      </c>
      <c r="B15">
        <v>130</v>
      </c>
      <c r="C15" s="4" t="s">
        <v>179</v>
      </c>
    </row>
    <row r="16" spans="1:3" x14ac:dyDescent="0.25">
      <c r="A16" s="18" t="s">
        <v>180</v>
      </c>
      <c r="B16" s="10"/>
      <c r="C16" s="10"/>
    </row>
    <row r="17" spans="1:3" x14ac:dyDescent="0.25">
      <c r="A17" t="s">
        <v>181</v>
      </c>
      <c r="B17">
        <v>6</v>
      </c>
      <c r="C17" s="4" t="s">
        <v>182</v>
      </c>
    </row>
    <row r="18" spans="1:3" x14ac:dyDescent="0.25">
      <c r="A18" t="s">
        <v>183</v>
      </c>
      <c r="B18">
        <v>6</v>
      </c>
      <c r="C18" s="4" t="s">
        <v>184</v>
      </c>
    </row>
    <row r="19" ht="15" customHeight="1" spans="1:3" x14ac:dyDescent="0.25">
      <c r="A19" t="s">
        <v>185</v>
      </c>
      <c r="B19">
        <v>11.65</v>
      </c>
      <c r="C19" s="4" t="s">
        <v>24</v>
      </c>
    </row>
    <row r="20" spans="1:3" x14ac:dyDescent="0.25">
      <c r="A20" t="s">
        <v>186</v>
      </c>
      <c r="B20">
        <v>0.5</v>
      </c>
      <c r="C20" s="4" t="s">
        <v>187</v>
      </c>
    </row>
    <row r="21" spans="1:3" x14ac:dyDescent="0.25">
      <c r="A21" t="s">
        <v>188</v>
      </c>
      <c r="B21">
        <v>84</v>
      </c>
      <c r="C21" s="4" t="s">
        <v>189</v>
      </c>
    </row>
    <row r="22" spans="1:3" x14ac:dyDescent="0.25">
      <c r="A22" t="s">
        <v>190</v>
      </c>
      <c r="B22">
        <v>144</v>
      </c>
      <c r="C22" s="4" t="s">
        <v>191</v>
      </c>
    </row>
    <row r="24" spans="1:3" x14ac:dyDescent="0.25">
      <c r="A24" t="s">
        <v>192</v>
      </c>
      <c r="C24" s="4"/>
    </row>
    <row r="25" spans="1:2" x14ac:dyDescent="0.25">
      <c r="A25" t="s">
        <v>193</v>
      </c>
      <c r="B25" t="b">
        <v>1</v>
      </c>
    </row>
    <row r="26" spans="1:2" x14ac:dyDescent="0.25">
      <c r="A26" t="s">
        <v>194</v>
      </c>
      <c r="B26" t="b">
        <v>1</v>
      </c>
    </row>
    <row r="27" spans="1:2" x14ac:dyDescent="0.25">
      <c r="A27" t="s">
        <v>195</v>
      </c>
      <c r="B27" t="b">
        <v>1</v>
      </c>
    </row>
    <row r="28" spans="1:2" x14ac:dyDescent="0.25">
      <c r="A28" t="s">
        <v>196</v>
      </c>
      <c r="B28" t="b">
        <v>1</v>
      </c>
    </row>
    <row r="29" spans="1:2" x14ac:dyDescent="0.25">
      <c r="A29" t="s">
        <v>197</v>
      </c>
      <c r="B29" t="b">
        <v>1</v>
      </c>
    </row>
    <row r="30" spans="1:2" x14ac:dyDescent="0.25">
      <c r="A30" t="s">
        <v>198</v>
      </c>
      <c r="B30" t="b">
        <v>1</v>
      </c>
    </row>
    <row r="31" spans="1:2" x14ac:dyDescent="0.25">
      <c r="A31" t="s">
        <v>199</v>
      </c>
      <c r="B31" t="b">
        <v>1</v>
      </c>
    </row>
    <row r="32" spans="3:3" x14ac:dyDescent="0.25">
      <c r="C32" s="4"/>
    </row>
  </sheetData>
  <mergeCells count="3">
    <mergeCell ref="A2:C2"/>
    <mergeCell ref="A7:C7"/>
    <mergeCell ref="A16:C1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AC41"/>
  <sheetViews>
    <sheetView workbookViewId="0" zoomScale="85" zoomScaleNormal="85">
      <selection activeCell="A18" sqref="A18"/>
    </sheetView>
  </sheetViews>
  <sheetFormatPr defaultRowHeight="14.4" outlineLevelRow="0" outlineLevelCol="0" x14ac:dyDescent="0" defaultColWidth="10.6640625" customHeight="1"/>
  <cols>
    <col min="1" max="1" width="22.109375" customWidth="1"/>
    <col min="2" max="2" width="35.77734375" customWidth="1"/>
    <col min="8" max="8" width="15" customWidth="1"/>
    <col min="9" max="9" width="14.88671875" customWidth="1"/>
    <col min="29" max="29" width="12.33203125" customWidth="1"/>
  </cols>
  <sheetData>
    <row r="1" spans="1:2" x14ac:dyDescent="0.25">
      <c r="A1" s="11"/>
      <c r="B1" s="11"/>
    </row>
    <row r="2" spans="1:2" x14ac:dyDescent="0.25">
      <c r="A2" s="19" t="s">
        <v>200</v>
      </c>
      <c r="B2"/>
    </row>
    <row r="3" spans="1:2" x14ac:dyDescent="0.25">
      <c r="A3" s="20" t="s">
        <v>201</v>
      </c>
      <c r="B3" s="5">
        <v>98.8898</v>
      </c>
    </row>
    <row r="4" spans="1:2" x14ac:dyDescent="0.25">
      <c r="A4" s="20" t="s">
        <v>202</v>
      </c>
      <c r="B4" s="5">
        <v>127.1104367881205</v>
      </c>
    </row>
    <row r="5" spans="1:2" x14ac:dyDescent="0.25">
      <c r="A5" s="19" t="s">
        <v>203</v>
      </c>
      <c r="B5"/>
    </row>
    <row r="6" spans="1:2" x14ac:dyDescent="0.25">
      <c r="A6" s="20" t="s">
        <v>204</v>
      </c>
      <c r="B6" s="5"/>
    </row>
    <row r="7" spans="1:2" x14ac:dyDescent="0.25">
      <c r="A7" s="20" t="s">
        <v>205</v>
      </c>
      <c r="B7" s="5">
        <v>36000</v>
      </c>
    </row>
    <row r="8" spans="1:2" x14ac:dyDescent="0.25">
      <c r="A8" s="19" t="s">
        <v>206</v>
      </c>
      <c r="B8"/>
    </row>
    <row r="9" spans="1:2" x14ac:dyDescent="0.25">
      <c r="A9" s="20" t="s">
        <v>207</v>
      </c>
      <c r="B9" s="5">
        <v>3064.313897605086</v>
      </c>
    </row>
    <row r="10" spans="1:2" x14ac:dyDescent="0.25">
      <c r="A10" s="20" t="s">
        <v>208</v>
      </c>
      <c r="B10" s="5">
        <v>3228.313897605086</v>
      </c>
    </row>
    <row r="11" spans="1:2" x14ac:dyDescent="0.25">
      <c r="A11" s="20" t="s">
        <v>209</v>
      </c>
      <c r="B11" s="5">
        <v>250.9927342148415</v>
      </c>
    </row>
    <row r="12" spans="1:2" x14ac:dyDescent="0.25">
      <c r="A12" s="20" t="s">
        <v>210</v>
      </c>
      <c r="B12" s="5">
        <v>164.7553693789536</v>
      </c>
    </row>
    <row r="13" spans="1:2" x14ac:dyDescent="0.25">
      <c r="A13" s="20" t="s">
        <v>211</v>
      </c>
      <c r="B13" s="21">
        <v>0.7410428132569765</v>
      </c>
    </row>
    <row r="14" spans="1:2" x14ac:dyDescent="0.25">
      <c r="A14" s="20" t="s">
        <v>212</v>
      </c>
      <c r="B14" s="5">
        <v>26.71186840629981</v>
      </c>
    </row>
    <row r="15" spans="1:2" x14ac:dyDescent="0.25">
      <c r="A15" s="20" t="s">
        <v>213</v>
      </c>
      <c r="B15" s="5">
        <v>230.4003413893963</v>
      </c>
    </row>
    <row r="16" spans="1:2" x14ac:dyDescent="0.25">
      <c r="A16" s="19" t="s">
        <v>214</v>
      </c>
      <c r="B16"/>
    </row>
    <row r="17" spans="1:2" x14ac:dyDescent="0.25">
      <c r="A17" s="20" t="s">
        <v>215</v>
      </c>
      <c r="B17" s="5">
        <v>32.43636371899441</v>
      </c>
    </row>
    <row r="18" spans="1:2" x14ac:dyDescent="0.25">
      <c r="A18" s="22" t="s">
        <v>216</v>
      </c>
      <c r="B18" s="21">
        <v>4.047476245294562</v>
      </c>
    </row>
    <row r="19" spans="1:2" x14ac:dyDescent="0.25">
      <c r="A19" s="23" t="s">
        <v>217</v>
      </c>
      <c r="B19"/>
    </row>
    <row r="20" spans="1:2" x14ac:dyDescent="0.25">
      <c r="A20" s="22" t="s">
        <v>218</v>
      </c>
      <c r="B20" s="21">
        <v>4.013504246372449</v>
      </c>
    </row>
    <row r="21" ht="14.7" customHeight="1" spans="1:1" x14ac:dyDescent="0.25">
      <c r="A21" s="22"/>
    </row>
    <row r="22" spans="1:1" x14ac:dyDescent="0.25">
      <c r="A22" s="22"/>
    </row>
    <row r="23" spans="1:1" x14ac:dyDescent="0.25">
      <c r="A23" s="22"/>
    </row>
    <row r="24" ht="14.7" customHeight="1" spans="1:1" x14ac:dyDescent="0.25">
      <c r="A24" s="22"/>
    </row>
    <row r="25" ht="14.7" customHeight="1" spans="1:29" x14ac:dyDescent="0.25">
      <c r="A25" s="22"/>
      <c r="AC25" s="24" t="s">
        <v>219</v>
      </c>
    </row>
    <row r="26" spans="1:29" x14ac:dyDescent="0.25">
      <c r="A26" s="22"/>
      <c r="AC26" s="25" t="s">
        <v>220</v>
      </c>
    </row>
    <row r="27" spans="1:29" x14ac:dyDescent="0.25">
      <c r="A27" s="22"/>
      <c r="AC27" s="25" t="s">
        <v>221</v>
      </c>
    </row>
    <row r="28" ht="16.95" customHeight="1" spans="1:29" x14ac:dyDescent="0.25">
      <c r="A28" s="22"/>
      <c r="AC28" s="26">
        <v>122003</v>
      </c>
    </row>
    <row r="29" spans="1:1" x14ac:dyDescent="0.25">
      <c r="A29" s="22"/>
    </row>
    <row r="30" ht="15.75" customHeight="1" spans="1:1" x14ac:dyDescent="0.25">
      <c r="A30" s="22"/>
    </row>
    <row r="31" spans="1:1" x14ac:dyDescent="0.25">
      <c r="A31" s="22"/>
    </row>
    <row r="32" spans="1:1" x14ac:dyDescent="0.25">
      <c r="A32" s="22"/>
    </row>
    <row r="33" spans="1:1" x14ac:dyDescent="0.25">
      <c r="A33" s="22"/>
    </row>
    <row r="34" spans="1:1" x14ac:dyDescent="0.25">
      <c r="A34" s="22"/>
    </row>
    <row r="35" ht="14.7" customHeight="1" spans="1:1" x14ac:dyDescent="0.25">
      <c r="A35" s="22"/>
    </row>
    <row r="36" spans="1:1" x14ac:dyDescent="0.25">
      <c r="A36" s="22"/>
    </row>
    <row r="37" spans="1:1" x14ac:dyDescent="0.25">
      <c r="A37" s="22"/>
    </row>
    <row r="38" spans="1:1" x14ac:dyDescent="0.25">
      <c r="A38" s="22"/>
    </row>
    <row r="39" spans="1:1" x14ac:dyDescent="0.25">
      <c r="A39" s="22"/>
    </row>
    <row r="40" spans="1:1" x14ac:dyDescent="0.25">
      <c r="A40" s="22"/>
    </row>
    <row r="41" spans="1:1" x14ac:dyDescent="0.25">
      <c r="A41" s="22"/>
    </row>
  </sheetData>
  <mergeCells count="5">
    <mergeCell ref="A2:B2"/>
    <mergeCell ref="A5:B5"/>
    <mergeCell ref="A8:B8"/>
    <mergeCell ref="A16:B16"/>
    <mergeCell ref="A19:B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Structure</vt:lpstr>
      <vt:lpstr>Propellant </vt:lpstr>
      <vt:lpstr>Parameters </vt:lpstr>
      <vt:lpstr>Simulation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Valentine Thürler</cp:lastModifiedBy>
  <dcterms:created xsi:type="dcterms:W3CDTF">2026-05-13T06:55:08Z</dcterms:created>
  <dcterms:modified xsi:type="dcterms:W3CDTF">2026-10-05T19:21:57Z</dcterms:modified>
</cp:coreProperties>
</file>