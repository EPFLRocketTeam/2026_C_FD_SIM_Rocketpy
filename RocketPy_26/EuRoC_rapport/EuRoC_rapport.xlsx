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0" yWindow="2328" windowWidth="17280" windowHeight="9960" tabRatio="600" firstSheet="0" activeTab="0" autoFilterDateGrouping="1"/>
  </bookViews>
  <sheets>
    <sheet name="Structure" sheetId="1" state="visible" r:id="rId1"/>
    <sheet name="Propellant " sheetId="2" state="visible" r:id="rId2"/>
    <sheet name="Parameters " sheetId="3" state="visible" r:id="rId3"/>
    <sheet name="Simula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0" tint="-0.499984740745262"/>
      <sz val="11"/>
      <scheme val="minor"/>
    </font>
    <font>
      <name val="Arial"/>
      <family val="2"/>
      <color theme="1"/>
      <sz val="10"/>
    </font>
    <font>
      <name val="Arial"/>
      <sz val="10"/>
    </font>
    <font>
      <name val="Arial"/>
      <family val="2"/>
      <b val="1"/>
      <color theme="1"/>
      <sz val="10"/>
    </font>
    <font>
      <name val="Arial"/>
      <b val="1"/>
      <color rgb="FFFFFFFF"/>
      <sz val="11"/>
    </font>
    <font>
      <name val="Arial"/>
      <b val="1"/>
      <color rgb="00FFFFFF"/>
      <sz val="11"/>
    </font>
  </fonts>
  <fills count="13">
    <fill>
      <patternFill/>
    </fill>
    <fill>
      <patternFill patternType="gray125"/>
    </fill>
    <fill>
      <patternFill/>
    </fill>
    <fill>
      <patternFill patternType="solid">
        <fgColor rgb="FF305496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rgb="001F497D"/>
        <bgColor rgb="001F497D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2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pivotButton="0" quotePrefix="0" xfId="0"/>
    <xf numFmtId="2" fontId="0" fillId="2" borderId="0" pivotButton="0" quotePrefix="0" xfId="0"/>
    <xf numFmtId="164" fontId="2" fillId="2" borderId="0" pivotButton="0" quotePrefix="0" xfId="0"/>
    <xf numFmtId="165" fontId="0" fillId="2" borderId="0" pivotButton="0" quotePrefix="0" xfId="0"/>
    <xf numFmtId="0" fontId="1" fillId="5" borderId="1" applyAlignment="1" pivotButton="0" quotePrefix="0" xfId="0">
      <alignment horizontal="center" vertical="center" wrapText="1"/>
    </xf>
    <xf numFmtId="166" fontId="0" fillId="2" borderId="0" pivotButton="0" quotePrefix="0" xfId="0"/>
    <xf numFmtId="1" fontId="0" fillId="2" borderId="0" pivotButton="0" quotePrefix="0" xfId="0"/>
    <xf numFmtId="164" fontId="0" fillId="2" borderId="0" pivotButton="0" quotePrefix="0" xfId="0"/>
    <xf numFmtId="0" fontId="4" fillId="2" borderId="0" pivotButton="0" quotePrefix="0" xfId="0"/>
    <xf numFmtId="11" fontId="0" fillId="2" borderId="0" pivotButton="0" quotePrefix="0" xfId="0"/>
    <xf numFmtId="0" fontId="1" fillId="7" borderId="1" applyAlignment="1" pivotButton="0" quotePrefix="0" xfId="0">
      <alignment horizontal="center" vertical="center" wrapText="1"/>
    </xf>
    <xf numFmtId="166" fontId="5" fillId="2" borderId="0" pivotButton="0" quotePrefix="0" xfId="0"/>
    <xf numFmtId="167" fontId="0" fillId="2" borderId="0" pivotButton="0" quotePrefix="0" xfId="0"/>
    <xf numFmtId="0" fontId="5" fillId="2" borderId="0" pivotButton="0" quotePrefix="0" xfId="0"/>
    <xf numFmtId="0" fontId="6" fillId="9" borderId="3" applyAlignment="1" pivotButton="0" quotePrefix="0" xfId="0">
      <alignment horizontal="center" vertical="center" wrapText="1"/>
    </xf>
    <xf numFmtId="0" fontId="4" fillId="10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/>
    </xf>
    <xf numFmtId="0" fontId="0" fillId="2" borderId="0" pivotButton="0" quotePrefix="0" xfId="0"/>
    <xf numFmtId="0" fontId="2" fillId="6" borderId="2" applyAlignment="1" pivotButton="0" quotePrefix="0" xfId="0">
      <alignment horizontal="center"/>
    </xf>
    <xf numFmtId="0" fontId="0" fillId="0" borderId="2" pivotButton="0" quotePrefix="0" xfId="0"/>
    <xf numFmtId="0" fontId="2" fillId="6" borderId="0" applyAlignment="1" pivotButton="0" quotePrefix="0" xfId="0">
      <alignment horizontal="center"/>
    </xf>
    <xf numFmtId="0" fontId="2" fillId="8" borderId="2" applyAlignment="1" pivotButton="0" quotePrefix="0" xfId="0">
      <alignment horizontal="center" vertical="center"/>
    </xf>
    <xf numFmtId="166" fontId="7" fillId="11" borderId="0" pivotButton="0" quotePrefix="0" xfId="0"/>
    <xf numFmtId="0" fontId="7" fillId="11" borderId="0" pivotButton="0" quotePrefix="0" xfId="0"/>
    <xf numFmtId="166" fontId="8" fillId="12" borderId="0" pivotButton="0" quotePrefix="0" xfId="0"/>
    <xf numFmtId="0" fontId="8" fillId="1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tabSelected="1" zoomScale="110" zoomScaleNormal="115" workbookViewId="0">
      <pane ySplit="1" topLeftCell="A2" activePane="bottomLeft" state="frozen"/>
      <selection pane="bottomLeft" activeCell="B4" sqref="B4"/>
    </sheetView>
  </sheetViews>
  <sheetFormatPr baseColWidth="10" defaultColWidth="8.77734375" defaultRowHeight="14.4" customHeight="1"/>
  <cols>
    <col width="32" customWidth="1" style="23" min="1" max="1"/>
    <col width="16" customWidth="1" style="23" min="2" max="2"/>
    <col width="55" customWidth="1" style="23" min="3" max="3"/>
    <col width="32.33203125" bestFit="1" customWidth="1" min="4" max="4"/>
    <col width="10.44140625" customWidth="1" style="23" min="6" max="6"/>
  </cols>
  <sheetData>
    <row r="1" ht="22.05" customFormat="1" customHeight="1" s="23">
      <c r="A1" s="2" t="inlineStr">
        <is>
          <t>Name</t>
        </is>
      </c>
      <c r="B1" s="2" t="inlineStr">
        <is>
          <t>Value</t>
        </is>
      </c>
      <c r="C1" s="2" t="inlineStr">
        <is>
          <t>Description</t>
        </is>
      </c>
      <c r="D1" s="2" t="inlineStr">
        <is>
          <t>Value (mass) for mode_CoM == 1</t>
        </is>
      </c>
    </row>
    <row r="2">
      <c r="A2" s="22" t="inlineStr">
        <is>
          <t xml:space="preserve">ROCKET </t>
        </is>
      </c>
      <c r="D2" s="22" t="n"/>
      <c r="E2" s="23" t="n"/>
      <c r="F2" s="23" t="inlineStr">
        <is>
          <t>Longeur :</t>
        </is>
      </c>
      <c r="G2">
        <f>B12+B16+B20+B29+B33+B37+B40+B43+B49</f>
        <v/>
      </c>
      <c r="H2" t="inlineStr">
        <is>
          <t>[m]</t>
        </is>
      </c>
    </row>
    <row r="3">
      <c r="A3" t="inlineStr">
        <is>
          <t>mode_CoM</t>
        </is>
      </c>
      <c r="B3" t="n">
        <v>1</v>
      </c>
      <c r="C3" s="5" t="inlineStr">
        <is>
          <t>0 or 1</t>
        </is>
      </c>
      <c r="F3" s="4" t="n"/>
    </row>
    <row r="4">
      <c r="A4" t="inlineStr">
        <is>
          <t>mode_Inertia</t>
        </is>
      </c>
      <c r="B4" t="n">
        <v>1</v>
      </c>
      <c r="C4" s="5" t="inlineStr">
        <is>
          <t>0 or 1</t>
        </is>
      </c>
      <c r="F4" s="4" t="inlineStr">
        <is>
          <t xml:space="preserve">Dry mass: </t>
        </is>
      </c>
      <c r="G4" s="6">
        <f>SUM(B13,B17,B21,B24,B30,B34,B38,B41,B44,B50)+B67</f>
        <v/>
      </c>
      <c r="H4" t="inlineStr">
        <is>
          <t>[kg]</t>
        </is>
      </c>
    </row>
    <row r="5">
      <c r="A5" t="inlineStr">
        <is>
          <t>l_center_of_mass</t>
        </is>
      </c>
      <c r="B5" t="n">
        <v>2.66</v>
      </c>
      <c r="C5" s="5" t="inlineStr">
        <is>
          <t>Mode 1 only</t>
        </is>
      </c>
      <c r="F5" s="4" t="n"/>
      <c r="G5">
        <f>G4+B6</f>
        <v/>
      </c>
    </row>
    <row r="6">
      <c r="A6" t="inlineStr">
        <is>
          <t>m_dry_measured</t>
        </is>
      </c>
      <c r="B6" t="n">
        <v>84.5</v>
      </c>
      <c r="C6" s="5" t="inlineStr">
        <is>
          <t>Mode 1 only</t>
        </is>
      </c>
      <c r="F6" s="7" t="n"/>
    </row>
    <row r="7">
      <c r="A7" t="inlineStr">
        <is>
          <t xml:space="preserve">r_rocket </t>
        </is>
      </c>
      <c r="B7" t="n">
        <v>0.1215</v>
      </c>
      <c r="C7" s="5" t="inlineStr">
        <is>
          <t xml:space="preserve">Rayon  </t>
        </is>
      </c>
      <c r="F7">
        <f>B7*2</f>
        <v/>
      </c>
      <c r="I7" s="8" t="n"/>
    </row>
    <row r="8">
      <c r="A8" t="inlineStr">
        <is>
          <t>drag_coeff_rocket</t>
        </is>
      </c>
      <c r="B8" t="n">
        <v>0.38</v>
      </c>
      <c r="C8" s="5" t="inlineStr">
        <is>
          <t>Coefficient de trainée</t>
        </is>
      </c>
    </row>
    <row r="9">
      <c r="A9" s="22" t="inlineStr">
        <is>
          <t xml:space="preserve">BOAT TAIL </t>
        </is>
      </c>
      <c r="D9" s="22" t="n"/>
    </row>
    <row r="10">
      <c r="A10" t="inlineStr">
        <is>
          <t>top_r_bt</t>
        </is>
      </c>
      <c r="B10" t="n">
        <v>0.1215</v>
      </c>
      <c r="C10" s="5" t="inlineStr">
        <is>
          <t xml:space="preserve">Top radius </t>
        </is>
      </c>
    </row>
    <row r="11">
      <c r="A11" t="inlineStr">
        <is>
          <t>bottom_r_bt</t>
        </is>
      </c>
      <c r="B11" t="n">
        <v>0.07000000000000001</v>
      </c>
      <c r="C11" s="5" t="inlineStr">
        <is>
          <t>Bottom radius</t>
        </is>
      </c>
    </row>
    <row r="12">
      <c r="A12" t="inlineStr">
        <is>
          <t>l_bt</t>
        </is>
      </c>
      <c r="B12" t="n">
        <v>0.44</v>
      </c>
      <c r="C12" s="5" t="inlineStr">
        <is>
          <t xml:space="preserve">Longeur </t>
        </is>
      </c>
    </row>
    <row r="13">
      <c r="A13" t="inlineStr">
        <is>
          <t>m_bt</t>
        </is>
      </c>
      <c r="B13" t="n">
        <v>7.353</v>
      </c>
      <c r="C13" s="5" t="inlineStr">
        <is>
          <t>Masse</t>
        </is>
      </c>
      <c r="D13" t="n">
        <v>1.05</v>
      </c>
      <c r="F13" t="n">
        <v>7.353</v>
      </c>
    </row>
    <row r="14">
      <c r="A14" t="inlineStr">
        <is>
          <t>r_nozzle</t>
        </is>
      </c>
      <c r="B14" t="n">
        <v>0.04946</v>
      </c>
      <c r="C14" s="5" t="inlineStr">
        <is>
          <t xml:space="preserve">Rayon du nozzle </t>
        </is>
      </c>
    </row>
    <row r="15">
      <c r="A15" s="22" t="inlineStr">
        <is>
          <t>ENGINE BAY</t>
        </is>
      </c>
      <c r="D15" s="22" t="n"/>
    </row>
    <row r="16">
      <c r="A16" t="inlineStr">
        <is>
          <t>l_ebay</t>
        </is>
      </c>
      <c r="B16" t="n">
        <v>0.728</v>
      </c>
      <c r="C16" s="5" t="inlineStr">
        <is>
          <t xml:space="preserve">Longeur </t>
        </is>
      </c>
    </row>
    <row r="17">
      <c r="A17" t="inlineStr">
        <is>
          <t>m_ebay</t>
        </is>
      </c>
      <c r="B17" t="n">
        <v>12.797</v>
      </c>
      <c r="C17" s="5" t="inlineStr">
        <is>
          <t>Masse</t>
        </is>
      </c>
      <c r="D17" t="n">
        <v>2.6464</v>
      </c>
      <c r="F17" t="n">
        <v>12.797</v>
      </c>
    </row>
    <row r="18">
      <c r="A18" s="22" t="inlineStr">
        <is>
          <t>LOX BAY</t>
        </is>
      </c>
      <c r="D18" s="22" t="n"/>
    </row>
    <row r="19">
      <c r="A19" t="inlineStr">
        <is>
          <t>pos_lox</t>
        </is>
      </c>
      <c r="B19" t="n">
        <v>1.393</v>
      </c>
      <c r="C19" s="5" t="inlineStr">
        <is>
          <t>Position</t>
        </is>
      </c>
    </row>
    <row r="20">
      <c r="A20" t="inlineStr">
        <is>
          <t>l_lox</t>
        </is>
      </c>
      <c r="B20" t="n">
        <v>0.45</v>
      </c>
      <c r="C20" s="5" t="inlineStr">
        <is>
          <t>Longeur</t>
        </is>
      </c>
    </row>
    <row r="21">
      <c r="A21" t="inlineStr">
        <is>
          <t>m_lox</t>
        </is>
      </c>
      <c r="B21" t="n">
        <v>8.387</v>
      </c>
      <c r="C21" s="5" t="inlineStr">
        <is>
          <t>Masse</t>
        </is>
      </c>
      <c r="D21" t="n">
        <v>0</v>
      </c>
      <c r="F21" t="n">
        <v>8.387</v>
      </c>
    </row>
    <row r="22">
      <c r="A22" s="22" t="inlineStr">
        <is>
          <t xml:space="preserve">AEROCOVER </t>
        </is>
      </c>
      <c r="D22" s="22" t="n"/>
    </row>
    <row r="23">
      <c r="A23" t="inlineStr">
        <is>
          <t xml:space="preserve">pos_aerocover </t>
        </is>
      </c>
      <c r="B23" t="n">
        <v>0.55</v>
      </c>
      <c r="C23" s="5" t="inlineStr">
        <is>
          <t>Position</t>
        </is>
      </c>
    </row>
    <row r="24">
      <c r="A24" t="inlineStr">
        <is>
          <t xml:space="preserve">m_aerocover </t>
        </is>
      </c>
      <c r="B24" s="6" t="n">
        <v>2.379</v>
      </c>
      <c r="C24" s="5" t="inlineStr">
        <is>
          <t>Masse</t>
        </is>
      </c>
      <c r="D24" s="6" t="n">
        <v>0.894</v>
      </c>
      <c r="E24" s="6" t="n"/>
      <c r="F24" s="6" t="n">
        <v>2.379</v>
      </c>
    </row>
    <row r="25">
      <c r="A25" t="inlineStr">
        <is>
          <t>l_aerocover</t>
        </is>
      </c>
      <c r="B25" t="n">
        <v>2.533</v>
      </c>
      <c r="C25" s="5" t="inlineStr">
        <is>
          <t>Longeur</t>
        </is>
      </c>
    </row>
    <row r="26">
      <c r="A26" t="inlineStr">
        <is>
          <t xml:space="preserve">r_aerocover </t>
        </is>
      </c>
      <c r="B26" t="n">
        <v>0.03</v>
      </c>
      <c r="C26" s="5" t="inlineStr">
        <is>
          <t xml:space="preserve">Rayon </t>
        </is>
      </c>
    </row>
    <row r="27">
      <c r="A27" s="22" t="inlineStr">
        <is>
          <t>PBAY 1</t>
        </is>
      </c>
      <c r="D27" s="22" t="n"/>
    </row>
    <row r="28">
      <c r="A28" t="inlineStr">
        <is>
          <t>pos_copv_mbay</t>
        </is>
      </c>
      <c r="B28" t="n">
        <v>2.22531</v>
      </c>
      <c r="C28" s="5" t="inlineStr">
        <is>
          <t>Position</t>
        </is>
      </c>
    </row>
    <row r="29">
      <c r="A29" t="inlineStr">
        <is>
          <t>l_pbay1</t>
        </is>
      </c>
      <c r="B29" t="n">
        <v>1.154</v>
      </c>
      <c r="C29" s="5" t="inlineStr">
        <is>
          <t>Longeur</t>
        </is>
      </c>
    </row>
    <row r="30">
      <c r="A30" t="inlineStr">
        <is>
          <t>m_pbay1</t>
        </is>
      </c>
      <c r="B30" t="n">
        <v>17.527</v>
      </c>
      <c r="C30" s="5" t="inlineStr">
        <is>
          <t>Masse</t>
        </is>
      </c>
      <c r="D30" t="n">
        <v>1.7528</v>
      </c>
      <c r="F30" t="n">
        <v>17.527</v>
      </c>
    </row>
    <row r="31">
      <c r="A31" s="22" t="inlineStr">
        <is>
          <t>ETH BAY</t>
        </is>
      </c>
      <c r="D31" s="22" t="n"/>
    </row>
    <row r="32">
      <c r="A32" t="inlineStr">
        <is>
          <t>pos_eth</t>
        </is>
      </c>
      <c r="B32" t="n">
        <v>2.998</v>
      </c>
      <c r="C32" s="5" t="inlineStr">
        <is>
          <t>Position</t>
        </is>
      </c>
    </row>
    <row r="33">
      <c r="A33" t="inlineStr">
        <is>
          <t>l_eth</t>
        </is>
      </c>
      <c r="B33" t="n">
        <v>0.45</v>
      </c>
      <c r="C33" s="5" t="inlineStr">
        <is>
          <t>Longeur</t>
        </is>
      </c>
    </row>
    <row r="34">
      <c r="A34" t="inlineStr">
        <is>
          <t>m_eth</t>
        </is>
      </c>
      <c r="B34" t="n">
        <v>8.387</v>
      </c>
      <c r="C34" s="5" t="inlineStr">
        <is>
          <t>Masse</t>
        </is>
      </c>
      <c r="D34" t="n">
        <v>0</v>
      </c>
      <c r="F34" t="n">
        <v>8.387</v>
      </c>
    </row>
    <row r="35">
      <c r="A35" s="22" t="inlineStr">
        <is>
          <t>PBAY 2</t>
        </is>
      </c>
      <c r="D35" s="22" t="n"/>
    </row>
    <row r="36">
      <c r="A36" t="inlineStr">
        <is>
          <t>pos_copv_pbay</t>
        </is>
      </c>
      <c r="B36" t="n">
        <v>3.64731</v>
      </c>
      <c r="C36" s="5" t="inlineStr">
        <is>
          <t>Position</t>
        </is>
      </c>
    </row>
    <row r="37">
      <c r="A37" t="inlineStr">
        <is>
          <t>l_pbay2</t>
        </is>
      </c>
      <c r="B37" t="n">
        <v>0.8</v>
      </c>
      <c r="C37" s="5" t="inlineStr">
        <is>
          <t>Longeur</t>
        </is>
      </c>
    </row>
    <row r="38">
      <c r="A38" t="inlineStr">
        <is>
          <t>m_pbay2</t>
        </is>
      </c>
      <c r="B38" t="n">
        <v>14.21</v>
      </c>
      <c r="C38" s="5" t="inlineStr">
        <is>
          <t>Masse</t>
        </is>
      </c>
      <c r="D38" t="n">
        <v>1.2154</v>
      </c>
      <c r="F38" t="n">
        <v>14.21</v>
      </c>
    </row>
    <row r="39">
      <c r="A39" s="22" t="inlineStr">
        <is>
          <t xml:space="preserve">AV BAY </t>
        </is>
      </c>
      <c r="D39" s="22" t="n"/>
    </row>
    <row r="40">
      <c r="A40" t="inlineStr">
        <is>
          <t>l_avbay</t>
        </is>
      </c>
      <c r="B40" t="n">
        <v>0.393</v>
      </c>
      <c r="C40" s="5" t="inlineStr">
        <is>
          <t>Longeur</t>
        </is>
      </c>
    </row>
    <row r="41">
      <c r="A41" t="inlineStr">
        <is>
          <t>m_avbay</t>
        </is>
      </c>
      <c r="B41" t="n">
        <v>9.835000000000001</v>
      </c>
      <c r="C41" s="5" t="inlineStr">
        <is>
          <t>Masse</t>
        </is>
      </c>
      <c r="D41" t="n">
        <v>0.5427999999999999</v>
      </c>
      <c r="F41" t="n">
        <v>9.835000000000001</v>
      </c>
    </row>
    <row r="42">
      <c r="A42" s="22" t="inlineStr">
        <is>
          <t xml:space="preserve">RE BAY </t>
        </is>
      </c>
      <c r="D42" s="22" t="n"/>
    </row>
    <row r="43">
      <c r="A43" t="inlineStr">
        <is>
          <t>l_rebay</t>
        </is>
      </c>
      <c r="B43" t="n">
        <v>0.781</v>
      </c>
      <c r="C43" s="5" t="inlineStr">
        <is>
          <t>Longeur</t>
        </is>
      </c>
    </row>
    <row r="44">
      <c r="A44" t="inlineStr">
        <is>
          <t>m_rebay</t>
        </is>
      </c>
      <c r="B44" t="n">
        <v>10.311</v>
      </c>
      <c r="C44" s="5" t="inlineStr">
        <is>
          <t xml:space="preserve">Masse  </t>
        </is>
      </c>
      <c r="D44" t="n">
        <v>0.2054</v>
      </c>
      <c r="F44" t="n">
        <v>10.311</v>
      </c>
    </row>
    <row r="45">
      <c r="A45" t="inlineStr">
        <is>
          <t>drag_coeff_para_reefed</t>
        </is>
      </c>
      <c r="B45" t="n">
        <v>6</v>
      </c>
      <c r="C45" s="5" t="inlineStr">
        <is>
          <t>Coefficient de trainée reefed</t>
        </is>
      </c>
    </row>
    <row r="46">
      <c r="A46" t="inlineStr">
        <is>
          <t>drag_coeff_para_unreefed</t>
        </is>
      </c>
      <c r="B46" t="n">
        <v>42</v>
      </c>
      <c r="C46" s="5" t="inlineStr">
        <is>
          <t>Coefficient de trainée unreefed</t>
        </is>
      </c>
    </row>
    <row r="47">
      <c r="A47" t="inlineStr">
        <is>
          <t>trig_alt_para</t>
        </is>
      </c>
      <c r="B47" t="n">
        <v>400</v>
      </c>
      <c r="C47" s="5" t="inlineStr">
        <is>
          <t xml:space="preserve">Altitude trigger </t>
        </is>
      </c>
    </row>
    <row r="48">
      <c r="A48" s="22" t="inlineStr">
        <is>
          <t>NOSE CONE</t>
        </is>
      </c>
      <c r="D48" s="22" t="n"/>
    </row>
    <row r="49">
      <c r="A49" t="inlineStr">
        <is>
          <t xml:space="preserve">l_nosecone </t>
        </is>
      </c>
      <c r="B49" t="n">
        <v>1.022</v>
      </c>
      <c r="C49" s="5" t="inlineStr">
        <is>
          <t xml:space="preserve">Longeur </t>
        </is>
      </c>
    </row>
    <row r="50">
      <c r="A50" t="inlineStr">
        <is>
          <t>m_nosecone</t>
        </is>
      </c>
      <c r="B50" t="n">
        <v>5.612</v>
      </c>
      <c r="C50" s="5" t="inlineStr">
        <is>
          <t xml:space="preserve">Masse </t>
        </is>
      </c>
      <c r="D50" t="n">
        <v>3.683</v>
      </c>
      <c r="F50" t="n">
        <v>5.612</v>
      </c>
    </row>
    <row r="51">
      <c r="A51" s="22" t="inlineStr">
        <is>
          <t xml:space="preserve">TANK </t>
        </is>
      </c>
      <c r="D51" s="22" t="n"/>
    </row>
    <row r="52">
      <c r="A52" t="inlineStr">
        <is>
          <t>r_int</t>
        </is>
      </c>
      <c r="B52" t="n">
        <v>0.115</v>
      </c>
      <c r="C52" s="5" t="inlineStr">
        <is>
          <t xml:space="preserve">Rayon intérieur </t>
        </is>
      </c>
    </row>
    <row r="53">
      <c r="A53" t="inlineStr">
        <is>
          <t>tank_spherical_caps</t>
        </is>
      </c>
      <c r="B53" t="b">
        <v>0</v>
      </c>
      <c r="C53" s="5" t="inlineStr">
        <is>
          <t xml:space="preserve">Hauteur </t>
        </is>
      </c>
    </row>
    <row r="54">
      <c r="A54" t="inlineStr">
        <is>
          <t>tank_volume</t>
        </is>
      </c>
      <c r="B54" t="n">
        <v>0.016</v>
      </c>
      <c r="C54" s="5" t="inlineStr">
        <is>
          <t xml:space="preserve">Hauteur des bulkead ellipse </t>
        </is>
      </c>
    </row>
    <row r="55">
      <c r="A55" s="22" t="inlineStr">
        <is>
          <t>COPV</t>
        </is>
      </c>
      <c r="D55" s="22" t="n"/>
    </row>
    <row r="56">
      <c r="A56" t="inlineStr">
        <is>
          <t>r_int_copv</t>
        </is>
      </c>
      <c r="B56" t="n">
        <v>0.0858</v>
      </c>
      <c r="C56" s="5" t="inlineStr">
        <is>
          <t xml:space="preserve">Rayon intérieur </t>
        </is>
      </c>
    </row>
    <row r="57">
      <c r="A57" t="inlineStr">
        <is>
          <t>copv_spherical_caps</t>
        </is>
      </c>
      <c r="B57" t="b">
        <v>1</v>
      </c>
    </row>
    <row r="58">
      <c r="A58" t="inlineStr">
        <is>
          <t>copv_volume</t>
        </is>
      </c>
      <c r="B58" t="n">
        <v>0.008999999999999999</v>
      </c>
      <c r="C58" s="5" t="inlineStr">
        <is>
          <t>Volume</t>
        </is>
      </c>
    </row>
    <row r="59">
      <c r="A59" s="22" t="inlineStr">
        <is>
          <t>FINS</t>
        </is>
      </c>
      <c r="D59" s="22" t="n"/>
    </row>
    <row r="60">
      <c r="A60" t="inlineStr">
        <is>
          <t xml:space="preserve">n_fins </t>
        </is>
      </c>
      <c r="B60" t="n">
        <v>4</v>
      </c>
      <c r="C60" s="5" t="inlineStr">
        <is>
          <t>Nombre</t>
        </is>
      </c>
      <c r="F60">
        <f>B60*(4.857*B61*((B62+B63)/2))</f>
        <v/>
      </c>
      <c r="G60" t="inlineStr">
        <is>
          <t>kg</t>
        </is>
      </c>
    </row>
    <row r="61">
      <c r="A61" t="inlineStr">
        <is>
          <t xml:space="preserve">env_fins </t>
        </is>
      </c>
      <c r="B61" t="n">
        <v>0.3</v>
      </c>
      <c r="C61" s="5" t="inlineStr">
        <is>
          <t>Envergure</t>
        </is>
      </c>
    </row>
    <row r="62">
      <c r="A62" t="inlineStr">
        <is>
          <t>rc_fins</t>
        </is>
      </c>
      <c r="B62" t="n">
        <v>0.671</v>
      </c>
      <c r="C62" s="5" t="inlineStr">
        <is>
          <t xml:space="preserve">Root chord </t>
        </is>
      </c>
    </row>
    <row r="63">
      <c r="A63" t="inlineStr">
        <is>
          <t>tc_fins</t>
        </is>
      </c>
      <c r="B63" t="n">
        <v>0.16</v>
      </c>
      <c r="C63" s="5" t="inlineStr">
        <is>
          <t xml:space="preserve">Tip chord </t>
        </is>
      </c>
    </row>
    <row r="64" ht="15" customFormat="1" customHeight="1" s="23">
      <c r="A64" t="inlineStr">
        <is>
          <t xml:space="preserve">pos_fins </t>
        </is>
      </c>
      <c r="B64" t="n">
        <v>1.13</v>
      </c>
      <c r="C64" s="5" t="inlineStr">
        <is>
          <t xml:space="preserve">Position </t>
        </is>
      </c>
      <c r="F64">
        <f>(B64-B62)*1000</f>
        <v/>
      </c>
      <c r="G64" t="inlineStr">
        <is>
          <t>mm</t>
        </is>
      </c>
    </row>
    <row r="65">
      <c r="A65" t="inlineStr">
        <is>
          <t>cangle_fins</t>
        </is>
      </c>
      <c r="B65" t="n">
        <v>0</v>
      </c>
      <c r="C65" s="5" t="inlineStr">
        <is>
          <t xml:space="preserve">Cant angle </t>
        </is>
      </c>
    </row>
    <row r="66">
      <c r="A66" t="inlineStr">
        <is>
          <t>sweep_l_fins</t>
        </is>
      </c>
      <c r="B66" t="n">
        <v>0.539</v>
      </c>
      <c r="C66" s="5" t="inlineStr">
        <is>
          <t xml:space="preserve">Sweep length </t>
        </is>
      </c>
    </row>
    <row r="67">
      <c r="A67" t="inlineStr">
        <is>
          <t>m_fins</t>
        </is>
      </c>
      <c r="B67" t="n">
        <v>2.4</v>
      </c>
      <c r="C67" s="5" t="inlineStr">
        <is>
          <t>Update manually each save</t>
        </is>
      </c>
    </row>
    <row r="68">
      <c r="A68" s="22" t="inlineStr">
        <is>
          <t>RAIL BUTTON</t>
        </is>
      </c>
      <c r="D68" s="22" t="n"/>
    </row>
    <row r="69">
      <c r="A69" t="inlineStr">
        <is>
          <t>pos_sup_rb</t>
        </is>
      </c>
      <c r="B69" t="n">
        <v>0.4628</v>
      </c>
      <c r="C69" s="5" t="inlineStr">
        <is>
          <t>Position supérieure</t>
        </is>
      </c>
    </row>
    <row r="70">
      <c r="A70" t="inlineStr">
        <is>
          <t>pos_inf_rb</t>
        </is>
      </c>
      <c r="B70" t="n">
        <v>0.46279</v>
      </c>
      <c r="C70" s="5" t="inlineStr">
        <is>
          <t xml:space="preserve">Position inférieure </t>
        </is>
      </c>
    </row>
    <row r="74">
      <c r="C74" s="5" t="n"/>
    </row>
    <row r="75">
      <c r="C75" s="5" t="n"/>
    </row>
  </sheetData>
  <mergeCells count="15">
    <mergeCell ref="A42:C42"/>
    <mergeCell ref="A68:C68"/>
    <mergeCell ref="A31:C31"/>
    <mergeCell ref="A22:C22"/>
    <mergeCell ref="A9:C9"/>
    <mergeCell ref="A18:C18"/>
    <mergeCell ref="A27:C27"/>
    <mergeCell ref="A39:C39"/>
    <mergeCell ref="A55:C55"/>
    <mergeCell ref="A15:C15"/>
    <mergeCell ref="A59:C59"/>
    <mergeCell ref="A48:C48"/>
    <mergeCell ref="A35:C35"/>
    <mergeCell ref="A2:C2"/>
    <mergeCell ref="A51:C51"/>
  </mergeCells>
  <pageMargins left="0.75" right="0.75" top="1" bottom="1" header="0.5" footer="0.5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zoomScale="116" zoomScaleNormal="100" workbookViewId="0">
      <selection activeCell="C27" sqref="C27"/>
    </sheetView>
  </sheetViews>
  <sheetFormatPr baseColWidth="10" defaultColWidth="8.77734375" defaultRowHeight="14.4" customHeight="1"/>
  <cols>
    <col width="32" customWidth="1" style="23" min="1" max="1"/>
    <col width="16" customWidth="1" style="23" min="2" max="2"/>
    <col width="55" customWidth="1" style="23" min="3" max="3"/>
  </cols>
  <sheetData>
    <row r="1" ht="22.05" customFormat="1" customHeight="1" s="23">
      <c r="A1" s="9" t="inlineStr">
        <is>
          <t>Name</t>
        </is>
      </c>
      <c r="B1" s="9" t="inlineStr">
        <is>
          <t>Value</t>
        </is>
      </c>
      <c r="C1" s="9" t="inlineStr">
        <is>
          <t>Description</t>
        </is>
      </c>
    </row>
    <row r="2">
      <c r="A2" s="24" t="inlineStr">
        <is>
          <t>PARAMÈTRES</t>
        </is>
      </c>
      <c r="B2" s="25" t="n"/>
      <c r="C2" s="25" t="n"/>
    </row>
    <row r="3">
      <c r="A3" t="inlineStr">
        <is>
          <t>of_ratio</t>
        </is>
      </c>
      <c r="B3" s="10" t="n">
        <v>1.5</v>
      </c>
    </row>
    <row r="4">
      <c r="A4" t="inlineStr">
        <is>
          <t>isp</t>
        </is>
      </c>
      <c r="B4" s="11" t="n">
        <v>190</v>
      </c>
    </row>
    <row r="5">
      <c r="A5" t="inlineStr">
        <is>
          <t>thrust</t>
        </is>
      </c>
      <c r="B5" s="11" t="n">
        <v>7000</v>
      </c>
      <c r="C5" s="5" t="n"/>
    </row>
    <row r="6">
      <c r="A6" t="inlineStr">
        <is>
          <t>total_impulse</t>
        </is>
      </c>
      <c r="B6" s="11" t="n">
        <v>36000</v>
      </c>
      <c r="C6" s="5" t="n"/>
    </row>
    <row r="7">
      <c r="A7" s="24" t="inlineStr">
        <is>
          <t>MASS FLOW RATE</t>
        </is>
      </c>
      <c r="B7" s="25" t="n"/>
      <c r="C7" s="25" t="n"/>
    </row>
    <row r="8">
      <c r="A8" t="inlineStr">
        <is>
          <t>lox_boil_off</t>
        </is>
      </c>
      <c r="B8" s="12" t="n">
        <v>0.001</v>
      </c>
    </row>
    <row r="9">
      <c r="A9" t="inlineStr">
        <is>
          <t xml:space="preserve">lox_prechill </t>
        </is>
      </c>
      <c r="B9" s="13" t="n">
        <v>3.634769409</v>
      </c>
    </row>
    <row r="10">
      <c r="A10" t="inlineStr">
        <is>
          <t>lox_ignition</t>
        </is>
      </c>
      <c r="B10" s="13" t="n">
        <v>0</v>
      </c>
    </row>
    <row r="11">
      <c r="A11" t="inlineStr">
        <is>
          <t>lox_ramp_up</t>
        </is>
      </c>
      <c r="B11" s="13" t="n">
        <v>2.623168871</v>
      </c>
    </row>
    <row r="12">
      <c r="A12" t="inlineStr">
        <is>
          <t>lox_ramp_down</t>
        </is>
      </c>
      <c r="B12" s="13" t="n">
        <v>2.623168871</v>
      </c>
    </row>
    <row r="13">
      <c r="A13" t="inlineStr">
        <is>
          <t>lox_cutoff</t>
        </is>
      </c>
      <c r="B13" s="13" t="n">
        <v>0</v>
      </c>
      <c r="C13" s="13" t="n">
        <v>3.634769409</v>
      </c>
    </row>
    <row r="14">
      <c r="A14" t="inlineStr">
        <is>
          <t xml:space="preserve">eth_ignition </t>
        </is>
      </c>
      <c r="B14" s="13" t="n">
        <v>2.29321782</v>
      </c>
    </row>
    <row r="15">
      <c r="A15" t="inlineStr">
        <is>
          <t>eth_ramp_up</t>
        </is>
      </c>
      <c r="B15" s="13" t="n">
        <v>1.672500989</v>
      </c>
    </row>
    <row r="16">
      <c r="A16" t="inlineStr">
        <is>
          <t>eth_ramp_down</t>
        </is>
      </c>
      <c r="B16" s="13" t="n">
        <v>1.672500989</v>
      </c>
    </row>
    <row r="17">
      <c r="A17" t="inlineStr">
        <is>
          <t>eth_cutoff</t>
        </is>
      </c>
      <c r="B17" t="n">
        <v>2.29321782</v>
      </c>
    </row>
    <row r="18">
      <c r="A18" t="inlineStr">
        <is>
          <t>eth_frac_cooling</t>
        </is>
      </c>
      <c r="B18" t="n">
        <v>0.07539999999999999</v>
      </c>
    </row>
    <row r="19">
      <c r="A19" s="24" t="inlineStr">
        <is>
          <t>MASS</t>
        </is>
      </c>
      <c r="B19" s="25" t="n"/>
      <c r="C19" s="25" t="n"/>
    </row>
    <row r="20">
      <c r="A20" t="inlineStr">
        <is>
          <t>m_eth_unused</t>
        </is>
      </c>
      <c r="B20" t="n">
        <v>0.405</v>
      </c>
      <c r="C20" s="5" t="inlineStr">
        <is>
          <t>Eth non-consommé</t>
        </is>
      </c>
    </row>
    <row r="21">
      <c r="A21" t="inlineStr">
        <is>
          <t>eth_temperature</t>
        </is>
      </c>
      <c r="B21" t="n">
        <v>293.15</v>
      </c>
      <c r="C21" s="5" t="inlineStr">
        <is>
          <t>Température en K</t>
        </is>
      </c>
    </row>
    <row r="22">
      <c r="A22" t="inlineStr">
        <is>
          <t>eth_pressure</t>
        </is>
      </c>
      <c r="B22" s="14" t="n">
        <v>6000000</v>
      </c>
      <c r="C22" s="5" t="inlineStr">
        <is>
          <t>Pression en Pa</t>
        </is>
      </c>
    </row>
    <row r="23">
      <c r="A23" t="inlineStr">
        <is>
          <t>eth_massic_frac</t>
        </is>
      </c>
      <c r="B23" t="n">
        <v>0.9</v>
      </c>
      <c r="C23" s="5" t="inlineStr">
        <is>
          <t>Fraction massique de l'eth dans le fuel (par rapport à l'eau)</t>
        </is>
      </c>
    </row>
    <row r="24">
      <c r="A24" t="inlineStr">
        <is>
          <t>m_lox_unused</t>
        </is>
      </c>
      <c r="B24" t="n">
        <v>0.577</v>
      </c>
      <c r="C24" s="5" t="inlineStr">
        <is>
          <t xml:space="preserve">Lox non-consommé </t>
        </is>
      </c>
    </row>
    <row r="25">
      <c r="A25" t="inlineStr">
        <is>
          <t>lox_temperature</t>
        </is>
      </c>
      <c r="B25" t="n">
        <v>90.15000000000001</v>
      </c>
      <c r="C25" s="5" t="inlineStr">
        <is>
          <t>Température en K</t>
        </is>
      </c>
    </row>
    <row r="26">
      <c r="A26" t="inlineStr">
        <is>
          <t>lox_pressure</t>
        </is>
      </c>
      <c r="B26" s="14" t="n">
        <v>6000000</v>
      </c>
      <c r="C26" s="5" t="inlineStr">
        <is>
          <t>Pression en Pa</t>
        </is>
      </c>
    </row>
    <row r="27" ht="15" customFormat="1" customHeight="1" s="23">
      <c r="A27" t="inlineStr">
        <is>
          <t>m_n2</t>
        </is>
      </c>
      <c r="B27" t="n">
        <v>2.605</v>
      </c>
      <c r="C27" s="5" t="inlineStr">
        <is>
          <t xml:space="preserve">N2 dans un copv </t>
        </is>
      </c>
    </row>
    <row r="28">
      <c r="A28" s="24" t="inlineStr">
        <is>
          <t>TIME</t>
        </is>
      </c>
      <c r="B28" s="25" t="n"/>
      <c r="C28" s="25" t="n"/>
    </row>
    <row r="29">
      <c r="A29" t="inlineStr">
        <is>
          <t xml:space="preserve">hold_time </t>
        </is>
      </c>
      <c r="B29" t="n">
        <v>300</v>
      </c>
    </row>
    <row r="30">
      <c r="A30" t="inlineStr">
        <is>
          <t xml:space="preserve">prechill_time </t>
        </is>
      </c>
      <c r="B30" t="n">
        <v>0.2</v>
      </c>
    </row>
    <row r="31">
      <c r="A31" t="inlineStr">
        <is>
          <t>ignition_delay</t>
        </is>
      </c>
      <c r="B31" t="n">
        <v>0.13</v>
      </c>
    </row>
    <row r="32">
      <c r="A32" t="inlineStr">
        <is>
          <t xml:space="preserve">ramp_up_time </t>
        </is>
      </c>
      <c r="B32" t="n">
        <v>0.125</v>
      </c>
    </row>
    <row r="33">
      <c r="A33" t="inlineStr">
        <is>
          <t xml:space="preserve">cutoff_time </t>
        </is>
      </c>
      <c r="B33" t="n">
        <v>0.04</v>
      </c>
    </row>
    <row r="34">
      <c r="A34" t="inlineStr">
        <is>
          <t xml:space="preserve">ramp_down_time </t>
        </is>
      </c>
      <c r="B34" t="n">
        <v>0.175</v>
      </c>
    </row>
    <row r="35">
      <c r="A35" s="24" t="inlineStr">
        <is>
          <t xml:space="preserve">FORCE </t>
        </is>
      </c>
      <c r="B35" s="25" t="n"/>
      <c r="C35" s="25" t="n"/>
    </row>
    <row r="36">
      <c r="A36" t="inlineStr">
        <is>
          <t xml:space="preserve">f_shutdown </t>
        </is>
      </c>
      <c r="B36" t="n">
        <v>0</v>
      </c>
      <c r="C36" s="5" t="inlineStr">
        <is>
          <t xml:space="preserve">Force finale de la thrust curve </t>
        </is>
      </c>
    </row>
    <row r="37">
      <c r="A37" t="inlineStr">
        <is>
          <t xml:space="preserve">f_hold_down </t>
        </is>
      </c>
      <c r="B37" t="n">
        <v>4500</v>
      </c>
      <c r="C37" s="5" t="inlineStr">
        <is>
          <t xml:space="preserve">Force du hold-down </t>
        </is>
      </c>
    </row>
    <row r="38">
      <c r="A38" s="26" t="inlineStr">
        <is>
          <t>THRUST CURVE MODEL</t>
        </is>
      </c>
    </row>
    <row r="39">
      <c r="A39" t="inlineStr">
        <is>
          <t>thrust_curve_mode</t>
        </is>
      </c>
      <c r="B39" t="inlineStr">
        <is>
          <t>constant</t>
        </is>
      </c>
      <c r="C39" s="5" t="inlineStr">
        <is>
          <t>constant or peaked</t>
        </is>
      </c>
    </row>
    <row r="40">
      <c r="A40" t="inlineStr">
        <is>
          <t>derated_thrust</t>
        </is>
      </c>
      <c r="B40" t="n">
        <v>0</v>
      </c>
    </row>
  </sheetData>
  <mergeCells count="6">
    <mergeCell ref="A28:C28"/>
    <mergeCell ref="A19:C19"/>
    <mergeCell ref="A35:C35"/>
    <mergeCell ref="A7:C7"/>
    <mergeCell ref="A38:C38"/>
    <mergeCell ref="A2:C2"/>
  </mergeCells>
  <pageMargins left="0.7" right="0.7" top="0.75" bottom="0.75" header="0.3" footer="0.3"/>
  <pageSetup orientation="portrait" paperSize="9" useFirstPageNumber="1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zoomScale="98" zoomScaleNormal="100" workbookViewId="0">
      <selection activeCell="C30" sqref="C30"/>
    </sheetView>
  </sheetViews>
  <sheetFormatPr baseColWidth="10" defaultColWidth="8.77734375" defaultRowHeight="14.4" customHeight="1"/>
  <cols>
    <col width="32" customWidth="1" style="23" min="1" max="1"/>
    <col width="16" customWidth="1" style="23" min="2" max="2"/>
    <col width="55" customWidth="1" style="23" min="3" max="3"/>
  </cols>
  <sheetData>
    <row r="1" ht="22.05" customFormat="1" customHeight="1" s="23">
      <c r="A1" s="15" t="inlineStr">
        <is>
          <t>Name</t>
        </is>
      </c>
      <c r="B1" s="15" t="inlineStr">
        <is>
          <t>Value</t>
        </is>
      </c>
      <c r="C1" s="15" t="inlineStr">
        <is>
          <t>Description</t>
        </is>
      </c>
    </row>
    <row r="2">
      <c r="A2" s="27" t="inlineStr">
        <is>
          <t xml:space="preserve">ENREGISTREMENT </t>
        </is>
      </c>
      <c r="B2" s="25" t="n"/>
      <c r="C2" s="25" t="n"/>
    </row>
    <row r="3">
      <c r="A3" t="inlineStr">
        <is>
          <t xml:space="preserve">version </t>
        </is>
      </c>
      <c r="B3" t="inlineStr">
        <is>
          <t>EuRoC_rapport</t>
        </is>
      </c>
      <c r="C3" s="5" t="inlineStr">
        <is>
          <t xml:space="preserve">Nom de la simulation </t>
        </is>
      </c>
    </row>
    <row r="4">
      <c r="A4" t="inlineStr">
        <is>
          <t>save_files</t>
        </is>
      </c>
      <c r="B4" t="inlineStr">
        <is>
          <t xml:space="preserve">True </t>
        </is>
      </c>
      <c r="C4" s="5" t="inlineStr">
        <is>
          <t xml:space="preserve">Crée .eng et .csv </t>
        </is>
      </c>
    </row>
    <row r="5">
      <c r="A5" t="inlineStr">
        <is>
          <t>n_points</t>
        </is>
      </c>
      <c r="B5" s="11" t="n">
        <v>1000</v>
      </c>
      <c r="C5" s="5" t="inlineStr">
        <is>
          <t xml:space="preserve">Discrétisation </t>
        </is>
      </c>
    </row>
    <row r="6">
      <c r="A6" t="inlineStr">
        <is>
          <t>write_to_file</t>
        </is>
      </c>
      <c r="B6" t="inlineStr">
        <is>
          <t xml:space="preserve">True </t>
        </is>
      </c>
      <c r="C6" s="5" t="inlineStr">
        <is>
          <t>Écrire les résultats</t>
        </is>
      </c>
    </row>
    <row r="7">
      <c r="A7" s="27" t="inlineStr">
        <is>
          <t xml:space="preserve">ENVIRONNEMENT </t>
        </is>
      </c>
      <c r="B7" s="25" t="n"/>
      <c r="C7" s="25" t="n"/>
    </row>
    <row r="8">
      <c r="A8" t="inlineStr">
        <is>
          <t>annee</t>
        </is>
      </c>
      <c r="B8" t="n">
        <v>2026</v>
      </c>
    </row>
    <row r="9">
      <c r="A9" t="inlineStr">
        <is>
          <t>mois</t>
        </is>
      </c>
      <c r="B9" t="n">
        <v>8</v>
      </c>
    </row>
    <row r="10">
      <c r="A10" t="inlineStr">
        <is>
          <t>jour</t>
        </is>
      </c>
      <c r="B10" t="n">
        <v>2</v>
      </c>
    </row>
    <row r="11">
      <c r="A11" t="inlineStr">
        <is>
          <t>heure</t>
        </is>
      </c>
      <c r="B11" t="n">
        <v>12</v>
      </c>
    </row>
    <row r="12">
      <c r="A12" t="inlineStr">
        <is>
          <t>minute</t>
        </is>
      </c>
      <c r="B12" t="n">
        <v>0</v>
      </c>
    </row>
    <row r="13">
      <c r="A13" t="inlineStr">
        <is>
          <t xml:space="preserve">latitude </t>
        </is>
      </c>
      <c r="B13" t="n">
        <v>39.3901499</v>
      </c>
      <c r="C13" s="5" t="inlineStr">
        <is>
          <t>EuRoC</t>
        </is>
      </c>
    </row>
    <row r="14">
      <c r="A14" t="inlineStr">
        <is>
          <t>longitude</t>
        </is>
      </c>
      <c r="B14" t="n">
        <v>-8.289145299999999</v>
      </c>
      <c r="C14" s="5" t="inlineStr">
        <is>
          <t>EuRoC</t>
        </is>
      </c>
    </row>
    <row r="15">
      <c r="A15" t="inlineStr">
        <is>
          <t xml:space="preserve">elevation </t>
        </is>
      </c>
      <c r="B15" t="n">
        <v>130</v>
      </c>
      <c r="C15" s="5" t="inlineStr">
        <is>
          <t xml:space="preserve">Altitude </t>
        </is>
      </c>
    </row>
    <row r="16">
      <c r="A16" s="27" t="inlineStr">
        <is>
          <t>RAIL</t>
        </is>
      </c>
      <c r="B16" s="25" t="n"/>
      <c r="C16" s="25" t="n"/>
    </row>
    <row r="17">
      <c r="A17" t="inlineStr">
        <is>
          <t>alpha_rail</t>
        </is>
      </c>
      <c r="B17" t="n">
        <v>6</v>
      </c>
      <c r="C17" s="5" t="inlineStr">
        <is>
          <t>Angle d'inclinaison p.r. à l'horizontale</t>
        </is>
      </c>
    </row>
    <row r="18">
      <c r="A18" t="inlineStr">
        <is>
          <t xml:space="preserve">beta_rail </t>
        </is>
      </c>
      <c r="B18" t="n">
        <v>6</v>
      </c>
      <c r="C18" s="5" t="inlineStr">
        <is>
          <t>Angle entre la direction de réaction et la normale au rail.</t>
        </is>
      </c>
    </row>
    <row r="19" ht="15" customFormat="1" customHeight="1" s="23">
      <c r="A19" t="inlineStr">
        <is>
          <t>l_rail</t>
        </is>
      </c>
      <c r="B19" t="n">
        <v>11.65</v>
      </c>
      <c r="C19" s="5" t="inlineStr">
        <is>
          <t xml:space="preserve">Longeur </t>
        </is>
      </c>
    </row>
    <row r="20">
      <c r="A20" t="inlineStr">
        <is>
          <t xml:space="preserve">coeff_fr_rail </t>
        </is>
      </c>
      <c r="B20" t="n">
        <v>0.5</v>
      </c>
      <c r="C20" s="5" t="inlineStr">
        <is>
          <t xml:space="preserve">Coefficient de frottement </t>
        </is>
      </c>
    </row>
    <row r="21">
      <c r="A21" t="inlineStr">
        <is>
          <t>inclination_rail</t>
        </is>
      </c>
      <c r="B21" t="n">
        <v>84</v>
      </c>
      <c r="C21" s="5" t="inlineStr">
        <is>
          <t xml:space="preserve">Inclinaison </t>
        </is>
      </c>
    </row>
    <row r="22">
      <c r="A22" t="inlineStr">
        <is>
          <t xml:space="preserve">heading_rail </t>
        </is>
      </c>
      <c r="B22" t="n">
        <v>144</v>
      </c>
      <c r="C22" s="5" t="inlineStr">
        <is>
          <t xml:space="preserve">Orientation </t>
        </is>
      </c>
    </row>
    <row r="24">
      <c r="A24" t="inlineStr">
        <is>
          <t>SORTIES SOUHAITEES</t>
        </is>
      </c>
      <c r="C24" s="5" t="n"/>
    </row>
    <row r="25">
      <c r="A25" t="inlineStr">
        <is>
          <t>output_general</t>
        </is>
      </c>
      <c r="B25" t="b">
        <v>1</v>
      </c>
    </row>
    <row r="26">
      <c r="A26" t="inlineStr">
        <is>
          <t>output_euler_angles</t>
        </is>
      </c>
      <c r="B26" t="b">
        <v>1</v>
      </c>
    </row>
    <row r="27">
      <c r="A27" t="inlineStr">
        <is>
          <t>output_stability</t>
        </is>
      </c>
      <c r="B27" t="b">
        <v>1</v>
      </c>
    </row>
    <row r="28">
      <c r="A28" t="inlineStr">
        <is>
          <t>output_trajectory</t>
        </is>
      </c>
      <c r="B28" t="b">
        <v>1</v>
      </c>
    </row>
    <row r="29">
      <c r="A29" t="inlineStr">
        <is>
          <t>output_velocity</t>
        </is>
      </c>
      <c r="B29" t="b">
        <v>1</v>
      </c>
    </row>
    <row r="30">
      <c r="A30" t="inlineStr">
        <is>
          <t>output_acceleration</t>
        </is>
      </c>
      <c r="B30" t="b">
        <v>1</v>
      </c>
    </row>
    <row r="31">
      <c r="A31" t="inlineStr">
        <is>
          <t>output_thrust_curve</t>
        </is>
      </c>
      <c r="B31" t="b">
        <v>1</v>
      </c>
    </row>
    <row r="32">
      <c r="C32" s="5" t="n"/>
    </row>
  </sheetData>
  <mergeCells count="3">
    <mergeCell ref="A7:C7"/>
    <mergeCell ref="A2:C2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zoomScale="85" zoomScaleNormal="85" workbookViewId="0">
      <selection activeCell="A18" sqref="A18"/>
    </sheetView>
  </sheetViews>
  <sheetFormatPr baseColWidth="10" defaultColWidth="10.6640625" defaultRowHeight="14.4" customHeight="1"/>
  <cols>
    <col width="22.109375" customWidth="1" style="23" min="1" max="1"/>
    <col width="35.77734375" customWidth="1" style="23" min="2" max="2"/>
    <col width="15" customWidth="1" style="23" min="8" max="8"/>
    <col width="14.88671875" customWidth="1" style="23" min="9" max="9"/>
    <col width="12.33203125" customWidth="1" style="23" min="29" max="29"/>
  </cols>
  <sheetData>
    <row r="1">
      <c r="A1" s="10" t="n"/>
      <c r="B1" s="10" t="n"/>
    </row>
    <row r="2">
      <c r="A2" s="30" t="inlineStr">
        <is>
          <t>MASSE</t>
        </is>
      </c>
    </row>
    <row r="3">
      <c r="A3" s="16" t="inlineStr">
        <is>
          <t>Dry mass [kg]</t>
        </is>
      </c>
      <c r="B3" s="6" t="n">
        <v>98.88979999999999</v>
      </c>
    </row>
    <row r="4">
      <c r="A4" s="16" t="inlineStr">
        <is>
          <t>Wet mass (initial) [kg]</t>
        </is>
      </c>
      <c r="B4" s="6" t="n">
        <v>127.1104367881205</v>
      </c>
    </row>
    <row r="5">
      <c r="A5" s="30" t="inlineStr">
        <is>
          <t>PERFORMANCES MOTEUR</t>
        </is>
      </c>
    </row>
    <row r="6">
      <c r="A6" s="16" t="inlineStr">
        <is>
          <t>Max thrust [N]</t>
        </is>
      </c>
      <c r="B6" s="6" t="n">
        <v/>
      </c>
    </row>
    <row r="7">
      <c r="A7" s="16" t="inlineStr">
        <is>
          <t>Total impulse [Ns]</t>
        </is>
      </c>
      <c r="B7" s="6" t="n">
        <v>36000</v>
      </c>
    </row>
    <row r="8">
      <c r="A8" s="30" t="inlineStr">
        <is>
          <t>CINÉMATIQUE &amp; TRAJECTOIRE</t>
        </is>
      </c>
    </row>
    <row r="9">
      <c r="A9" s="16" t="inlineStr">
        <is>
          <t>Apogee AGL [m]</t>
        </is>
      </c>
      <c r="B9" s="6" t="n">
        <v>3145.375757533603</v>
      </c>
    </row>
    <row r="10">
      <c r="A10" s="16" t="inlineStr">
        <is>
          <t>Apogee ASL [m]</t>
        </is>
      </c>
      <c r="B10" s="6" t="n">
        <v>3296.375757533603</v>
      </c>
    </row>
    <row r="11">
      <c r="A11" s="16" t="inlineStr">
        <is>
          <t>Max velocity [m/s]</t>
        </is>
      </c>
      <c r="B11" s="6" t="n">
        <v>250.9526073078034</v>
      </c>
    </row>
    <row r="12">
      <c r="A12" s="16" t="inlineStr">
        <is>
          <t>Max acceleration [m/s^2]</t>
        </is>
      </c>
      <c r="B12" s="6" t="n">
        <v>139.1683649298294</v>
      </c>
    </row>
    <row r="13">
      <c r="A13" s="16" t="inlineStr">
        <is>
          <t>Max Mach [-]</t>
        </is>
      </c>
      <c r="B13" s="17" t="n">
        <v>0.7266701458833361</v>
      </c>
    </row>
    <row r="14">
      <c r="A14" s="16" t="inlineStr">
        <is>
          <t>Time to apogee [s]</t>
        </is>
      </c>
      <c r="B14" s="6" t="n">
        <v>27.05924179016276</v>
      </c>
    </row>
    <row r="15">
      <c r="A15" s="16" t="inlineStr">
        <is>
          <t>Total flight time [s]</t>
        </is>
      </c>
      <c r="B15" s="6" t="n">
        <v>234.315371146966</v>
      </c>
    </row>
    <row r="16">
      <c r="A16" s="30" t="inlineStr">
        <is>
          <t>SORTIE DE RAMPE</t>
        </is>
      </c>
    </row>
    <row r="17">
      <c r="A17" s="16" t="inlineStr">
        <is>
          <t>Rail exit velocity [m/s]</t>
        </is>
      </c>
      <c r="B17" s="6" t="n">
        <v>32.43993249692786</v>
      </c>
    </row>
    <row r="18">
      <c r="A18" s="18" t="inlineStr">
        <is>
          <t>Static margin rail exit [c]</t>
        </is>
      </c>
      <c r="B18" s="17" t="n">
        <v>4.047493920382416</v>
      </c>
    </row>
    <row r="19">
      <c r="A19" s="31" t="inlineStr">
        <is>
          <t>STABILITÉ</t>
        </is>
      </c>
    </row>
    <row r="20">
      <c r="A20" s="18" t="inlineStr">
        <is>
          <t>Static margin liftoff [c]</t>
        </is>
      </c>
      <c r="B20" s="17" t="n">
        <v>4.013504246372449</v>
      </c>
    </row>
    <row r="21" ht="14.7" customFormat="1" customHeight="1" s="23">
      <c r="A21" s="18" t="n"/>
    </row>
    <row r="22">
      <c r="A22" s="18" t="n"/>
    </row>
    <row r="23">
      <c r="A23" s="18" t="n"/>
    </row>
    <row r="24" ht="14.7" customFormat="1" customHeight="1" s="23">
      <c r="A24" s="18" t="n"/>
    </row>
    <row r="25" ht="14.7" customFormat="1" customHeight="1" s="23">
      <c r="A25" s="18" t="n"/>
      <c r="AC25" s="19" t="inlineStr">
        <is>
          <t>Wet Mass [g]</t>
        </is>
      </c>
    </row>
    <row r="26">
      <c r="A26" s="18" t="n"/>
      <c r="AC26" s="20" t="inlineStr">
        <is>
          <t>7kN</t>
        </is>
      </c>
    </row>
    <row r="27">
      <c r="A27" s="18" t="n"/>
      <c r="AC27" s="20" t="inlineStr">
        <is>
          <t>Estimation</t>
        </is>
      </c>
    </row>
    <row r="28" ht="16.95" customFormat="1" customHeight="1" s="23">
      <c r="A28" s="18" t="n"/>
      <c r="AC28" s="21" t="n">
        <v>122003</v>
      </c>
    </row>
    <row r="29">
      <c r="A29" s="18" t="n"/>
    </row>
    <row r="30" ht="15.75" customFormat="1" customHeight="1" s="23">
      <c r="A30" s="18" t="n"/>
    </row>
    <row r="31">
      <c r="A31" s="18" t="n"/>
    </row>
    <row r="32">
      <c r="A32" s="18" t="n"/>
    </row>
    <row r="33">
      <c r="A33" s="18" t="n"/>
    </row>
    <row r="34">
      <c r="A34" s="18" t="n"/>
    </row>
    <row r="35" ht="14.7" customFormat="1" customHeight="1" s="23">
      <c r="A35" s="18" t="n"/>
    </row>
    <row r="36">
      <c r="A36" s="18" t="n"/>
    </row>
    <row r="37">
      <c r="A37" s="18" t="n"/>
    </row>
    <row r="38">
      <c r="A38" s="18" t="n"/>
    </row>
    <row r="39">
      <c r="A39" s="18" t="n"/>
    </row>
    <row r="40">
      <c r="A40" s="18" t="n"/>
    </row>
    <row r="41">
      <c r="A41" s="18" t="n"/>
    </row>
  </sheetData>
  <mergeCells count="5">
    <mergeCell ref="A16:B16"/>
    <mergeCell ref="A2:B2"/>
    <mergeCell ref="A19:B19"/>
    <mergeCell ref="A5:B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2026-05-13T06:55:08Z</dcterms:created>
  <dcterms:modified xsi:type="dcterms:W3CDTF">2026-10-14T20:49:00Z</dcterms:modified>
  <cp:lastModifiedBy>Valentine Thürler</cp:lastModifiedBy>
</cp:coreProperties>
</file>