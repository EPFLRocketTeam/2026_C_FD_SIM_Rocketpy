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f66cf67d56b1363/Documents/Felix/epfl/ert/2026_C_FD_SIM_Rocketpy/Excel/"/>
    </mc:Choice>
  </mc:AlternateContent>
  <xr:revisionPtr revIDLastSave="26" documentId="13_ncr:1_{B389CD95-5B07-4ECD-8AA6-D2365C658825}" xr6:coauthVersionLast="47" xr6:coauthVersionMax="47" xr10:uidLastSave="{35952930-9E84-430F-8C90-28E642C2BC24}"/>
  <bookViews>
    <workbookView xWindow="-98" yWindow="-98" windowWidth="21795" windowHeight="12975" activeTab="1" xr2:uid="{00000000-000D-0000-FFFF-FFFF00000000}"/>
  </bookViews>
  <sheets>
    <sheet name="Config" sheetId="1" r:id="rId1"/>
    <sheet name="Budget" sheetId="2" r:id="rId2"/>
    <sheet name="Simulations" sheetId="3" r:id="rId3"/>
    <sheet name="IS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4" l="1"/>
  <c r="E62" i="4"/>
  <c r="G62" i="4" s="1"/>
  <c r="H62" i="4" s="1"/>
  <c r="H61" i="4"/>
  <c r="G61" i="4"/>
  <c r="E61" i="4"/>
  <c r="F61" i="4" s="1"/>
  <c r="E60" i="4"/>
  <c r="G60" i="4" s="1"/>
  <c r="H60" i="4" s="1"/>
  <c r="E59" i="4"/>
  <c r="F59" i="4" s="1"/>
  <c r="G58" i="4"/>
  <c r="H58" i="4" s="1"/>
  <c r="E58" i="4"/>
  <c r="F58" i="4" s="1"/>
  <c r="G57" i="4"/>
  <c r="H57" i="4" s="1"/>
  <c r="F57" i="4"/>
  <c r="E57" i="4"/>
  <c r="H56" i="4"/>
  <c r="E56" i="4"/>
  <c r="G56" i="4" s="1"/>
  <c r="E55" i="4"/>
  <c r="F54" i="4"/>
  <c r="E54" i="4"/>
  <c r="G54" i="4" s="1"/>
  <c r="H54" i="4" s="1"/>
  <c r="G53" i="4"/>
  <c r="H53" i="4" s="1"/>
  <c r="F53" i="4"/>
  <c r="E53" i="4"/>
  <c r="E52" i="4"/>
  <c r="E51" i="4"/>
  <c r="G51" i="4" s="1"/>
  <c r="H51" i="4" s="1"/>
  <c r="G50" i="4"/>
  <c r="H50" i="4" s="1"/>
  <c r="E50" i="4"/>
  <c r="F50" i="4" s="1"/>
  <c r="E49" i="4"/>
  <c r="G49" i="4" s="1"/>
  <c r="H49" i="4" s="1"/>
  <c r="G48" i="4"/>
  <c r="H48" i="4" s="1"/>
  <c r="E48" i="4"/>
  <c r="F48" i="4" s="1"/>
  <c r="G47" i="4"/>
  <c r="H47" i="4" s="1"/>
  <c r="E47" i="4"/>
  <c r="F47" i="4" s="1"/>
  <c r="G46" i="4"/>
  <c r="H46" i="4" s="1"/>
  <c r="F46" i="4"/>
  <c r="E46" i="4"/>
  <c r="G45" i="4"/>
  <c r="H45" i="4" s="1"/>
  <c r="F45" i="4"/>
  <c r="E45" i="4"/>
  <c r="E44" i="4"/>
  <c r="G44" i="4" s="1"/>
  <c r="H44" i="4" s="1"/>
  <c r="H43" i="4"/>
  <c r="G43" i="4"/>
  <c r="F43" i="4"/>
  <c r="E43" i="4"/>
  <c r="E42" i="4"/>
  <c r="E41" i="4"/>
  <c r="E40" i="4"/>
  <c r="F40" i="4" s="1"/>
  <c r="G39" i="4"/>
  <c r="H39" i="4" s="1"/>
  <c r="E39" i="4"/>
  <c r="F39" i="4" s="1"/>
  <c r="G38" i="4"/>
  <c r="H38" i="4" s="1"/>
  <c r="F38" i="4"/>
  <c r="E38" i="4"/>
  <c r="G37" i="4"/>
  <c r="H37" i="4" s="1"/>
  <c r="F37" i="4"/>
  <c r="E37" i="4"/>
  <c r="H36" i="4"/>
  <c r="G36" i="4"/>
  <c r="E36" i="4"/>
  <c r="F36" i="4" s="1"/>
  <c r="E35" i="4"/>
  <c r="E34" i="4"/>
  <c r="G34" i="4" s="1"/>
  <c r="H34" i="4" s="1"/>
  <c r="F33" i="4"/>
  <c r="E33" i="4"/>
  <c r="G33" i="4" s="1"/>
  <c r="H33" i="4" s="1"/>
  <c r="E32" i="4"/>
  <c r="G32" i="4" s="1"/>
  <c r="H32" i="4" s="1"/>
  <c r="G31" i="4"/>
  <c r="H31" i="4" s="1"/>
  <c r="E31" i="4"/>
  <c r="F31" i="4" s="1"/>
  <c r="E30" i="4"/>
  <c r="G29" i="4"/>
  <c r="H29" i="4" s="1"/>
  <c r="E29" i="4"/>
  <c r="F29" i="4" s="1"/>
  <c r="G28" i="4"/>
  <c r="H28" i="4" s="1"/>
  <c r="E28" i="4"/>
  <c r="F28" i="4" s="1"/>
  <c r="E27" i="4"/>
  <c r="G27" i="4" s="1"/>
  <c r="H27" i="4" s="1"/>
  <c r="F26" i="4"/>
  <c r="E26" i="4"/>
  <c r="G26" i="4" s="1"/>
  <c r="H26" i="4" s="1"/>
  <c r="G25" i="4"/>
  <c r="H25" i="4" s="1"/>
  <c r="E25" i="4"/>
  <c r="F25" i="4" s="1"/>
  <c r="F24" i="4"/>
  <c r="E24" i="4"/>
  <c r="G24" i="4" s="1"/>
  <c r="H24" i="4" s="1"/>
  <c r="H23" i="4"/>
  <c r="G23" i="4"/>
  <c r="F23" i="4"/>
  <c r="E23" i="4"/>
  <c r="E22" i="4"/>
  <c r="G22" i="4" s="1"/>
  <c r="H22" i="4" s="1"/>
  <c r="G21" i="4"/>
  <c r="H21" i="4" s="1"/>
  <c r="E21" i="4"/>
  <c r="F21" i="4" s="1"/>
  <c r="G20" i="4"/>
  <c r="H20" i="4" s="1"/>
  <c r="F20" i="4"/>
  <c r="E20" i="4"/>
  <c r="E19" i="4"/>
  <c r="E18" i="4"/>
  <c r="G17" i="4"/>
  <c r="H17" i="4" s="1"/>
  <c r="E17" i="4"/>
  <c r="F17" i="4" s="1"/>
  <c r="H16" i="4"/>
  <c r="G16" i="4"/>
  <c r="F16" i="4"/>
  <c r="E16" i="4"/>
  <c r="E15" i="4"/>
  <c r="G14" i="4"/>
  <c r="H14" i="4" s="1"/>
  <c r="E14" i="4"/>
  <c r="F14" i="4" s="1"/>
  <c r="G13" i="4"/>
  <c r="H13" i="4" s="1"/>
  <c r="F13" i="4"/>
  <c r="E13" i="4"/>
  <c r="G12" i="4"/>
  <c r="H12" i="4" s="1"/>
  <c r="F12" i="4"/>
  <c r="E12" i="4"/>
  <c r="E11" i="4"/>
  <c r="G11" i="4" s="1"/>
  <c r="H11" i="4" s="1"/>
  <c r="G10" i="4"/>
  <c r="H10" i="4" s="1"/>
  <c r="F10" i="4"/>
  <c r="E10" i="4"/>
  <c r="E9" i="4"/>
  <c r="G9" i="4" s="1"/>
  <c r="H9" i="4" s="1"/>
  <c r="E8" i="4"/>
  <c r="E7" i="4"/>
  <c r="G6" i="4"/>
  <c r="H6" i="4" s="1"/>
  <c r="E6" i="4"/>
  <c r="F6" i="4" s="1"/>
  <c r="G5" i="4"/>
  <c r="H5" i="4" s="1"/>
  <c r="F5" i="4"/>
  <c r="E5" i="4"/>
  <c r="G4" i="4"/>
  <c r="H4" i="4" s="1"/>
  <c r="F4" i="4"/>
  <c r="E4" i="4"/>
  <c r="H3" i="4"/>
  <c r="G3" i="4"/>
  <c r="E3" i="4"/>
  <c r="F3" i="4" s="1"/>
  <c r="V52" i="3"/>
  <c r="R52" i="3"/>
  <c r="O52" i="3"/>
  <c r="N52" i="3"/>
  <c r="M52" i="3"/>
  <c r="L52" i="3"/>
  <c r="K52" i="3"/>
  <c r="J52" i="3"/>
  <c r="I52" i="3"/>
  <c r="H52" i="3"/>
  <c r="D52" i="3"/>
  <c r="C52" i="3"/>
  <c r="V51" i="3"/>
  <c r="R51" i="3"/>
  <c r="O51" i="3"/>
  <c r="N51" i="3"/>
  <c r="M51" i="3"/>
  <c r="L51" i="3"/>
  <c r="K51" i="3"/>
  <c r="J51" i="3"/>
  <c r="I51" i="3"/>
  <c r="H51" i="3"/>
  <c r="D51" i="3"/>
  <c r="C51" i="3"/>
  <c r="V50" i="3"/>
  <c r="R50" i="3"/>
  <c r="O50" i="3"/>
  <c r="N50" i="3"/>
  <c r="M50" i="3"/>
  <c r="L50" i="3"/>
  <c r="K50" i="3"/>
  <c r="J50" i="3"/>
  <c r="I50" i="3"/>
  <c r="H50" i="3"/>
  <c r="D50" i="3"/>
  <c r="C50" i="3"/>
  <c r="V49" i="3"/>
  <c r="R49" i="3"/>
  <c r="O49" i="3"/>
  <c r="N49" i="3"/>
  <c r="M49" i="3"/>
  <c r="L49" i="3"/>
  <c r="K49" i="3"/>
  <c r="J49" i="3"/>
  <c r="I49" i="3"/>
  <c r="H49" i="3"/>
  <c r="D49" i="3"/>
  <c r="C49" i="3"/>
  <c r="V48" i="3"/>
  <c r="R48" i="3"/>
  <c r="O48" i="3"/>
  <c r="J48" i="3"/>
  <c r="I48" i="3"/>
  <c r="H48" i="3"/>
  <c r="F48" i="3"/>
  <c r="C48" i="3"/>
  <c r="V47" i="3"/>
  <c r="R47" i="3"/>
  <c r="O47" i="3"/>
  <c r="J47" i="3"/>
  <c r="I47" i="3"/>
  <c r="H47" i="3"/>
  <c r="F47" i="3"/>
  <c r="C47" i="3"/>
  <c r="V46" i="3"/>
  <c r="R46" i="3"/>
  <c r="O46" i="3"/>
  <c r="K46" i="3"/>
  <c r="J46" i="3"/>
  <c r="I46" i="3"/>
  <c r="H46" i="3"/>
  <c r="F46" i="3"/>
  <c r="C46" i="3"/>
  <c r="V45" i="3"/>
  <c r="R45" i="3"/>
  <c r="O45" i="3"/>
  <c r="J45" i="3"/>
  <c r="I45" i="3"/>
  <c r="H45" i="3"/>
  <c r="F45" i="3"/>
  <c r="C45" i="3"/>
  <c r="V44" i="3"/>
  <c r="R44" i="3"/>
  <c r="O44" i="3"/>
  <c r="J44" i="3"/>
  <c r="I44" i="3"/>
  <c r="H44" i="3"/>
  <c r="F44" i="3"/>
  <c r="C44" i="3"/>
  <c r="V43" i="3"/>
  <c r="R43" i="3"/>
  <c r="O43" i="3"/>
  <c r="J43" i="3"/>
  <c r="I43" i="3"/>
  <c r="H43" i="3"/>
  <c r="F43" i="3"/>
  <c r="C43" i="3"/>
  <c r="V42" i="3"/>
  <c r="R42" i="3"/>
  <c r="O42" i="3"/>
  <c r="J42" i="3"/>
  <c r="I42" i="3"/>
  <c r="H42" i="3"/>
  <c r="F42" i="3"/>
  <c r="C42" i="3"/>
  <c r="V41" i="3"/>
  <c r="R41" i="3"/>
  <c r="O41" i="3"/>
  <c r="J41" i="3"/>
  <c r="I41" i="3"/>
  <c r="H41" i="3"/>
  <c r="F41" i="3"/>
  <c r="C41" i="3"/>
  <c r="V40" i="3"/>
  <c r="R40" i="3"/>
  <c r="O40" i="3"/>
  <c r="J40" i="3"/>
  <c r="I40" i="3"/>
  <c r="H40" i="3"/>
  <c r="F40" i="3"/>
  <c r="C40" i="3"/>
  <c r="V39" i="3"/>
  <c r="R39" i="3"/>
  <c r="O39" i="3"/>
  <c r="J39" i="3"/>
  <c r="I39" i="3"/>
  <c r="H39" i="3"/>
  <c r="F39" i="3"/>
  <c r="C39" i="3"/>
  <c r="V38" i="3"/>
  <c r="R38" i="3"/>
  <c r="O38" i="3"/>
  <c r="I38" i="3"/>
  <c r="H38" i="3"/>
  <c r="F38" i="3"/>
  <c r="C38" i="3"/>
  <c r="V37" i="3"/>
  <c r="R37" i="3"/>
  <c r="O37" i="3"/>
  <c r="I37" i="3"/>
  <c r="H37" i="3"/>
  <c r="F37" i="3"/>
  <c r="C37" i="3"/>
  <c r="V36" i="3"/>
  <c r="R36" i="3"/>
  <c r="O36" i="3"/>
  <c r="I36" i="3"/>
  <c r="H36" i="3"/>
  <c r="F36" i="3"/>
  <c r="C36" i="3"/>
  <c r="V35" i="3"/>
  <c r="R35" i="3"/>
  <c r="O35" i="3"/>
  <c r="I35" i="3"/>
  <c r="H35" i="3"/>
  <c r="F35" i="3"/>
  <c r="C35" i="3"/>
  <c r="V34" i="3"/>
  <c r="R34" i="3"/>
  <c r="O34" i="3"/>
  <c r="J34" i="3"/>
  <c r="I34" i="3"/>
  <c r="H34" i="3"/>
  <c r="F34" i="3"/>
  <c r="C34" i="3"/>
  <c r="V33" i="3"/>
  <c r="R33" i="3"/>
  <c r="O33" i="3"/>
  <c r="J33" i="3"/>
  <c r="I33" i="3"/>
  <c r="H33" i="3"/>
  <c r="F33" i="3"/>
  <c r="C33" i="3"/>
  <c r="V32" i="3"/>
  <c r="R32" i="3"/>
  <c r="O32" i="3"/>
  <c r="J32" i="3"/>
  <c r="I32" i="3"/>
  <c r="H32" i="3"/>
  <c r="F32" i="3"/>
  <c r="C32" i="3"/>
  <c r="V31" i="3"/>
  <c r="R31" i="3"/>
  <c r="O31" i="3"/>
  <c r="J31" i="3"/>
  <c r="I31" i="3"/>
  <c r="H31" i="3"/>
  <c r="F31" i="3"/>
  <c r="C31" i="3"/>
  <c r="V30" i="3"/>
  <c r="R30" i="3"/>
  <c r="O30" i="3"/>
  <c r="J30" i="3"/>
  <c r="I30" i="3"/>
  <c r="H30" i="3"/>
  <c r="F30" i="3"/>
  <c r="C30" i="3"/>
  <c r="V29" i="3"/>
  <c r="R29" i="3"/>
  <c r="O29" i="3"/>
  <c r="K29" i="3"/>
  <c r="J29" i="3"/>
  <c r="I29" i="3"/>
  <c r="H29" i="3"/>
  <c r="F29" i="3"/>
  <c r="C29" i="3"/>
  <c r="V28" i="3"/>
  <c r="R28" i="3"/>
  <c r="O28" i="3"/>
  <c r="K28" i="3"/>
  <c r="J28" i="3"/>
  <c r="I28" i="3"/>
  <c r="H28" i="3"/>
  <c r="F28" i="3"/>
  <c r="C28" i="3"/>
  <c r="V27" i="3"/>
  <c r="R27" i="3"/>
  <c r="O27" i="3"/>
  <c r="K27" i="3"/>
  <c r="J27" i="3"/>
  <c r="I27" i="3"/>
  <c r="H27" i="3"/>
  <c r="F27" i="3"/>
  <c r="C27" i="3"/>
  <c r="V26" i="3"/>
  <c r="R26" i="3"/>
  <c r="O26" i="3"/>
  <c r="K26" i="3"/>
  <c r="J26" i="3"/>
  <c r="I26" i="3"/>
  <c r="H26" i="3"/>
  <c r="F26" i="3"/>
  <c r="C26" i="3"/>
  <c r="V25" i="3"/>
  <c r="R25" i="3"/>
  <c r="O25" i="3"/>
  <c r="K25" i="3"/>
  <c r="J25" i="3"/>
  <c r="I25" i="3"/>
  <c r="H25" i="3"/>
  <c r="F25" i="3"/>
  <c r="C25" i="3"/>
  <c r="V24" i="3"/>
  <c r="R24" i="3"/>
  <c r="O24" i="3"/>
  <c r="K24" i="3"/>
  <c r="J24" i="3"/>
  <c r="I24" i="3"/>
  <c r="H24" i="3"/>
  <c r="F24" i="3"/>
  <c r="C24" i="3"/>
  <c r="V23" i="3"/>
  <c r="R23" i="3"/>
  <c r="O23" i="3"/>
  <c r="J23" i="3"/>
  <c r="I23" i="3"/>
  <c r="H23" i="3"/>
  <c r="F23" i="3"/>
  <c r="C23" i="3"/>
  <c r="V22" i="3"/>
  <c r="R22" i="3"/>
  <c r="O22" i="3"/>
  <c r="J22" i="3"/>
  <c r="I22" i="3"/>
  <c r="H22" i="3"/>
  <c r="F22" i="3"/>
  <c r="C22" i="3"/>
  <c r="V21" i="3"/>
  <c r="R21" i="3"/>
  <c r="O21" i="3"/>
  <c r="K21" i="3"/>
  <c r="J21" i="3"/>
  <c r="I21" i="3"/>
  <c r="H21" i="3"/>
  <c r="F21" i="3"/>
  <c r="C21" i="3"/>
  <c r="V20" i="3"/>
  <c r="R20" i="3"/>
  <c r="O20" i="3"/>
  <c r="K20" i="3"/>
  <c r="J20" i="3"/>
  <c r="I20" i="3"/>
  <c r="H20" i="3"/>
  <c r="F20" i="3"/>
  <c r="C20" i="3"/>
  <c r="V19" i="3"/>
  <c r="R19" i="3"/>
  <c r="O19" i="3"/>
  <c r="K19" i="3"/>
  <c r="J19" i="3"/>
  <c r="I19" i="3"/>
  <c r="H19" i="3"/>
  <c r="F19" i="3"/>
  <c r="C19" i="3"/>
  <c r="V18" i="3"/>
  <c r="R18" i="3"/>
  <c r="O18" i="3"/>
  <c r="K18" i="3"/>
  <c r="J18" i="3"/>
  <c r="I18" i="3"/>
  <c r="H18" i="3"/>
  <c r="F18" i="3"/>
  <c r="C18" i="3"/>
  <c r="V17" i="3"/>
  <c r="R17" i="3"/>
  <c r="O17" i="3"/>
  <c r="K17" i="3"/>
  <c r="J17" i="3"/>
  <c r="I17" i="3"/>
  <c r="H17" i="3"/>
  <c r="F17" i="3"/>
  <c r="C17" i="3"/>
  <c r="V16" i="3"/>
  <c r="R16" i="3"/>
  <c r="O16" i="3"/>
  <c r="K16" i="3"/>
  <c r="J16" i="3"/>
  <c r="I16" i="3"/>
  <c r="H16" i="3"/>
  <c r="F16" i="3"/>
  <c r="C16" i="3"/>
  <c r="V15" i="3"/>
  <c r="R15" i="3"/>
  <c r="O15" i="3"/>
  <c r="K15" i="3"/>
  <c r="J15" i="3"/>
  <c r="I15" i="3"/>
  <c r="H15" i="3"/>
  <c r="F15" i="3"/>
  <c r="C15" i="3"/>
  <c r="V14" i="3"/>
  <c r="R14" i="3"/>
  <c r="O14" i="3"/>
  <c r="K14" i="3"/>
  <c r="J14" i="3"/>
  <c r="I14" i="3"/>
  <c r="H14" i="3"/>
  <c r="F14" i="3"/>
  <c r="C14" i="3"/>
  <c r="V13" i="3"/>
  <c r="R13" i="3"/>
  <c r="O13" i="3"/>
  <c r="K13" i="3"/>
  <c r="J13" i="3"/>
  <c r="I13" i="3"/>
  <c r="H13" i="3"/>
  <c r="F13" i="3"/>
  <c r="C13" i="3"/>
  <c r="V12" i="3"/>
  <c r="R12" i="3"/>
  <c r="O12" i="3"/>
  <c r="K12" i="3"/>
  <c r="J12" i="3"/>
  <c r="I12" i="3"/>
  <c r="H12" i="3"/>
  <c r="F12" i="3"/>
  <c r="C12" i="3"/>
  <c r="V11" i="3"/>
  <c r="R11" i="3"/>
  <c r="O11" i="3"/>
  <c r="K11" i="3"/>
  <c r="J11" i="3"/>
  <c r="I11" i="3"/>
  <c r="H11" i="3"/>
  <c r="F11" i="3"/>
  <c r="C11" i="3"/>
  <c r="V10" i="3"/>
  <c r="R10" i="3"/>
  <c r="O10" i="3"/>
  <c r="K10" i="3"/>
  <c r="J10" i="3"/>
  <c r="I10" i="3"/>
  <c r="H10" i="3"/>
  <c r="F10" i="3"/>
  <c r="C10" i="3"/>
  <c r="V9" i="3"/>
  <c r="R9" i="3"/>
  <c r="O9" i="3"/>
  <c r="J9" i="3"/>
  <c r="I9" i="3"/>
  <c r="H9" i="3"/>
  <c r="F9" i="3"/>
  <c r="C9" i="3"/>
  <c r="V8" i="3"/>
  <c r="R8" i="3"/>
  <c r="O8" i="3"/>
  <c r="J8" i="3"/>
  <c r="I8" i="3"/>
  <c r="H8" i="3"/>
  <c r="F8" i="3"/>
  <c r="C8" i="3"/>
  <c r="V7" i="3"/>
  <c r="R7" i="3"/>
  <c r="O7" i="3"/>
  <c r="K7" i="3"/>
  <c r="J7" i="3"/>
  <c r="I7" i="3"/>
  <c r="H7" i="3"/>
  <c r="F7" i="3"/>
  <c r="C7" i="3"/>
  <c r="V6" i="3"/>
  <c r="R6" i="3"/>
  <c r="O6" i="3"/>
  <c r="K6" i="3"/>
  <c r="J6" i="3"/>
  <c r="I6" i="3"/>
  <c r="H6" i="3"/>
  <c r="F6" i="3"/>
  <c r="C6" i="3"/>
  <c r="V5" i="3"/>
  <c r="R5" i="3"/>
  <c r="O5" i="3"/>
  <c r="K5" i="3"/>
  <c r="J5" i="3"/>
  <c r="I5" i="3"/>
  <c r="H5" i="3"/>
  <c r="F5" i="3"/>
  <c r="C5" i="3"/>
  <c r="N4" i="3"/>
  <c r="M4" i="3"/>
  <c r="L4" i="3"/>
  <c r="K4" i="3"/>
  <c r="I4" i="3"/>
  <c r="H4" i="3"/>
  <c r="G4" i="3"/>
  <c r="F4" i="3"/>
  <c r="E4" i="3"/>
  <c r="D4" i="3"/>
  <c r="E225" i="2"/>
  <c r="E224" i="2"/>
  <c r="E221" i="2"/>
  <c r="E220" i="2"/>
  <c r="E217" i="2"/>
  <c r="E216" i="2"/>
  <c r="D216" i="2"/>
  <c r="D217" i="2" s="1"/>
  <c r="D218" i="2" s="1"/>
  <c r="B211" i="2"/>
  <c r="B210" i="2"/>
  <c r="B209" i="2"/>
  <c r="B208" i="2"/>
  <c r="U207" i="2"/>
  <c r="B207" i="2"/>
  <c r="U206" i="2"/>
  <c r="B206" i="2"/>
  <c r="U205" i="2"/>
  <c r="B205" i="2"/>
  <c r="U204" i="2"/>
  <c r="B204" i="2"/>
  <c r="U203" i="2"/>
  <c r="B203" i="2"/>
  <c r="U202" i="2"/>
  <c r="B202" i="2"/>
  <c r="U201" i="2"/>
  <c r="B201" i="2"/>
  <c r="U200" i="2"/>
  <c r="B200" i="2"/>
  <c r="U199" i="2"/>
  <c r="B199" i="2"/>
  <c r="U198" i="2"/>
  <c r="B198" i="2"/>
  <c r="U197" i="2"/>
  <c r="B197" i="2"/>
  <c r="U196" i="2"/>
  <c r="B196" i="2"/>
  <c r="U195" i="2"/>
  <c r="B195" i="2"/>
  <c r="U194" i="2"/>
  <c r="B194" i="2"/>
  <c r="U193" i="2"/>
  <c r="B193" i="2"/>
  <c r="U192" i="2"/>
  <c r="B192" i="2"/>
  <c r="U191" i="2"/>
  <c r="B191" i="2"/>
  <c r="U190" i="2"/>
  <c r="B190" i="2"/>
  <c r="U189" i="2"/>
  <c r="B189" i="2"/>
  <c r="U188" i="2"/>
  <c r="B188" i="2"/>
  <c r="U187" i="2"/>
  <c r="B187" i="2"/>
  <c r="U186" i="2"/>
  <c r="B186" i="2"/>
  <c r="U185" i="2"/>
  <c r="B185" i="2"/>
  <c r="U184" i="2"/>
  <c r="B184" i="2"/>
  <c r="U183" i="2"/>
  <c r="B183" i="2"/>
  <c r="U182" i="2"/>
  <c r="B182" i="2"/>
  <c r="U181" i="2"/>
  <c r="B181" i="2"/>
  <c r="U180" i="2"/>
  <c r="B180" i="2"/>
  <c r="U179" i="2"/>
  <c r="B179" i="2"/>
  <c r="U178" i="2"/>
  <c r="B178" i="2"/>
  <c r="U177" i="2"/>
  <c r="B177" i="2"/>
  <c r="U176" i="2"/>
  <c r="B176" i="2"/>
  <c r="U175" i="2"/>
  <c r="B175" i="2"/>
  <c r="U174" i="2"/>
  <c r="B174" i="2"/>
  <c r="U173" i="2"/>
  <c r="B173" i="2"/>
  <c r="U172" i="2"/>
  <c r="B172" i="2"/>
  <c r="U171" i="2"/>
  <c r="B171" i="2"/>
  <c r="U170" i="2"/>
  <c r="B170" i="2"/>
  <c r="U169" i="2"/>
  <c r="B169" i="2"/>
  <c r="U168" i="2"/>
  <c r="B168" i="2"/>
  <c r="U167" i="2"/>
  <c r="B167" i="2"/>
  <c r="U166" i="2"/>
  <c r="B166" i="2"/>
  <c r="U165" i="2"/>
  <c r="B165" i="2"/>
  <c r="U164" i="2"/>
  <c r="B164" i="2"/>
  <c r="V163" i="2"/>
  <c r="U163" i="2"/>
  <c r="B158" i="2"/>
  <c r="B157" i="2"/>
  <c r="B156" i="2"/>
  <c r="B155" i="2"/>
  <c r="U154" i="2"/>
  <c r="N154" i="2"/>
  <c r="M154" i="2"/>
  <c r="L154" i="2"/>
  <c r="S154" i="2" s="1"/>
  <c r="B154" i="2"/>
  <c r="U153" i="2"/>
  <c r="N153" i="2"/>
  <c r="M153" i="2"/>
  <c r="L153" i="2"/>
  <c r="B153" i="2"/>
  <c r="U152" i="2"/>
  <c r="N152" i="2"/>
  <c r="M152" i="2"/>
  <c r="L152" i="2"/>
  <c r="B152" i="2"/>
  <c r="U151" i="2"/>
  <c r="N151" i="2"/>
  <c r="M151" i="2"/>
  <c r="L151" i="2"/>
  <c r="S151" i="2" s="1"/>
  <c r="B151" i="2"/>
  <c r="U150" i="2"/>
  <c r="N150" i="2"/>
  <c r="M150" i="2"/>
  <c r="L150" i="2"/>
  <c r="B150" i="2"/>
  <c r="U149" i="2"/>
  <c r="N149" i="2"/>
  <c r="M149" i="2"/>
  <c r="L149" i="2"/>
  <c r="S149" i="2" s="1"/>
  <c r="B149" i="2"/>
  <c r="U148" i="2"/>
  <c r="N148" i="2"/>
  <c r="M148" i="2"/>
  <c r="L148" i="2"/>
  <c r="B148" i="2"/>
  <c r="U147" i="2"/>
  <c r="N147" i="2"/>
  <c r="M147" i="2"/>
  <c r="L147" i="2"/>
  <c r="S147" i="2" s="1"/>
  <c r="B147" i="2"/>
  <c r="U146" i="2"/>
  <c r="N146" i="2"/>
  <c r="M146" i="2"/>
  <c r="L146" i="2"/>
  <c r="S146" i="2" s="1"/>
  <c r="B146" i="2"/>
  <c r="U145" i="2"/>
  <c r="N145" i="2"/>
  <c r="M145" i="2"/>
  <c r="L145" i="2"/>
  <c r="B145" i="2"/>
  <c r="U144" i="2"/>
  <c r="N144" i="2"/>
  <c r="M144" i="2"/>
  <c r="L144" i="2"/>
  <c r="B144" i="2"/>
  <c r="U143" i="2"/>
  <c r="N143" i="2"/>
  <c r="M143" i="2"/>
  <c r="L143" i="2"/>
  <c r="S143" i="2" s="1"/>
  <c r="B143" i="2"/>
  <c r="U142" i="2"/>
  <c r="N142" i="2"/>
  <c r="M142" i="2"/>
  <c r="L142" i="2"/>
  <c r="S142" i="2" s="1"/>
  <c r="B142" i="2"/>
  <c r="U141" i="2"/>
  <c r="N141" i="2"/>
  <c r="M141" i="2"/>
  <c r="L141" i="2"/>
  <c r="S141" i="2" s="1"/>
  <c r="B141" i="2"/>
  <c r="U140" i="2"/>
  <c r="N140" i="2"/>
  <c r="M140" i="2"/>
  <c r="L140" i="2"/>
  <c r="S140" i="2" s="1"/>
  <c r="B140" i="2"/>
  <c r="U139" i="2"/>
  <c r="N139" i="2"/>
  <c r="M139" i="2"/>
  <c r="L139" i="2"/>
  <c r="S139" i="2" s="1"/>
  <c r="B139" i="2"/>
  <c r="U138" i="2"/>
  <c r="N138" i="2"/>
  <c r="M138" i="2"/>
  <c r="L138" i="2"/>
  <c r="S138" i="2" s="1"/>
  <c r="B138" i="2"/>
  <c r="U137" i="2"/>
  <c r="N137" i="2"/>
  <c r="M137" i="2"/>
  <c r="L137" i="2"/>
  <c r="S137" i="2" s="1"/>
  <c r="B137" i="2"/>
  <c r="U136" i="2"/>
  <c r="N136" i="2"/>
  <c r="M136" i="2"/>
  <c r="L136" i="2"/>
  <c r="S136" i="2" s="1"/>
  <c r="B136" i="2"/>
  <c r="U135" i="2"/>
  <c r="N135" i="2"/>
  <c r="M135" i="2"/>
  <c r="L135" i="2"/>
  <c r="S135" i="2" s="1"/>
  <c r="B135" i="2"/>
  <c r="U134" i="2"/>
  <c r="N134" i="2"/>
  <c r="M134" i="2"/>
  <c r="L134" i="2"/>
  <c r="S134" i="2" s="1"/>
  <c r="B134" i="2"/>
  <c r="U133" i="2"/>
  <c r="N133" i="2"/>
  <c r="M133" i="2"/>
  <c r="L133" i="2"/>
  <c r="B133" i="2"/>
  <c r="U132" i="2"/>
  <c r="N132" i="2"/>
  <c r="M132" i="2"/>
  <c r="L132" i="2"/>
  <c r="S132" i="2" s="1"/>
  <c r="B132" i="2"/>
  <c r="U131" i="2"/>
  <c r="N131" i="2"/>
  <c r="M131" i="2"/>
  <c r="L131" i="2"/>
  <c r="B131" i="2"/>
  <c r="U130" i="2"/>
  <c r="N130" i="2"/>
  <c r="M130" i="2"/>
  <c r="L130" i="2"/>
  <c r="S130" i="2" s="1"/>
  <c r="B130" i="2"/>
  <c r="U129" i="2"/>
  <c r="N129" i="2"/>
  <c r="M129" i="2"/>
  <c r="L129" i="2"/>
  <c r="S129" i="2" s="1"/>
  <c r="B129" i="2"/>
  <c r="U128" i="2"/>
  <c r="N128" i="2"/>
  <c r="M128" i="2"/>
  <c r="L128" i="2"/>
  <c r="B128" i="2"/>
  <c r="U127" i="2"/>
  <c r="N127" i="2"/>
  <c r="M127" i="2"/>
  <c r="L127" i="2"/>
  <c r="S127" i="2" s="1"/>
  <c r="B127" i="2"/>
  <c r="U126" i="2"/>
  <c r="N126" i="2"/>
  <c r="M126" i="2"/>
  <c r="L126" i="2"/>
  <c r="B126" i="2"/>
  <c r="U125" i="2"/>
  <c r="N125" i="2"/>
  <c r="M125" i="2"/>
  <c r="L125" i="2"/>
  <c r="S125" i="2" s="1"/>
  <c r="B125" i="2"/>
  <c r="U124" i="2"/>
  <c r="N124" i="2"/>
  <c r="M124" i="2"/>
  <c r="L124" i="2"/>
  <c r="S124" i="2" s="1"/>
  <c r="B124" i="2"/>
  <c r="U123" i="2"/>
  <c r="N123" i="2"/>
  <c r="M123" i="2"/>
  <c r="L123" i="2"/>
  <c r="B123" i="2"/>
  <c r="U122" i="2"/>
  <c r="N122" i="2"/>
  <c r="M122" i="2"/>
  <c r="L122" i="2"/>
  <c r="S122" i="2" s="1"/>
  <c r="B122" i="2"/>
  <c r="U121" i="2"/>
  <c r="N121" i="2"/>
  <c r="M121" i="2"/>
  <c r="L121" i="2"/>
  <c r="B121" i="2"/>
  <c r="U120" i="2"/>
  <c r="N120" i="2"/>
  <c r="M120" i="2"/>
  <c r="L120" i="2"/>
  <c r="S120" i="2" s="1"/>
  <c r="B120" i="2"/>
  <c r="U119" i="2"/>
  <c r="N119" i="2"/>
  <c r="M119" i="2"/>
  <c r="L119" i="2"/>
  <c r="S119" i="2" s="1"/>
  <c r="B119" i="2"/>
  <c r="U118" i="2"/>
  <c r="N118" i="2"/>
  <c r="M118" i="2"/>
  <c r="L118" i="2"/>
  <c r="S118" i="2" s="1"/>
  <c r="B118" i="2"/>
  <c r="U117" i="2"/>
  <c r="N117" i="2"/>
  <c r="M117" i="2"/>
  <c r="L117" i="2"/>
  <c r="S117" i="2" s="1"/>
  <c r="B117" i="2"/>
  <c r="U116" i="2"/>
  <c r="N116" i="2"/>
  <c r="M116" i="2"/>
  <c r="L116" i="2"/>
  <c r="B116" i="2"/>
  <c r="U115" i="2"/>
  <c r="N115" i="2"/>
  <c r="M115" i="2"/>
  <c r="L115" i="2"/>
  <c r="S115" i="2" s="1"/>
  <c r="B115" i="2"/>
  <c r="U114" i="2"/>
  <c r="N114" i="2"/>
  <c r="M114" i="2"/>
  <c r="L114" i="2"/>
  <c r="S114" i="2" s="1"/>
  <c r="B114" i="2"/>
  <c r="U113" i="2"/>
  <c r="N113" i="2"/>
  <c r="M113" i="2"/>
  <c r="L113" i="2"/>
  <c r="S113" i="2" s="1"/>
  <c r="B113" i="2"/>
  <c r="U112" i="2"/>
  <c r="N112" i="2"/>
  <c r="M112" i="2"/>
  <c r="L112" i="2"/>
  <c r="B112" i="2"/>
  <c r="U111" i="2"/>
  <c r="N111" i="2"/>
  <c r="M111" i="2"/>
  <c r="L111" i="2"/>
  <c r="S111" i="2" s="1"/>
  <c r="B111" i="2"/>
  <c r="V110" i="2"/>
  <c r="U110" i="2"/>
  <c r="O110" i="2"/>
  <c r="N110" i="2"/>
  <c r="M110" i="2"/>
  <c r="D110" i="2"/>
  <c r="B105" i="2"/>
  <c r="B104" i="2"/>
  <c r="B103" i="2"/>
  <c r="B102" i="2"/>
  <c r="E101" i="2"/>
  <c r="B101" i="2"/>
  <c r="E100" i="2"/>
  <c r="B100" i="2"/>
  <c r="E99" i="2"/>
  <c r="B99" i="2"/>
  <c r="E98" i="2"/>
  <c r="B98" i="2"/>
  <c r="E97" i="2"/>
  <c r="B97" i="2"/>
  <c r="E96" i="2"/>
  <c r="B96" i="2"/>
  <c r="E95" i="2"/>
  <c r="B95" i="2"/>
  <c r="E94" i="2"/>
  <c r="B94" i="2"/>
  <c r="E93" i="2"/>
  <c r="D40" i="3" s="1"/>
  <c r="B93" i="2"/>
  <c r="E92" i="2"/>
  <c r="D39" i="3" s="1"/>
  <c r="B92" i="2"/>
  <c r="E91" i="2"/>
  <c r="D38" i="3" s="1"/>
  <c r="B91" i="2"/>
  <c r="E90" i="2"/>
  <c r="D37" i="3" s="1"/>
  <c r="B90" i="2"/>
  <c r="E89" i="2"/>
  <c r="D36" i="3" s="1"/>
  <c r="B89" i="2"/>
  <c r="E88" i="2"/>
  <c r="D35" i="3" s="1"/>
  <c r="B88" i="2"/>
  <c r="E87" i="2"/>
  <c r="D34" i="3" s="1"/>
  <c r="B87" i="2"/>
  <c r="E86" i="2"/>
  <c r="D33" i="3" s="1"/>
  <c r="B86" i="2"/>
  <c r="E85" i="2"/>
  <c r="D32" i="3" s="1"/>
  <c r="B85" i="2"/>
  <c r="E84" i="2"/>
  <c r="D31" i="3" s="1"/>
  <c r="B84" i="2"/>
  <c r="E83" i="2"/>
  <c r="D30" i="3" s="1"/>
  <c r="B83" i="2"/>
  <c r="E82" i="2"/>
  <c r="D29" i="3" s="1"/>
  <c r="B82" i="2"/>
  <c r="E81" i="2"/>
  <c r="D28" i="3" s="1"/>
  <c r="B81" i="2"/>
  <c r="E80" i="2"/>
  <c r="D27" i="3" s="1"/>
  <c r="B80" i="2"/>
  <c r="E79" i="2"/>
  <c r="D26" i="3" s="1"/>
  <c r="B79" i="2"/>
  <c r="E78" i="2"/>
  <c r="D25" i="3" s="1"/>
  <c r="B78" i="2"/>
  <c r="E77" i="2"/>
  <c r="D24" i="3" s="1"/>
  <c r="B77" i="2"/>
  <c r="E76" i="2"/>
  <c r="D23" i="3" s="1"/>
  <c r="B76" i="2"/>
  <c r="E75" i="2"/>
  <c r="D22" i="3" s="1"/>
  <c r="B75" i="2"/>
  <c r="E74" i="2"/>
  <c r="D21" i="3" s="1"/>
  <c r="B74" i="2"/>
  <c r="E73" i="2"/>
  <c r="D20" i="3" s="1"/>
  <c r="B73" i="2"/>
  <c r="E72" i="2"/>
  <c r="D19" i="3" s="1"/>
  <c r="B72" i="2"/>
  <c r="E71" i="2"/>
  <c r="D18" i="3" s="1"/>
  <c r="B71" i="2"/>
  <c r="E70" i="2"/>
  <c r="D17" i="3" s="1"/>
  <c r="B70" i="2"/>
  <c r="E69" i="2"/>
  <c r="D16" i="3" s="1"/>
  <c r="B69" i="2"/>
  <c r="E68" i="2"/>
  <c r="D15" i="3" s="1"/>
  <c r="B68" i="2"/>
  <c r="E67" i="2"/>
  <c r="D14" i="3" s="1"/>
  <c r="B67" i="2"/>
  <c r="E66" i="2"/>
  <c r="D13" i="3" s="1"/>
  <c r="B66" i="2"/>
  <c r="E65" i="2"/>
  <c r="D12" i="3" s="1"/>
  <c r="B65" i="2"/>
  <c r="E64" i="2"/>
  <c r="D11" i="3" s="1"/>
  <c r="B64" i="2"/>
  <c r="E63" i="2"/>
  <c r="D10" i="3" s="1"/>
  <c r="B63" i="2"/>
  <c r="E62" i="2"/>
  <c r="D9" i="3" s="1"/>
  <c r="B62" i="2"/>
  <c r="E61" i="2"/>
  <c r="D8" i="3" s="1"/>
  <c r="B61" i="2"/>
  <c r="E60" i="2"/>
  <c r="D7" i="3" s="1"/>
  <c r="B60" i="2"/>
  <c r="E59" i="2"/>
  <c r="D6" i="3" s="1"/>
  <c r="B59" i="2"/>
  <c r="E58" i="2"/>
  <c r="D5" i="3" s="1"/>
  <c r="B58" i="2"/>
  <c r="C57" i="2"/>
  <c r="E57" i="2" s="1"/>
  <c r="B52" i="2"/>
  <c r="B51" i="2"/>
  <c r="B50" i="2"/>
  <c r="B49" i="2"/>
  <c r="I48" i="2"/>
  <c r="N48" i="3" s="1"/>
  <c r="G48" i="2"/>
  <c r="F48" i="2"/>
  <c r="L48" i="3" s="1"/>
  <c r="B48" i="2"/>
  <c r="I47" i="2"/>
  <c r="N47" i="3" s="1"/>
  <c r="G47" i="2"/>
  <c r="F47" i="2"/>
  <c r="L47" i="3" s="1"/>
  <c r="B47" i="2"/>
  <c r="I46" i="2"/>
  <c r="N46" i="3" s="1"/>
  <c r="G46" i="2"/>
  <c r="M46" i="3" s="1"/>
  <c r="F46" i="2"/>
  <c r="L46" i="3" s="1"/>
  <c r="B46" i="2"/>
  <c r="I45" i="2"/>
  <c r="N45" i="3" s="1"/>
  <c r="G45" i="2"/>
  <c r="M45" i="3" s="1"/>
  <c r="F45" i="2"/>
  <c r="L45" i="3" s="1"/>
  <c r="B45" i="2"/>
  <c r="I44" i="2"/>
  <c r="N44" i="3" s="1"/>
  <c r="G44" i="2"/>
  <c r="M44" i="3" s="1"/>
  <c r="F44" i="2"/>
  <c r="L44" i="3" s="1"/>
  <c r="B44" i="2"/>
  <c r="I43" i="2"/>
  <c r="N43" i="3" s="1"/>
  <c r="G43" i="2"/>
  <c r="F43" i="2"/>
  <c r="L43" i="3" s="1"/>
  <c r="B43" i="2"/>
  <c r="I42" i="2"/>
  <c r="N42" i="3" s="1"/>
  <c r="G42" i="2"/>
  <c r="F42" i="2"/>
  <c r="L42" i="3" s="1"/>
  <c r="B42" i="2"/>
  <c r="I41" i="2"/>
  <c r="N41" i="3" s="1"/>
  <c r="G41" i="2"/>
  <c r="F41" i="2"/>
  <c r="L41" i="3" s="1"/>
  <c r="B41" i="2"/>
  <c r="I40" i="2"/>
  <c r="N40" i="3" s="1"/>
  <c r="F40" i="2"/>
  <c r="L40" i="3" s="1"/>
  <c r="B40" i="2"/>
  <c r="I39" i="2"/>
  <c r="N39" i="3" s="1"/>
  <c r="F39" i="2"/>
  <c r="L39" i="3" s="1"/>
  <c r="B39" i="2"/>
  <c r="I38" i="2"/>
  <c r="N38" i="3" s="1"/>
  <c r="F38" i="2"/>
  <c r="L38" i="3" s="1"/>
  <c r="B38" i="2"/>
  <c r="I37" i="2"/>
  <c r="N37" i="3" s="1"/>
  <c r="F37" i="2"/>
  <c r="L37" i="3" s="1"/>
  <c r="B37" i="2"/>
  <c r="I36" i="2"/>
  <c r="N36" i="3" s="1"/>
  <c r="F36" i="2"/>
  <c r="L36" i="3" s="1"/>
  <c r="B36" i="2"/>
  <c r="I35" i="2"/>
  <c r="N35" i="3" s="1"/>
  <c r="F35" i="2"/>
  <c r="L35" i="3" s="1"/>
  <c r="B35" i="2"/>
  <c r="I34" i="2"/>
  <c r="N34" i="3" s="1"/>
  <c r="G34" i="2"/>
  <c r="M34" i="3" s="1"/>
  <c r="F34" i="2"/>
  <c r="L34" i="3" s="1"/>
  <c r="B34" i="2"/>
  <c r="I33" i="2"/>
  <c r="N33" i="3" s="1"/>
  <c r="G33" i="2"/>
  <c r="F33" i="2"/>
  <c r="L33" i="3" s="1"/>
  <c r="B33" i="2"/>
  <c r="I32" i="2"/>
  <c r="N32" i="3" s="1"/>
  <c r="G32" i="2"/>
  <c r="F32" i="2"/>
  <c r="L32" i="3" s="1"/>
  <c r="B32" i="2"/>
  <c r="I31" i="2"/>
  <c r="N31" i="3" s="1"/>
  <c r="G31" i="2"/>
  <c r="F31" i="2"/>
  <c r="L31" i="3" s="1"/>
  <c r="B31" i="2"/>
  <c r="I30" i="2"/>
  <c r="N30" i="3" s="1"/>
  <c r="G30" i="2"/>
  <c r="M30" i="3" s="1"/>
  <c r="F30" i="2"/>
  <c r="L30" i="3" s="1"/>
  <c r="B30" i="2"/>
  <c r="I29" i="2"/>
  <c r="N29" i="3" s="1"/>
  <c r="G29" i="2"/>
  <c r="M29" i="3" s="1"/>
  <c r="F29" i="2"/>
  <c r="L29" i="3" s="1"/>
  <c r="B29" i="2"/>
  <c r="I28" i="2"/>
  <c r="N28" i="3" s="1"/>
  <c r="G28" i="2"/>
  <c r="M28" i="3" s="1"/>
  <c r="F28" i="2"/>
  <c r="L28" i="3" s="1"/>
  <c r="B28" i="2"/>
  <c r="I27" i="2"/>
  <c r="N27" i="3" s="1"/>
  <c r="G27" i="2"/>
  <c r="F27" i="2"/>
  <c r="L27" i="3" s="1"/>
  <c r="B27" i="2"/>
  <c r="I26" i="2"/>
  <c r="N26" i="3" s="1"/>
  <c r="G26" i="2"/>
  <c r="M26" i="3" s="1"/>
  <c r="F26" i="2"/>
  <c r="L26" i="3" s="1"/>
  <c r="B26" i="2"/>
  <c r="I25" i="2"/>
  <c r="N25" i="3" s="1"/>
  <c r="G25" i="2"/>
  <c r="M25" i="3" s="1"/>
  <c r="F25" i="2"/>
  <c r="L25" i="3" s="1"/>
  <c r="B25" i="2"/>
  <c r="I24" i="2"/>
  <c r="N24" i="3" s="1"/>
  <c r="G24" i="2"/>
  <c r="M24" i="3" s="1"/>
  <c r="F24" i="2"/>
  <c r="L24" i="3" s="1"/>
  <c r="B24" i="2"/>
  <c r="I23" i="2"/>
  <c r="N23" i="3" s="1"/>
  <c r="G23" i="2"/>
  <c r="F23" i="2"/>
  <c r="L23" i="3" s="1"/>
  <c r="B23" i="2"/>
  <c r="I22" i="2"/>
  <c r="N22" i="3" s="1"/>
  <c r="G22" i="2"/>
  <c r="M22" i="3" s="1"/>
  <c r="F22" i="2"/>
  <c r="L22" i="3" s="1"/>
  <c r="B22" i="2"/>
  <c r="I21" i="2"/>
  <c r="N21" i="3" s="1"/>
  <c r="G21" i="2"/>
  <c r="M21" i="3" s="1"/>
  <c r="F21" i="2"/>
  <c r="L21" i="3" s="1"/>
  <c r="B21" i="2"/>
  <c r="I20" i="2"/>
  <c r="N20" i="3" s="1"/>
  <c r="G20" i="2"/>
  <c r="F20" i="2"/>
  <c r="L20" i="3" s="1"/>
  <c r="B20" i="2"/>
  <c r="I19" i="2"/>
  <c r="N19" i="3" s="1"/>
  <c r="G19" i="2"/>
  <c r="M19" i="3" s="1"/>
  <c r="F19" i="2"/>
  <c r="L19" i="3" s="1"/>
  <c r="B19" i="2"/>
  <c r="I18" i="2"/>
  <c r="N18" i="3" s="1"/>
  <c r="G18" i="2"/>
  <c r="M18" i="3" s="1"/>
  <c r="F18" i="2"/>
  <c r="L18" i="3" s="1"/>
  <c r="B18" i="2"/>
  <c r="I17" i="2"/>
  <c r="N17" i="3" s="1"/>
  <c r="G17" i="2"/>
  <c r="F17" i="2"/>
  <c r="L17" i="3" s="1"/>
  <c r="B17" i="2"/>
  <c r="I16" i="2"/>
  <c r="N16" i="3" s="1"/>
  <c r="G16" i="2"/>
  <c r="M16" i="3" s="1"/>
  <c r="F16" i="2"/>
  <c r="L16" i="3" s="1"/>
  <c r="B16" i="2"/>
  <c r="I15" i="2"/>
  <c r="N15" i="3" s="1"/>
  <c r="G15" i="2"/>
  <c r="F15" i="2"/>
  <c r="L15" i="3" s="1"/>
  <c r="B15" i="2"/>
  <c r="I14" i="2"/>
  <c r="N14" i="3" s="1"/>
  <c r="G14" i="2"/>
  <c r="M14" i="3" s="1"/>
  <c r="F14" i="2"/>
  <c r="L14" i="3" s="1"/>
  <c r="B14" i="2"/>
  <c r="I13" i="2"/>
  <c r="N13" i="3" s="1"/>
  <c r="G13" i="2"/>
  <c r="F13" i="2"/>
  <c r="L13" i="3" s="1"/>
  <c r="B13" i="2"/>
  <c r="I12" i="2"/>
  <c r="N12" i="3" s="1"/>
  <c r="G12" i="2"/>
  <c r="M12" i="3" s="1"/>
  <c r="F12" i="2"/>
  <c r="B12" i="2"/>
  <c r="I11" i="2"/>
  <c r="N11" i="3" s="1"/>
  <c r="G11" i="2"/>
  <c r="F11" i="2"/>
  <c r="L11" i="3" s="1"/>
  <c r="B11" i="2"/>
  <c r="I10" i="2"/>
  <c r="N10" i="3" s="1"/>
  <c r="G10" i="2"/>
  <c r="M10" i="3" s="1"/>
  <c r="F10" i="2"/>
  <c r="L10" i="3" s="1"/>
  <c r="B10" i="2"/>
  <c r="I9" i="2"/>
  <c r="N9" i="3" s="1"/>
  <c r="G9" i="2"/>
  <c r="F9" i="2"/>
  <c r="B9" i="2"/>
  <c r="I8" i="2"/>
  <c r="N8" i="3" s="1"/>
  <c r="G8" i="2"/>
  <c r="M8" i="3" s="1"/>
  <c r="F8" i="2"/>
  <c r="L8" i="3" s="1"/>
  <c r="B8" i="2"/>
  <c r="I7" i="2"/>
  <c r="N7" i="3" s="1"/>
  <c r="G7" i="2"/>
  <c r="M7" i="3" s="1"/>
  <c r="F7" i="2"/>
  <c r="L7" i="3" s="1"/>
  <c r="B7" i="2"/>
  <c r="I6" i="2"/>
  <c r="N6" i="3" s="1"/>
  <c r="G6" i="2"/>
  <c r="M6" i="3" s="1"/>
  <c r="F6" i="2"/>
  <c r="L6" i="3" s="1"/>
  <c r="B6" i="2"/>
  <c r="I5" i="2"/>
  <c r="N5" i="3" s="1"/>
  <c r="G5" i="2"/>
  <c r="M5" i="3" s="1"/>
  <c r="F5" i="2"/>
  <c r="L5" i="3" s="1"/>
  <c r="B5" i="2"/>
  <c r="C4" i="2"/>
  <c r="L110" i="2" s="1"/>
  <c r="S110" i="2" s="1"/>
  <c r="M46" i="1"/>
  <c r="K48" i="3" s="1"/>
  <c r="G46" i="1"/>
  <c r="I46" i="1" s="1"/>
  <c r="J207" i="2" s="1"/>
  <c r="K207" i="2" s="1"/>
  <c r="M45" i="1"/>
  <c r="K47" i="3" s="1"/>
  <c r="G45" i="1"/>
  <c r="M44" i="1"/>
  <c r="G44" i="1"/>
  <c r="M43" i="1"/>
  <c r="K45" i="3" s="1"/>
  <c r="G43" i="1"/>
  <c r="I43" i="1" s="1"/>
  <c r="J204" i="2" s="1"/>
  <c r="K204" i="2" s="1"/>
  <c r="M42" i="1"/>
  <c r="K44" i="3" s="1"/>
  <c r="G42" i="1"/>
  <c r="I42" i="1" s="1"/>
  <c r="J203" i="2" s="1"/>
  <c r="K203" i="2" s="1"/>
  <c r="M41" i="1"/>
  <c r="K43" i="3" s="1"/>
  <c r="G41" i="1"/>
  <c r="H41" i="1" s="1"/>
  <c r="K149" i="2" s="1"/>
  <c r="M40" i="1"/>
  <c r="K42" i="3" s="1"/>
  <c r="G40" i="1"/>
  <c r="I40" i="1" s="1"/>
  <c r="J201" i="2" s="1"/>
  <c r="K201" i="2" s="1"/>
  <c r="M39" i="1"/>
  <c r="K41" i="3" s="1"/>
  <c r="G39" i="1"/>
  <c r="H39" i="1" s="1"/>
  <c r="K147" i="2" s="1"/>
  <c r="M38" i="1"/>
  <c r="G40" i="2" s="1"/>
  <c r="M40" i="3" s="1"/>
  <c r="G38" i="1"/>
  <c r="M37" i="1"/>
  <c r="G39" i="2" s="1"/>
  <c r="G37" i="1"/>
  <c r="I37" i="1" s="1"/>
  <c r="J198" i="2" s="1"/>
  <c r="K198" i="2" s="1"/>
  <c r="M36" i="1"/>
  <c r="K38" i="3" s="1"/>
  <c r="G36" i="1"/>
  <c r="I36" i="1" s="1"/>
  <c r="J197" i="2" s="1"/>
  <c r="I197" i="2" s="1"/>
  <c r="M35" i="1"/>
  <c r="G37" i="2" s="1"/>
  <c r="G35" i="1"/>
  <c r="H35" i="1" s="1"/>
  <c r="K143" i="2" s="1"/>
  <c r="M34" i="1"/>
  <c r="G36" i="2" s="1"/>
  <c r="M36" i="3" s="1"/>
  <c r="G34" i="1"/>
  <c r="I34" i="1" s="1"/>
  <c r="J195" i="2" s="1"/>
  <c r="M33" i="1"/>
  <c r="K35" i="3" s="1"/>
  <c r="G33" i="1"/>
  <c r="M32" i="1"/>
  <c r="K34" i="3" s="1"/>
  <c r="G32" i="1"/>
  <c r="H32" i="1" s="1"/>
  <c r="K140" i="2" s="1"/>
  <c r="M31" i="1"/>
  <c r="K33" i="3" s="1"/>
  <c r="G31" i="1"/>
  <c r="H31" i="1" s="1"/>
  <c r="K139" i="2" s="1"/>
  <c r="M30" i="1"/>
  <c r="K32" i="3" s="1"/>
  <c r="G30" i="1"/>
  <c r="I30" i="1" s="1"/>
  <c r="J191" i="2" s="1"/>
  <c r="M29" i="1"/>
  <c r="K31" i="3" s="1"/>
  <c r="G29" i="1"/>
  <c r="I29" i="1" s="1"/>
  <c r="J190" i="2" s="1"/>
  <c r="M28" i="1"/>
  <c r="K30" i="3" s="1"/>
  <c r="G28" i="1"/>
  <c r="I28" i="1" s="1"/>
  <c r="J189" i="2" s="1"/>
  <c r="I189" i="2" s="1"/>
  <c r="M27" i="1"/>
  <c r="G27" i="1"/>
  <c r="I27" i="1" s="1"/>
  <c r="J188" i="2" s="1"/>
  <c r="G26" i="1"/>
  <c r="G25" i="1"/>
  <c r="I25" i="1" s="1"/>
  <c r="J186" i="2" s="1"/>
  <c r="I186" i="2" s="1"/>
  <c r="G24" i="1"/>
  <c r="H24" i="1" s="1"/>
  <c r="K132" i="2" s="1"/>
  <c r="G23" i="1"/>
  <c r="H23" i="1" s="1"/>
  <c r="K131" i="2" s="1"/>
  <c r="G22" i="1"/>
  <c r="I22" i="1" s="1"/>
  <c r="J183" i="2" s="1"/>
  <c r="M21" i="1"/>
  <c r="K23" i="3" s="1"/>
  <c r="G21" i="1"/>
  <c r="H21" i="1" s="1"/>
  <c r="K129" i="2" s="1"/>
  <c r="M20" i="1"/>
  <c r="G20" i="1"/>
  <c r="G19" i="1"/>
  <c r="I19" i="1" s="1"/>
  <c r="J180" i="2" s="1"/>
  <c r="G18" i="1"/>
  <c r="H18" i="1" s="1"/>
  <c r="K126" i="2" s="1"/>
  <c r="G17" i="1"/>
  <c r="H17" i="1" s="1"/>
  <c r="K125" i="2" s="1"/>
  <c r="G16" i="1"/>
  <c r="I16" i="1" s="1"/>
  <c r="J177" i="2" s="1"/>
  <c r="I177" i="2" s="1"/>
  <c r="G15" i="1"/>
  <c r="H15" i="1" s="1"/>
  <c r="K123" i="2" s="1"/>
  <c r="G14" i="1"/>
  <c r="H14" i="1" s="1"/>
  <c r="K122" i="2" s="1"/>
  <c r="G13" i="1"/>
  <c r="H13" i="1" s="1"/>
  <c r="K121" i="2" s="1"/>
  <c r="G12" i="1"/>
  <c r="I12" i="1" s="1"/>
  <c r="J173" i="2" s="1"/>
  <c r="I173" i="2" s="1"/>
  <c r="G11" i="1"/>
  <c r="H11" i="1" s="1"/>
  <c r="K119" i="2" s="1"/>
  <c r="G10" i="1"/>
  <c r="I10" i="1" s="1"/>
  <c r="J171" i="2" s="1"/>
  <c r="G9" i="1"/>
  <c r="I9" i="1" s="1"/>
  <c r="J170" i="2" s="1"/>
  <c r="G8" i="1"/>
  <c r="I8" i="1" s="1"/>
  <c r="J169" i="2" s="1"/>
  <c r="M7" i="1"/>
  <c r="G7" i="1"/>
  <c r="H7" i="1" s="1"/>
  <c r="K115" i="2" s="1"/>
  <c r="M6" i="1"/>
  <c r="G6" i="1"/>
  <c r="H6" i="1" s="1"/>
  <c r="K114" i="2" s="1"/>
  <c r="G5" i="1"/>
  <c r="I5" i="1" s="1"/>
  <c r="J166" i="2" s="1"/>
  <c r="G4" i="1"/>
  <c r="G3" i="1"/>
  <c r="I3" i="1" s="1"/>
  <c r="J164" i="2" s="1"/>
  <c r="K37" i="3" l="1"/>
  <c r="I31" i="1"/>
  <c r="J192" i="2" s="1"/>
  <c r="I192" i="2" s="1"/>
  <c r="G38" i="2"/>
  <c r="M38" i="3" s="1"/>
  <c r="I11" i="1"/>
  <c r="J172" i="2" s="1"/>
  <c r="I172" i="2" s="1"/>
  <c r="I32" i="1"/>
  <c r="J193" i="2" s="1"/>
  <c r="I193" i="2" s="1"/>
  <c r="I39" i="1"/>
  <c r="J200" i="2" s="1"/>
  <c r="K200" i="2" s="1"/>
  <c r="P200" i="2" s="1"/>
  <c r="K40" i="3"/>
  <c r="H25" i="1"/>
  <c r="K133" i="2" s="1"/>
  <c r="O133" i="2" s="1"/>
  <c r="R133" i="2" s="1"/>
  <c r="I13" i="1"/>
  <c r="J174" i="2" s="1"/>
  <c r="I174" i="2" s="1"/>
  <c r="K174" i="2" s="1"/>
  <c r="I14" i="1"/>
  <c r="J175" i="2" s="1"/>
  <c r="I175" i="2" s="1"/>
  <c r="K175" i="2" s="1"/>
  <c r="I35" i="1"/>
  <c r="J196" i="2" s="1"/>
  <c r="I196" i="2" s="1"/>
  <c r="H42" i="1"/>
  <c r="K150" i="2" s="1"/>
  <c r="O150" i="2" s="1"/>
  <c r="R150" i="2" s="1"/>
  <c r="I6" i="1"/>
  <c r="J167" i="2" s="1"/>
  <c r="I167" i="2" s="1"/>
  <c r="I17" i="1"/>
  <c r="J178" i="2" s="1"/>
  <c r="I7" i="1"/>
  <c r="J168" i="2" s="1"/>
  <c r="I168" i="2" s="1"/>
  <c r="H30" i="1"/>
  <c r="K138" i="2" s="1"/>
  <c r="O138" i="2" s="1"/>
  <c r="R138" i="2" s="1"/>
  <c r="V138" i="2" s="1"/>
  <c r="T138" i="2" s="1"/>
  <c r="G35" i="2"/>
  <c r="M35" i="3" s="1"/>
  <c r="I23" i="1"/>
  <c r="J184" i="2" s="1"/>
  <c r="I184" i="2" s="1"/>
  <c r="K184" i="2" s="1"/>
  <c r="H40" i="1"/>
  <c r="K148" i="2" s="1"/>
  <c r="O148" i="2" s="1"/>
  <c r="R148" i="2" s="1"/>
  <c r="H34" i="1"/>
  <c r="K142" i="2" s="1"/>
  <c r="O142" i="2" s="1"/>
  <c r="R142" i="2" s="1"/>
  <c r="I41" i="1"/>
  <c r="J202" i="2" s="1"/>
  <c r="K202" i="2" s="1"/>
  <c r="P202" i="2" s="1"/>
  <c r="I15" i="1"/>
  <c r="J176" i="2" s="1"/>
  <c r="I176" i="2" s="1"/>
  <c r="H28" i="1"/>
  <c r="K136" i="2" s="1"/>
  <c r="O136" i="2" s="1"/>
  <c r="R136" i="2" s="1"/>
  <c r="E30" i="3" s="1"/>
  <c r="H36" i="1"/>
  <c r="K144" i="2" s="1"/>
  <c r="H43" i="1"/>
  <c r="K151" i="2" s="1"/>
  <c r="O151" i="2" s="1"/>
  <c r="R151" i="2" s="1"/>
  <c r="H37" i="1"/>
  <c r="K145" i="2" s="1"/>
  <c r="O145" i="2" s="1"/>
  <c r="R145" i="2" s="1"/>
  <c r="H8" i="1"/>
  <c r="K116" i="2" s="1"/>
  <c r="O116" i="2" s="1"/>
  <c r="R116" i="2" s="1"/>
  <c r="I21" i="1"/>
  <c r="J182" i="2" s="1"/>
  <c r="I182" i="2" s="1"/>
  <c r="H12" i="1"/>
  <c r="K120" i="2" s="1"/>
  <c r="O120" i="2" s="1"/>
  <c r="R120" i="2" s="1"/>
  <c r="M42" i="3"/>
  <c r="O122" i="2"/>
  <c r="R122" i="2" s="1"/>
  <c r="V122" i="2" s="1"/>
  <c r="T122" i="2" s="1"/>
  <c r="O129" i="2"/>
  <c r="R129" i="2" s="1"/>
  <c r="M23" i="3"/>
  <c r="O201" i="2"/>
  <c r="K186" i="2"/>
  <c r="P186" i="2" s="1"/>
  <c r="O114" i="2"/>
  <c r="R114" i="2" s="1"/>
  <c r="O140" i="2"/>
  <c r="R140" i="2" s="1"/>
  <c r="V140" i="2" s="1"/>
  <c r="T140" i="2" s="1"/>
  <c r="S144" i="2"/>
  <c r="I191" i="2"/>
  <c r="K191" i="2" s="1"/>
  <c r="I171" i="2"/>
  <c r="K171" i="2" s="1"/>
  <c r="S145" i="2"/>
  <c r="G35" i="4"/>
  <c r="H35" i="4" s="1"/>
  <c r="F35" i="4"/>
  <c r="G7" i="4"/>
  <c r="H7" i="4" s="1"/>
  <c r="F7" i="4"/>
  <c r="I190" i="2"/>
  <c r="K190" i="2" s="1"/>
  <c r="K177" i="2"/>
  <c r="I180" i="2"/>
  <c r="K180" i="2" s="1"/>
  <c r="H19" i="1"/>
  <c r="K127" i="2" s="1"/>
  <c r="O127" i="2" s="1"/>
  <c r="R127" i="2" s="1"/>
  <c r="P204" i="2"/>
  <c r="O204" i="2"/>
  <c r="R204" i="2" s="1"/>
  <c r="H10" i="1"/>
  <c r="K118" i="2" s="1"/>
  <c r="O118" i="2" s="1"/>
  <c r="R118" i="2" s="1"/>
  <c r="I183" i="2"/>
  <c r="K183" i="2"/>
  <c r="P207" i="2"/>
  <c r="O207" i="2"/>
  <c r="P201" i="2"/>
  <c r="I164" i="2"/>
  <c r="K164" i="2" s="1"/>
  <c r="G18" i="4"/>
  <c r="H18" i="4" s="1"/>
  <c r="F18" i="4"/>
  <c r="O147" i="2"/>
  <c r="R147" i="2" s="1"/>
  <c r="M41" i="3"/>
  <c r="I20" i="1"/>
  <c r="J181" i="2" s="1"/>
  <c r="H20" i="1"/>
  <c r="K128" i="2" s="1"/>
  <c r="O128" i="2" s="1"/>
  <c r="R128" i="2" s="1"/>
  <c r="I170" i="2"/>
  <c r="K170" i="2" s="1"/>
  <c r="S128" i="2"/>
  <c r="O132" i="2"/>
  <c r="R132" i="2" s="1"/>
  <c r="K197" i="2"/>
  <c r="P203" i="2"/>
  <c r="O203" i="2"/>
  <c r="R203" i="2" s="1"/>
  <c r="I169" i="2"/>
  <c r="K169" i="2" s="1"/>
  <c r="S116" i="2"/>
  <c r="M39" i="3"/>
  <c r="H46" i="1"/>
  <c r="K154" i="2" s="1"/>
  <c r="O154" i="2" s="1"/>
  <c r="R154" i="2" s="1"/>
  <c r="H16" i="1"/>
  <c r="K124" i="2" s="1"/>
  <c r="O124" i="2" s="1"/>
  <c r="R124" i="2" s="1"/>
  <c r="O149" i="2"/>
  <c r="R149" i="2" s="1"/>
  <c r="M43" i="3"/>
  <c r="K189" i="2"/>
  <c r="F32" i="4"/>
  <c r="G40" i="4"/>
  <c r="H40" i="4" s="1"/>
  <c r="I26" i="1"/>
  <c r="J187" i="2" s="1"/>
  <c r="H26" i="1"/>
  <c r="K134" i="2" s="1"/>
  <c r="O134" i="2" s="1"/>
  <c r="R134" i="2" s="1"/>
  <c r="O121" i="2"/>
  <c r="R121" i="2" s="1"/>
  <c r="M15" i="3"/>
  <c r="S150" i="2"/>
  <c r="P198" i="2"/>
  <c r="O198" i="2"/>
  <c r="O119" i="2"/>
  <c r="R119" i="2" s="1"/>
  <c r="M13" i="3"/>
  <c r="I24" i="1"/>
  <c r="J185" i="2" s="1"/>
  <c r="S152" i="2"/>
  <c r="I188" i="2"/>
  <c r="K188" i="2" s="1"/>
  <c r="S123" i="2"/>
  <c r="G42" i="4"/>
  <c r="H42" i="4" s="1"/>
  <c r="F42" i="4"/>
  <c r="H27" i="1"/>
  <c r="K135" i="2" s="1"/>
  <c r="O135" i="2" s="1"/>
  <c r="R135" i="2" s="1"/>
  <c r="K39" i="3"/>
  <c r="F51" i="4"/>
  <c r="L9" i="3"/>
  <c r="D224" i="2"/>
  <c r="D225" i="2" s="1"/>
  <c r="D226" i="2" s="1"/>
  <c r="G59" i="4"/>
  <c r="H59" i="4" s="1"/>
  <c r="O143" i="2"/>
  <c r="R143" i="2" s="1"/>
  <c r="I178" i="2"/>
  <c r="K178" i="2"/>
  <c r="I38" i="1"/>
  <c r="J199" i="2" s="1"/>
  <c r="K199" i="2" s="1"/>
  <c r="H38" i="1"/>
  <c r="K146" i="2" s="1"/>
  <c r="O146" i="2" s="1"/>
  <c r="R146" i="2" s="1"/>
  <c r="I45" i="1"/>
  <c r="J206" i="2" s="1"/>
  <c r="K206" i="2" s="1"/>
  <c r="H45" i="1"/>
  <c r="K153" i="2" s="1"/>
  <c r="O153" i="2" s="1"/>
  <c r="R153" i="2" s="1"/>
  <c r="K173" i="2"/>
  <c r="M48" i="3"/>
  <c r="M9" i="3"/>
  <c r="O115" i="2"/>
  <c r="R115" i="2" s="1"/>
  <c r="O126" i="2"/>
  <c r="R126" i="2" s="1"/>
  <c r="M20" i="3"/>
  <c r="M31" i="3"/>
  <c r="S126" i="2"/>
  <c r="I166" i="2"/>
  <c r="K166" i="2" s="1"/>
  <c r="H9" i="1"/>
  <c r="K117" i="2" s="1"/>
  <c r="O117" i="2" s="1"/>
  <c r="R117" i="2" s="1"/>
  <c r="M37" i="3"/>
  <c r="F15" i="4"/>
  <c r="G15" i="4"/>
  <c r="H15" i="4" s="1"/>
  <c r="I18" i="1"/>
  <c r="J179" i="2" s="1"/>
  <c r="F34" i="4"/>
  <c r="G55" i="4"/>
  <c r="H55" i="4" s="1"/>
  <c r="F55" i="4"/>
  <c r="S133" i="2"/>
  <c r="F60" i="4"/>
  <c r="H3" i="1"/>
  <c r="K111" i="2" s="1"/>
  <c r="O111" i="2" s="1"/>
  <c r="R111" i="2" s="1"/>
  <c r="K167" i="2"/>
  <c r="F11" i="4"/>
  <c r="G19" i="4"/>
  <c r="H19" i="4" s="1"/>
  <c r="F19" i="4"/>
  <c r="F44" i="4"/>
  <c r="G52" i="4"/>
  <c r="H52" i="4" s="1"/>
  <c r="F52" i="4"/>
  <c r="M27" i="3"/>
  <c r="F27" i="4"/>
  <c r="H29" i="1"/>
  <c r="K137" i="2" s="1"/>
  <c r="O137" i="2" s="1"/>
  <c r="R137" i="2" s="1"/>
  <c r="H5" i="1"/>
  <c r="K113" i="2" s="1"/>
  <c r="O113" i="2" s="1"/>
  <c r="R113" i="2" s="1"/>
  <c r="S112" i="2"/>
  <c r="S153" i="2"/>
  <c r="I195" i="2"/>
  <c r="K195" i="2" s="1"/>
  <c r="M32" i="3"/>
  <c r="H22" i="1"/>
  <c r="K130" i="2" s="1"/>
  <c r="O130" i="2" s="1"/>
  <c r="R130" i="2" s="1"/>
  <c r="M17" i="3"/>
  <c r="O123" i="2"/>
  <c r="R123" i="2" s="1"/>
  <c r="S131" i="2"/>
  <c r="K36" i="3"/>
  <c r="H4" i="1"/>
  <c r="K112" i="2" s="1"/>
  <c r="O112" i="2" s="1"/>
  <c r="R112" i="2" s="1"/>
  <c r="I4" i="1"/>
  <c r="J165" i="2" s="1"/>
  <c r="S121" i="2"/>
  <c r="M11" i="3"/>
  <c r="O139" i="2"/>
  <c r="R139" i="2" s="1"/>
  <c r="M33" i="3"/>
  <c r="L12" i="3"/>
  <c r="D220" i="2"/>
  <c r="D221" i="2" s="1"/>
  <c r="D222" i="2" s="1"/>
  <c r="G30" i="4"/>
  <c r="H30" i="4" s="1"/>
  <c r="F30" i="4"/>
  <c r="K172" i="2"/>
  <c r="I44" i="1"/>
  <c r="J205" i="2" s="1"/>
  <c r="K205" i="2" s="1"/>
  <c r="H44" i="1"/>
  <c r="K152" i="2" s="1"/>
  <c r="O152" i="2" s="1"/>
  <c r="R152" i="2" s="1"/>
  <c r="G41" i="4"/>
  <c r="H41" i="4" s="1"/>
  <c r="F41" i="4"/>
  <c r="G8" i="4"/>
  <c r="H8" i="4" s="1"/>
  <c r="F8" i="4"/>
  <c r="I33" i="1"/>
  <c r="J194" i="2" s="1"/>
  <c r="H33" i="1"/>
  <c r="K141" i="2" s="1"/>
  <c r="M47" i="3"/>
  <c r="S148" i="2"/>
  <c r="F9" i="4"/>
  <c r="F22" i="4"/>
  <c r="F49" i="4"/>
  <c r="F56" i="4"/>
  <c r="O125" i="2"/>
  <c r="R125" i="2" s="1"/>
  <c r="F62" i="4"/>
  <c r="O131" i="2"/>
  <c r="R131" i="2" s="1"/>
  <c r="F63" i="4"/>
  <c r="G63" i="4"/>
  <c r="H63" i="4" s="1"/>
  <c r="O141" i="2" l="1"/>
  <c r="R141" i="2" s="1"/>
  <c r="V129" i="2"/>
  <c r="T129" i="2" s="1"/>
  <c r="E23" i="3"/>
  <c r="K196" i="2"/>
  <c r="P196" i="2" s="1"/>
  <c r="K193" i="2"/>
  <c r="O193" i="2" s="1"/>
  <c r="K192" i="2"/>
  <c r="R198" i="2"/>
  <c r="K182" i="2"/>
  <c r="O200" i="2"/>
  <c r="R200" i="2" s="1"/>
  <c r="O144" i="2"/>
  <c r="R144" i="2" s="1"/>
  <c r="K176" i="2"/>
  <c r="P176" i="2" s="1"/>
  <c r="O202" i="2"/>
  <c r="K168" i="2"/>
  <c r="P168" i="2" s="1"/>
  <c r="V136" i="2"/>
  <c r="T136" i="2" s="1"/>
  <c r="E32" i="3"/>
  <c r="E16" i="3"/>
  <c r="O186" i="2"/>
  <c r="R186" i="2" s="1"/>
  <c r="V186" i="2" s="1"/>
  <c r="P191" i="2"/>
  <c r="O191" i="2"/>
  <c r="R191" i="2" s="1"/>
  <c r="E38" i="3"/>
  <c r="V144" i="2"/>
  <c r="T144" i="2" s="1"/>
  <c r="E34" i="3"/>
  <c r="R201" i="2"/>
  <c r="V201" i="2" s="1"/>
  <c r="R207" i="2"/>
  <c r="V207" i="2" s="1"/>
  <c r="E21" i="3"/>
  <c r="V127" i="2"/>
  <c r="T127" i="2" s="1"/>
  <c r="P180" i="2"/>
  <c r="O180" i="2"/>
  <c r="V133" i="2"/>
  <c r="T133" i="2" s="1"/>
  <c r="E27" i="3"/>
  <c r="E40" i="3"/>
  <c r="V146" i="2"/>
  <c r="T146" i="2" s="1"/>
  <c r="P190" i="2"/>
  <c r="O190" i="2"/>
  <c r="P166" i="2"/>
  <c r="O166" i="2"/>
  <c r="P164" i="2"/>
  <c r="O164" i="2"/>
  <c r="V131" i="2"/>
  <c r="T131" i="2" s="1"/>
  <c r="E25" i="3"/>
  <c r="E47" i="3"/>
  <c r="V153" i="2"/>
  <c r="T153" i="2" s="1"/>
  <c r="P175" i="2"/>
  <c r="O175" i="2"/>
  <c r="E29" i="3"/>
  <c r="V135" i="2"/>
  <c r="T135" i="2" s="1"/>
  <c r="E33" i="3"/>
  <c r="V139" i="2"/>
  <c r="T139" i="2" s="1"/>
  <c r="E11" i="3"/>
  <c r="V117" i="2"/>
  <c r="T117" i="2" s="1"/>
  <c r="P188" i="2"/>
  <c r="O188" i="2"/>
  <c r="V112" i="2"/>
  <c r="T112" i="2" s="1"/>
  <c r="E6" i="3"/>
  <c r="P184" i="2"/>
  <c r="O184" i="2"/>
  <c r="E5" i="3"/>
  <c r="V111" i="2"/>
  <c r="T111" i="2" s="1"/>
  <c r="E35" i="3"/>
  <c r="V141" i="2"/>
  <c r="T141" i="2" s="1"/>
  <c r="E17" i="3"/>
  <c r="V123" i="2"/>
  <c r="T123" i="2" s="1"/>
  <c r="V113" i="2"/>
  <c r="T113" i="2" s="1"/>
  <c r="E7" i="3"/>
  <c r="E46" i="3"/>
  <c r="V152" i="2"/>
  <c r="T152" i="2" s="1"/>
  <c r="V126" i="2"/>
  <c r="T126" i="2" s="1"/>
  <c r="E20" i="3"/>
  <c r="P171" i="2"/>
  <c r="O171" i="2"/>
  <c r="E9" i="3"/>
  <c r="V115" i="2"/>
  <c r="T115" i="2" s="1"/>
  <c r="E42" i="3"/>
  <c r="V148" i="2"/>
  <c r="T148" i="2" s="1"/>
  <c r="I165" i="2"/>
  <c r="K165" i="2" s="1"/>
  <c r="I194" i="2"/>
  <c r="K194" i="2" s="1"/>
  <c r="E36" i="3"/>
  <c r="V142" i="2"/>
  <c r="T142" i="2" s="1"/>
  <c r="P182" i="2"/>
  <c r="O182" i="2"/>
  <c r="R182" i="2" s="1"/>
  <c r="R202" i="2"/>
  <c r="E13" i="3"/>
  <c r="V119" i="2"/>
  <c r="T119" i="2" s="1"/>
  <c r="P177" i="2"/>
  <c r="O177" i="2"/>
  <c r="E15" i="3"/>
  <c r="V121" i="2"/>
  <c r="T121" i="2" s="1"/>
  <c r="E45" i="3"/>
  <c r="V151" i="2"/>
  <c r="T151" i="2" s="1"/>
  <c r="O173" i="2"/>
  <c r="P173" i="2"/>
  <c r="G44" i="3"/>
  <c r="V203" i="2"/>
  <c r="O206" i="2"/>
  <c r="P206" i="2"/>
  <c r="P205" i="2"/>
  <c r="O205" i="2"/>
  <c r="V120" i="2"/>
  <c r="T120" i="2" s="1"/>
  <c r="E14" i="3"/>
  <c r="P197" i="2"/>
  <c r="O197" i="2"/>
  <c r="P172" i="2"/>
  <c r="O172" i="2"/>
  <c r="V118" i="2"/>
  <c r="T118" i="2" s="1"/>
  <c r="E12" i="3"/>
  <c r="O189" i="2"/>
  <c r="P189" i="2"/>
  <c r="V145" i="2"/>
  <c r="T145" i="2" s="1"/>
  <c r="E39" i="3"/>
  <c r="E22" i="3"/>
  <c r="V128" i="2"/>
  <c r="T128" i="2" s="1"/>
  <c r="V204" i="2"/>
  <c r="G45" i="3"/>
  <c r="E37" i="3"/>
  <c r="V143" i="2"/>
  <c r="T143" i="2" s="1"/>
  <c r="I185" i="2"/>
  <c r="K185" i="2"/>
  <c r="G39" i="3"/>
  <c r="V198" i="2"/>
  <c r="V154" i="2"/>
  <c r="T154" i="2" s="1"/>
  <c r="E48" i="3"/>
  <c r="I179" i="2"/>
  <c r="K179" i="2" s="1"/>
  <c r="V134" i="2"/>
  <c r="T134" i="2" s="1"/>
  <c r="E28" i="3"/>
  <c r="I187" i="2"/>
  <c r="K187" i="2" s="1"/>
  <c r="E43" i="3"/>
  <c r="V149" i="2"/>
  <c r="T149" i="2" s="1"/>
  <c r="O174" i="2"/>
  <c r="P174" i="2"/>
  <c r="P195" i="2"/>
  <c r="O195" i="2"/>
  <c r="R195" i="2" s="1"/>
  <c r="E44" i="3"/>
  <c r="V150" i="2"/>
  <c r="T150" i="2" s="1"/>
  <c r="E10" i="3"/>
  <c r="V116" i="2"/>
  <c r="T116" i="2" s="1"/>
  <c r="O169" i="2"/>
  <c r="P169" i="2"/>
  <c r="E31" i="3"/>
  <c r="V137" i="2"/>
  <c r="T137" i="2" s="1"/>
  <c r="V147" i="2"/>
  <c r="T147" i="2" s="1"/>
  <c r="E41" i="3"/>
  <c r="O183" i="2"/>
  <c r="P183" i="2"/>
  <c r="V200" i="2"/>
  <c r="G41" i="3"/>
  <c r="E24" i="3"/>
  <c r="V130" i="2"/>
  <c r="T130" i="2" s="1"/>
  <c r="O199" i="2"/>
  <c r="P199" i="2"/>
  <c r="E26" i="3"/>
  <c r="V132" i="2"/>
  <c r="T132" i="2" s="1"/>
  <c r="P178" i="2"/>
  <c r="O178" i="2"/>
  <c r="R178" i="2" s="1"/>
  <c r="O167" i="2"/>
  <c r="P167" i="2"/>
  <c r="P170" i="2"/>
  <c r="O170" i="2"/>
  <c r="R170" i="2" s="1"/>
  <c r="E19" i="3"/>
  <c r="V125" i="2"/>
  <c r="T125" i="2" s="1"/>
  <c r="E18" i="3"/>
  <c r="V124" i="2"/>
  <c r="T124" i="2" s="1"/>
  <c r="I181" i="2"/>
  <c r="K181" i="2"/>
  <c r="E8" i="3"/>
  <c r="V114" i="2"/>
  <c r="T114" i="2" s="1"/>
  <c r="O176" i="2" l="1"/>
  <c r="R176" i="2" s="1"/>
  <c r="O168" i="2"/>
  <c r="R168" i="2" s="1"/>
  <c r="V168" i="2" s="1"/>
  <c r="R175" i="2"/>
  <c r="G16" i="3" s="1"/>
  <c r="R205" i="2"/>
  <c r="G46" i="3" s="1"/>
  <c r="P193" i="2"/>
  <c r="R193" i="2" s="1"/>
  <c r="G34" i="3" s="1"/>
  <c r="O196" i="2"/>
  <c r="R196" i="2" s="1"/>
  <c r="P192" i="2"/>
  <c r="O192" i="2"/>
  <c r="R192" i="2" s="1"/>
  <c r="G27" i="3"/>
  <c r="G48" i="3"/>
  <c r="R188" i="2"/>
  <c r="G29" i="3" s="1"/>
  <c r="R172" i="2"/>
  <c r="G13" i="3" s="1"/>
  <c r="R197" i="2"/>
  <c r="G38" i="3" s="1"/>
  <c r="R190" i="2"/>
  <c r="G31" i="3" s="1"/>
  <c r="R166" i="2"/>
  <c r="G7" i="3" s="1"/>
  <c r="R180" i="2"/>
  <c r="V180" i="2" s="1"/>
  <c r="R189" i="2"/>
  <c r="G30" i="3" s="1"/>
  <c r="G42" i="3"/>
  <c r="R183" i="2"/>
  <c r="G24" i="3" s="1"/>
  <c r="R184" i="2"/>
  <c r="G25" i="3" s="1"/>
  <c r="R164" i="2"/>
  <c r="G5" i="3" s="1"/>
  <c r="P165" i="2"/>
  <c r="O165" i="2"/>
  <c r="P187" i="2"/>
  <c r="O187" i="2"/>
  <c r="R187" i="2" s="1"/>
  <c r="P179" i="2"/>
  <c r="O179" i="2"/>
  <c r="P194" i="2"/>
  <c r="O194" i="2"/>
  <c r="R194" i="2" s="1"/>
  <c r="V170" i="2"/>
  <c r="G11" i="3"/>
  <c r="G37" i="3"/>
  <c r="V196" i="2"/>
  <c r="R206" i="2"/>
  <c r="V191" i="2"/>
  <c r="G32" i="3"/>
  <c r="R173" i="2"/>
  <c r="R171" i="2"/>
  <c r="V202" i="2"/>
  <c r="G43" i="3"/>
  <c r="V182" i="2"/>
  <c r="G23" i="3"/>
  <c r="R169" i="2"/>
  <c r="P185" i="2"/>
  <c r="O185" i="2"/>
  <c r="R167" i="2"/>
  <c r="V178" i="2"/>
  <c r="G19" i="3"/>
  <c r="V195" i="2"/>
  <c r="G36" i="3"/>
  <c r="R199" i="2"/>
  <c r="P181" i="2"/>
  <c r="O181" i="2"/>
  <c r="R181" i="2" s="1"/>
  <c r="R174" i="2"/>
  <c r="R177" i="2"/>
  <c r="R185" i="2" l="1"/>
  <c r="V185" i="2" s="1"/>
  <c r="V175" i="2"/>
  <c r="V193" i="2"/>
  <c r="V188" i="2"/>
  <c r="V205" i="2"/>
  <c r="V183" i="2"/>
  <c r="G9" i="3"/>
  <c r="V192" i="2"/>
  <c r="G33" i="3"/>
  <c r="V184" i="2"/>
  <c r="R165" i="2"/>
  <c r="V166" i="2"/>
  <c r="V189" i="2"/>
  <c r="V164" i="2"/>
  <c r="V172" i="2"/>
  <c r="V197" i="2"/>
  <c r="V190" i="2"/>
  <c r="R179" i="2"/>
  <c r="G20" i="3" s="1"/>
  <c r="G21" i="3"/>
  <c r="G17" i="3"/>
  <c r="V176" i="2"/>
  <c r="G26" i="3"/>
  <c r="V169" i="2"/>
  <c r="G10" i="3"/>
  <c r="V173" i="2"/>
  <c r="G14" i="3"/>
  <c r="G47" i="3"/>
  <c r="V206" i="2"/>
  <c r="G18" i="3"/>
  <c r="V177" i="2"/>
  <c r="G15" i="3"/>
  <c r="V174" i="2"/>
  <c r="G22" i="3"/>
  <c r="V181" i="2"/>
  <c r="G40" i="3"/>
  <c r="V199" i="2"/>
  <c r="G35" i="3"/>
  <c r="V194" i="2"/>
  <c r="V187" i="2"/>
  <c r="G28" i="3"/>
  <c r="V165" i="2"/>
  <c r="G6" i="3"/>
  <c r="G8" i="3"/>
  <c r="V167" i="2"/>
  <c r="V171" i="2"/>
  <c r="G12" i="3"/>
  <c r="V1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tc={f34e14a7-2dab-491a-8c4d-48ca66cc5173}</author>
    <author/>
    <author>tc={851a2a0a-c8b2-4a42-982f-b0518b987bc4}</author>
  </authors>
  <commentList>
    <comment ref="L2" authorId="0" shapeId="0" xr:uid="{F34E14A7-2DAB-491A-8C4D-48CA66CC5173}">
      <text>
        <t>[线程批注]
你的Excel版本可读取此线程批注; 但如果在更新版本的Excel中打开文件，则对批注所作的任何改动都将被删除。了解详细信息: https://go.microsoft.com/fwlink/?linkid=870924
注释:
    I put 36000 to make the code work but this is to be changed!!</t>
      </text>
    </comment>
    <comment ref="E3" authorId="1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4" authorId="1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5" authorId="1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6" authorId="1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7" authorId="1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8" authorId="1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9" authorId="1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0" authorId="1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1" authorId="1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2" authorId="1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3" authorId="1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4" authorId="1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5" authorId="1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6" authorId="1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7" authorId="1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8" authorId="1" shapeId="0" xr:uid="{00000000-0006-0000-0000-000010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19" authorId="1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0" authorId="1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1" authorId="1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2" authorId="1" shapeId="0" xr:uid="{00000000-0006-0000-0000-000014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3" authorId="1" shapeId="0" xr:uid="{00000000-0006-0000-0000-000015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4" authorId="1" shapeId="0" xr:uid="{00000000-0006-0000-0000-000016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5" authorId="1" shapeId="0" xr:uid="{00000000-0006-0000-0000-000017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6" authorId="1" shapeId="0" xr:uid="{00000000-0006-0000-0000-000018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7" authorId="1" shapeId="0" xr:uid="{00000000-0006-0000-0000-000019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8" authorId="1" shapeId="0" xr:uid="{00000000-0006-0000-0000-00001A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29" authorId="1" shapeId="0" xr:uid="{00000000-0006-0000-0000-00001B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30" authorId="1" shapeId="0" xr:uid="{00000000-0006-0000-0000-00001C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31" authorId="1" shapeId="0" xr:uid="{00000000-0006-0000-0000-00001D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32" authorId="1" shapeId="0" xr:uid="{00000000-0006-0000-0000-00001E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M32" authorId="2" shapeId="0" xr:uid="{851A2A0A-C8B2-4A42-982F-B0518B987BC4}">
      <text>
        <t>[线程批注]
你的Excel版本可读取此线程批注; 但如果在更新版本的Excel中打开文件，则对批注所作的任何改动都将被删除。了解详细信息: https://go.microsoft.com/fwlink/?linkid=870924
注释:
    ?? is this really a test?</t>
      </text>
    </comment>
    <comment ref="E33" authorId="1" shapeId="0" xr:uid="{00000000-0006-0000-0000-00001F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34" authorId="1" shapeId="0" xr:uid="{00000000-0006-0000-0000-000020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35" authorId="1" shapeId="0" xr:uid="{00000000-0006-0000-0000-000021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36" authorId="1" shapeId="0" xr:uid="{00000000-0006-0000-0000-000022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37" authorId="1" shapeId="0" xr:uid="{00000000-0006-0000-0000-000023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  <comment ref="E38" authorId="1" shapeId="0" xr:uid="{00000000-0006-0000-0000-000024000000}">
      <text>
        <r>
          <rPr>
            <sz val="10"/>
            <color rgb="FF000000"/>
            <rFont val="Arial"/>
            <family val="2"/>
            <scheme val="minor"/>
          </rPr>
          <t>From RPA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Post LOx fill duration until burn</t>
        </r>
      </text>
    </comment>
    <comment ref="D2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LOx Prechill duration</t>
        </r>
      </text>
    </comment>
    <comment ref="E2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Opening delay beetween fuel and ox valve</t>
        </r>
      </text>
    </comment>
    <comment ref="F2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Chamber pressure ramp up duration</t>
        </r>
      </text>
    </comment>
    <comment ref="G2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Nominal burn duration</t>
        </r>
      </text>
    </comment>
    <comment ref="H2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Closure delay beetween MO and ME</t>
        </r>
      </text>
    </comment>
    <comment ref="I2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>Chamber pressure ramp down</t>
        </r>
      </text>
    </comment>
    <comment ref="F3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VSFT Average</t>
        </r>
      </text>
    </comment>
    <comment ref="G3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If engine de-rates according to the N2 computations.</t>
        </r>
      </text>
    </comment>
    <comment ref="I3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VSFT Average</t>
        </r>
      </text>
    </comment>
    <comment ref="E55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Onboard N2 mass</t>
        </r>
      </text>
    </comment>
    <comment ref="F55" authorId="0" shapeId="0" xr:uid="{00000000-0006-0000-0100-00000C000000}">
      <text>
        <r>
          <rPr>
            <sz val="10"/>
            <color rgb="FF000000"/>
            <rFont val="Arial"/>
            <family val="2"/>
            <scheme val="minor"/>
          </rPr>
          <t>COPV volume</t>
        </r>
      </text>
    </comment>
    <comment ref="C108" authorId="0" shapeId="0" xr:uid="{00000000-0006-0000-0100-00000D000000}">
      <text>
        <r>
          <rPr>
            <sz val="10"/>
            <color rgb="FF000000"/>
            <rFont val="Arial"/>
            <family val="2"/>
            <scheme val="minor"/>
          </rPr>
          <t xml:space="preserve">At 40 bars, -183 degrees
</t>
        </r>
      </text>
    </comment>
    <comment ref="D108" authorId="0" shapeId="0" xr:uid="{00000000-0006-0000-0100-00000E000000}">
      <text>
        <r>
          <rPr>
            <sz val="10"/>
            <color rgb="FF000000"/>
            <rFont val="Arial"/>
            <family val="2"/>
            <scheme val="minor"/>
          </rPr>
          <t>Burn start</t>
        </r>
      </text>
    </comment>
    <comment ref="G108" authorId="0" shapeId="0" xr:uid="{00000000-0006-0000-0100-00000F000000}">
      <text>
        <r>
          <rPr>
            <sz val="10"/>
            <color rgb="FF000000"/>
            <rFont val="Arial"/>
            <family val="2"/>
            <scheme val="minor"/>
          </rPr>
          <t>LOx boil-off massflow (from LOx to GOx)</t>
        </r>
      </text>
    </comment>
    <comment ref="H108" authorId="0" shapeId="0" xr:uid="{00000000-0006-0000-0100-000010000000}">
      <text>
        <r>
          <rPr>
            <sz val="10"/>
            <color rgb="FF000000"/>
            <rFont val="Arial"/>
            <family val="2"/>
            <scheme val="minor"/>
          </rPr>
          <t>Massflow during delay beetween ethanol and oxydizer valve during ignition.</t>
        </r>
      </text>
    </comment>
    <comment ref="I108" authorId="0" shapeId="0" xr:uid="{00000000-0006-0000-0100-000011000000}">
      <text>
        <r>
          <rPr>
            <sz val="10"/>
            <color rgb="FF000000"/>
            <rFont val="Arial"/>
            <family val="2"/>
            <scheme val="minor"/>
          </rPr>
          <t>Massflow during LOx injector pre-chill</t>
        </r>
      </text>
    </comment>
    <comment ref="K108" authorId="0" shapeId="0" xr:uid="{00000000-0006-0000-0100-000012000000}">
      <text>
        <r>
          <rPr>
            <sz val="10"/>
            <color rgb="FF000000"/>
            <rFont val="Arial"/>
            <family val="2"/>
            <scheme val="minor"/>
          </rPr>
          <t>Full burn massflow</t>
        </r>
      </text>
    </comment>
    <comment ref="L108" authorId="0" shapeId="0" xr:uid="{00000000-0006-0000-0100-000013000000}">
      <text>
        <r>
          <rPr>
            <sz val="10"/>
            <color rgb="FF000000"/>
            <rFont val="Arial"/>
            <family val="2"/>
            <scheme val="minor"/>
          </rPr>
          <t>LOx mass converted to GOx during hold</t>
        </r>
      </text>
    </comment>
    <comment ref="M108" authorId="0" shapeId="0" xr:uid="{00000000-0006-0000-0100-000014000000}">
      <text>
        <r>
          <rPr>
            <sz val="10"/>
            <color rgb="FF000000"/>
            <rFont val="Arial"/>
            <family val="2"/>
            <scheme val="minor"/>
          </rPr>
          <t>oxydizer mass expelled during prechill</t>
        </r>
      </text>
    </comment>
    <comment ref="N108" authorId="0" shapeId="0" xr:uid="{00000000-0006-0000-0100-000015000000}">
      <text>
        <r>
          <rPr>
            <sz val="10"/>
            <color rgb="FF000000"/>
            <rFont val="Arial"/>
            <family val="2"/>
            <scheme val="minor"/>
          </rPr>
          <t xml:space="preserve">Oxydizer mass used during ignition 
</t>
        </r>
      </text>
    </comment>
    <comment ref="O108" authorId="0" shapeId="0" xr:uid="{00000000-0006-0000-0100-000016000000}">
      <text>
        <r>
          <rPr>
            <sz val="10"/>
            <color rgb="FF000000"/>
            <rFont val="Arial"/>
            <family val="2"/>
            <scheme val="minor"/>
          </rPr>
          <t>Mass consumed during burn</t>
        </r>
      </text>
    </comment>
    <comment ref="P108" authorId="0" shapeId="0" xr:uid="{00000000-0006-0000-0100-000017000000}">
      <text>
        <r>
          <rPr>
            <sz val="10"/>
            <color rgb="FF000000"/>
            <rFont val="Arial"/>
            <family val="2"/>
            <scheme val="minor"/>
          </rPr>
          <t>LOx mass consumed at engine cutoff</t>
        </r>
      </text>
    </comment>
    <comment ref="Q108" authorId="0" shapeId="0" xr:uid="{00000000-0006-0000-0100-000018000000}">
      <text>
        <r>
          <rPr>
            <sz val="10"/>
            <color rgb="FF000000"/>
            <rFont val="Arial"/>
            <family val="2"/>
            <scheme val="minor"/>
          </rPr>
          <t>Mass at test end</t>
        </r>
      </text>
    </comment>
    <comment ref="R108" authorId="0" shapeId="0" xr:uid="{00000000-0006-0000-0100-000019000000}">
      <text>
        <r>
          <rPr>
            <sz val="10"/>
            <color rgb="FF000000"/>
            <rFont val="Arial"/>
            <family val="2"/>
            <scheme val="minor"/>
          </rPr>
          <t>Total mass consumed</t>
        </r>
      </text>
    </comment>
    <comment ref="T108" authorId="0" shapeId="0" xr:uid="{00000000-0006-0000-0100-00001A000000}">
      <text>
        <r>
          <rPr>
            <sz val="10"/>
            <color rgb="FF000000"/>
            <rFont val="Arial"/>
            <family val="2"/>
            <scheme val="minor"/>
          </rPr>
          <t>Volume at test start</t>
        </r>
      </text>
    </comment>
    <comment ref="U108" authorId="0" shapeId="0" xr:uid="{00000000-0006-0000-0100-00001B000000}">
      <text>
        <r>
          <rPr>
            <sz val="10"/>
            <color rgb="FF000000"/>
            <rFont val="Arial"/>
            <family val="2"/>
            <scheme val="minor"/>
          </rPr>
          <t>Mass at test end</t>
        </r>
      </text>
    </comment>
    <comment ref="V108" authorId="0" shapeId="0" xr:uid="{00000000-0006-0000-0100-00001C000000}">
      <text>
        <r>
          <rPr>
            <sz val="10"/>
            <color rgb="FF000000"/>
            <rFont val="Arial"/>
            <family val="2"/>
            <scheme val="minor"/>
          </rPr>
          <t>Total volume consumed</t>
        </r>
      </text>
    </comment>
    <comment ref="H111" authorId="0" shapeId="0" xr:uid="{00000000-0006-0000-0100-00001D000000}">
      <text>
        <r>
          <rPr>
            <sz val="10"/>
            <color rgb="FF000000"/>
            <rFont val="Arial"/>
            <family val="2"/>
            <scheme val="minor"/>
          </rPr>
          <t xml:space="preserve">FH1 flight </t>
        </r>
      </text>
    </comment>
    <comment ref="I111" authorId="0" shapeId="0" xr:uid="{00000000-0006-0000-0100-00001E000000}">
      <text>
        <r>
          <rPr>
            <sz val="10"/>
            <color rgb="FF000000"/>
            <rFont val="Arial"/>
            <family val="2"/>
            <scheme val="minor"/>
          </rPr>
          <t xml:space="preserve">FH1 flight
</t>
        </r>
      </text>
    </comment>
    <comment ref="Q111" authorId="0" shapeId="0" xr:uid="{00000000-0006-0000-0100-00001F000000}">
      <text>
        <r>
          <rPr>
            <sz val="10"/>
            <color rgb="FF000000"/>
            <rFont val="Arial"/>
            <family val="2"/>
            <scheme val="minor"/>
          </rPr>
          <t xml:space="preserve">1cm of liquid height in the tank at the end of the burn
</t>
        </r>
      </text>
    </comment>
    <comment ref="C161" authorId="0" shapeId="0" xr:uid="{00000000-0006-0000-0100-000020000000}">
      <text>
        <r>
          <rPr>
            <sz val="10"/>
            <color rgb="FF000000"/>
            <rFont val="Arial"/>
            <family val="2"/>
            <scheme val="minor"/>
          </rPr>
          <t>Fuel density at 20 degrees and 40 bars</t>
        </r>
      </text>
    </comment>
    <comment ref="D161" authorId="0" shapeId="0" xr:uid="{00000000-0006-0000-0100-000021000000}">
      <text>
        <r>
          <rPr>
            <sz val="10"/>
            <color rgb="FF000000"/>
            <rFont val="Arial"/>
            <family val="2"/>
            <scheme val="minor"/>
          </rPr>
          <t>Fuel temperature</t>
        </r>
      </text>
    </comment>
    <comment ref="E161" authorId="0" shapeId="0" xr:uid="{00000000-0006-0000-0100-000022000000}">
      <text>
        <r>
          <rPr>
            <sz val="10"/>
            <color rgb="FF000000"/>
            <rFont val="Arial"/>
            <family val="2"/>
            <scheme val="minor"/>
          </rPr>
          <t>Water mass ratio of fuel</t>
        </r>
      </text>
    </comment>
    <comment ref="F161" authorId="0" shapeId="0" xr:uid="{00000000-0006-0000-0100-000023000000}">
      <text>
        <r>
          <rPr>
            <sz val="10"/>
            <color rgb="FF000000"/>
            <rFont val="Arial"/>
            <family val="2"/>
            <scheme val="minor"/>
          </rPr>
          <t>film cooling massflow ratio (compared to injected massflow).</t>
        </r>
      </text>
    </comment>
    <comment ref="H161" authorId="0" shapeId="0" xr:uid="{00000000-0006-0000-0100-000024000000}">
      <text>
        <r>
          <rPr>
            <sz val="10"/>
            <color rgb="FF000000"/>
            <rFont val="Arial"/>
            <family val="2"/>
            <scheme val="minor"/>
          </rPr>
          <t>Massflow during delay beetween ethanol and oxydizer valve during ignition.</t>
        </r>
      </text>
    </comment>
    <comment ref="I161" authorId="0" shapeId="0" xr:uid="{00000000-0006-0000-0100-000025000000}">
      <text>
        <r>
          <rPr>
            <sz val="10"/>
            <color rgb="FF000000"/>
            <rFont val="Arial"/>
            <family val="2"/>
            <scheme val="minor"/>
          </rPr>
          <t>Film cooling massflow</t>
        </r>
      </text>
    </comment>
    <comment ref="J161" authorId="0" shapeId="0" xr:uid="{00000000-0006-0000-0100-000026000000}">
      <text>
        <r>
          <rPr>
            <sz val="10"/>
            <color rgb="FF000000"/>
            <rFont val="Arial"/>
            <family val="2"/>
            <scheme val="minor"/>
          </rPr>
          <t>Fuel massflow rate during burn (without taking account the film cooling).</t>
        </r>
      </text>
    </comment>
    <comment ref="K161" authorId="0" shapeId="0" xr:uid="{00000000-0006-0000-0100-000027000000}">
      <text>
        <r>
          <rPr>
            <sz val="10"/>
            <color rgb="FF000000"/>
            <rFont val="Arial"/>
            <family val="2"/>
            <scheme val="minor"/>
          </rPr>
          <t>Fuel massflow rate during burn (while taking account the film cooling).</t>
        </r>
      </text>
    </comment>
    <comment ref="L161" authorId="0" shapeId="0" xr:uid="{00000000-0006-0000-0100-000028000000}">
      <text>
        <r>
          <rPr>
            <sz val="10"/>
            <color rgb="FF000000"/>
            <rFont val="Arial"/>
            <family val="2"/>
            <scheme val="minor"/>
          </rPr>
          <t xml:space="preserve">Ground segment line fuel mass
</t>
        </r>
      </text>
    </comment>
    <comment ref="N161" authorId="0" shapeId="0" xr:uid="{00000000-0006-0000-0100-000029000000}">
      <text>
        <r>
          <rPr>
            <sz val="10"/>
            <color rgb="FF000000"/>
            <rFont val="Arial"/>
            <family val="2"/>
            <scheme val="minor"/>
          </rPr>
          <t>Mass consumed due to ethanol / LOx valve ignition delay</t>
        </r>
      </text>
    </comment>
    <comment ref="U161" authorId="0" shapeId="0" xr:uid="{00000000-0006-0000-0100-00002A000000}">
      <text>
        <r>
          <rPr>
            <sz val="10"/>
            <color rgb="FF000000"/>
            <rFont val="Arial"/>
            <family val="2"/>
            <scheme val="minor"/>
          </rPr>
          <t>Mass at test end</t>
        </r>
      </text>
    </comment>
    <comment ref="V161" authorId="0" shapeId="0" xr:uid="{00000000-0006-0000-0100-00002B000000}">
      <text>
        <r>
          <rPr>
            <sz val="10"/>
            <color rgb="FF000000"/>
            <rFont val="Arial"/>
            <family val="2"/>
            <scheme val="minor"/>
          </rPr>
          <t>Total mass consumed</t>
        </r>
      </text>
    </comment>
    <comment ref="N164" authorId="0" shapeId="0" xr:uid="{00000000-0006-0000-0100-00002C000000}">
      <text>
        <r>
          <rPr>
            <sz val="10"/>
            <color rgb="FF000000"/>
            <rFont val="Arial"/>
            <family val="2"/>
            <scheme val="minor"/>
          </rPr>
          <t xml:space="preserve">O if MO open before ME
</t>
        </r>
      </text>
    </comment>
    <comment ref="Q164" authorId="0" shapeId="0" xr:uid="{00000000-0006-0000-0100-00002D000000}">
      <text>
        <r>
          <rPr>
            <sz val="10"/>
            <color rgb="FF000000"/>
            <rFont val="Arial"/>
            <family val="2"/>
            <scheme val="minor"/>
          </rPr>
          <t xml:space="preserve">1cm of liquid height in the tank at the end of the burn
</t>
        </r>
      </text>
    </comment>
  </commentList>
</comments>
</file>

<file path=xl/sharedStrings.xml><?xml version="1.0" encoding="utf-8"?>
<sst xmlns="http://schemas.openxmlformats.org/spreadsheetml/2006/main" count="309" uniqueCount="174">
  <si>
    <t>Configurations</t>
  </si>
  <si>
    <t>Dry mass [kg]</t>
  </si>
  <si>
    <t>Nominal Thurst [N]</t>
  </si>
  <si>
    <t>ISP [s]</t>
  </si>
  <si>
    <t>core O/F [-]</t>
  </si>
  <si>
    <t>Mass flow tot core [kg/s]</t>
  </si>
  <si>
    <t>Mass flow ox [kg/s]</t>
  </si>
  <si>
    <t>Mass flow fuel core [kg/s]</t>
  </si>
  <si>
    <t>Ramp up time [s]</t>
  </si>
  <si>
    <t>Ramp down time [s]</t>
  </si>
  <si>
    <t>Total impulse burn [Ns]</t>
  </si>
  <si>
    <t>Total impulse [Ns]</t>
  </si>
  <si>
    <t xml:space="preserve">Description </t>
  </si>
  <si>
    <t>Firehorn 1</t>
  </si>
  <si>
    <t>B1 flight configuration of FH1 for reference</t>
  </si>
  <si>
    <t>THRUST1</t>
  </si>
  <si>
    <t>2026_C_PR_B3_CONFIG1</t>
  </si>
  <si>
    <t>B3, dry mass = est, thrust iteration for exit velocity</t>
  </si>
  <si>
    <t>2025_C_PR_B3_CONFIG2</t>
  </si>
  <si>
    <t>2026_C_PR_B3_CONFIG3</t>
  </si>
  <si>
    <t>2025_C_PR_B3_CONFIG4</t>
  </si>
  <si>
    <t>2026_C_PR_B3_CONFIG5</t>
  </si>
  <si>
    <t>2025_C_PR_B3_CONFIG6</t>
  </si>
  <si>
    <t>2026_C_PR_B3_CONFIG7</t>
  </si>
  <si>
    <t>2025_C_PR_B3_CONFIG8</t>
  </si>
  <si>
    <t>2026_C_PR_B3_CONFIG9</t>
  </si>
  <si>
    <t>2026_C_PR_B3_CONFIG10</t>
  </si>
  <si>
    <t>2026_C_PR_B3_CONFIG11</t>
  </si>
  <si>
    <t>2026_C_PR_B3_CONFIG12</t>
  </si>
  <si>
    <t>THRUST2</t>
  </si>
  <si>
    <t>2026_C_PR_B3_CONFIG13</t>
  </si>
  <si>
    <t>B3, dry mass = est + 15%, thrust iteration for exit velocity</t>
  </si>
  <si>
    <t>2026_C_PR_B3_CONFIG14</t>
  </si>
  <si>
    <t>2026_C_PR_B3_CONFIG15</t>
  </si>
  <si>
    <t>2026_C_PR_B3_CONFIG16</t>
  </si>
  <si>
    <t>2026_C_PR_B3_CONFIG17</t>
  </si>
  <si>
    <t>2026_C_PR_B3_CONFIG18</t>
  </si>
  <si>
    <t>2026_C_PR_B3_CONFIG19</t>
  </si>
  <si>
    <t>2026_C_PR_B3_CONFIG20</t>
  </si>
  <si>
    <t>2026_C_PR_B3_CONFIG21</t>
  </si>
  <si>
    <t>2026_C_PR_B3_CONFIG22</t>
  </si>
  <si>
    <t>2026_C_PR_B3_CONFIG23</t>
  </si>
  <si>
    <t>2026_C_PR_B3_CONFIG24</t>
  </si>
  <si>
    <t>IMPULSE1</t>
  </si>
  <si>
    <t>2026_C_PR_B3_CONFIG25</t>
  </si>
  <si>
    <t>B3, dry mass = est, impulse iteration for apogee</t>
  </si>
  <si>
    <t>2026_C_PR_B3_CONFIG26</t>
  </si>
  <si>
    <t>2026_C_PR_B3_CONFIG27</t>
  </si>
  <si>
    <t>2026_C_PR_B3_CONFIG28</t>
  </si>
  <si>
    <t>2026_C_PR_B3_CONFIG29</t>
  </si>
  <si>
    <t>2026_C_PR_B3_CONFIG30</t>
  </si>
  <si>
    <t>IMPULSE2</t>
  </si>
  <si>
    <t>2026_C_PR_B3_CONFIG31</t>
  </si>
  <si>
    <t>B3, dry mass = est + 15%, impulse iteration for apogee</t>
  </si>
  <si>
    <t>2026_C_PR_B3_CONFIG32</t>
  </si>
  <si>
    <t>2026_C_PR_B3_CONFIG33</t>
  </si>
  <si>
    <t>2026_C_PR_B3_CONFIG34</t>
  </si>
  <si>
    <t>2026_C_PR_B1_CONFIG35</t>
  </si>
  <si>
    <t>2026_C_PR_B1_CONFIG36</t>
  </si>
  <si>
    <t>ISP</t>
  </si>
  <si>
    <t>2026_C_PR_B1_CONFIG37</t>
  </si>
  <si>
    <t>B3, dry mass = est, ISP iteration</t>
  </si>
  <si>
    <t>2026_C_PR_B1_CONFIG38</t>
  </si>
  <si>
    <t>2026_C_PR_B1_CONFIG39</t>
  </si>
  <si>
    <t>2026_C_PR_B1_CONFIG40</t>
  </si>
  <si>
    <t>2026_C_PR_B1_CONFIG41</t>
  </si>
  <si>
    <t>2026_C_PR_B1_CONFIG42</t>
  </si>
  <si>
    <t>2026_C_PR_B1_CONFIG43</t>
  </si>
  <si>
    <t>2026_C_PR_B1_CONFIG44</t>
  </si>
  <si>
    <t>2026_C_PR_B1_CONFIG45</t>
  </si>
  <si>
    <t>2026_C_PR_B1_CONFIG46</t>
  </si>
  <si>
    <t>2026_C_PR_B1_CONFIG47</t>
  </si>
  <si>
    <t>2026_C_PR_B1_CONFIG48</t>
  </si>
  <si>
    <r>
      <rPr>
        <sz val="10"/>
        <color theme="1"/>
        <rFont val="Arial"/>
        <family val="2"/>
      </rPr>
      <t xml:space="preserve">1. </t>
    </r>
    <r>
      <rPr>
        <sz val="10"/>
        <color rgb="FFFF0000"/>
        <rFont val="Arial"/>
        <family val="2"/>
      </rPr>
      <t>SET</t>
    </r>
    <r>
      <rPr>
        <sz val="10"/>
        <color theme="1"/>
        <rFont val="Arial"/>
        <family val="2"/>
      </rPr>
      <t xml:space="preserve"> the wanted thrust in COLUMN E, GOAL: Find the thrust at which the LV exit rail velocity ∈ [32, 35] m/s (take the lowest)</t>
    </r>
  </si>
  <si>
    <r>
      <rPr>
        <sz val="10"/>
        <color theme="1"/>
        <rFont val="Arial"/>
        <family val="2"/>
      </rPr>
      <t xml:space="preserve">1. </t>
    </r>
    <r>
      <rPr>
        <sz val="10"/>
        <color rgb="FFFF0000"/>
        <rFont val="Arial"/>
        <family val="2"/>
      </rPr>
      <t>SET</t>
    </r>
    <r>
      <rPr>
        <sz val="10"/>
        <color theme="1"/>
        <rFont val="Arial"/>
        <family val="2"/>
      </rPr>
      <t xml:space="preserve"> the wanted thrust in COLUMN E, GOAL: Find the thrust at which the LV exit rail velocity ∈ [32, 35] m/s (take the lowest)</t>
    </r>
  </si>
  <si>
    <r>
      <rPr>
        <sz val="10"/>
        <color theme="1"/>
        <rFont val="Arial"/>
        <family val="2"/>
      </rPr>
      <t xml:space="preserve">1. </t>
    </r>
    <r>
      <rPr>
        <sz val="10"/>
        <color rgb="FFFF0000"/>
        <rFont val="Arial"/>
        <family val="2"/>
      </rPr>
      <t>SET</t>
    </r>
    <r>
      <rPr>
        <sz val="10"/>
        <color theme="1"/>
        <rFont val="Arial"/>
        <family val="2"/>
      </rPr>
      <t xml:space="preserve"> the thrust found with THRUST1 in COLUMN E, 2. </t>
    </r>
    <r>
      <rPr>
        <sz val="10"/>
        <color rgb="FFFF0000"/>
        <rFont val="Arial"/>
        <family val="2"/>
      </rPr>
      <t>SET</t>
    </r>
    <r>
      <rPr>
        <sz val="10"/>
        <color theme="1"/>
        <rFont val="Arial"/>
        <family val="2"/>
      </rPr>
      <t xml:space="preserve"> the wanted impulse in COLUMN M, GOAL: Find the impulse at which the LV reach a apogee ∈ [3200, 3500] m (take the lowest)</t>
    </r>
  </si>
  <si>
    <r>
      <rPr>
        <sz val="10"/>
        <color theme="1"/>
        <rFont val="Arial"/>
        <family val="2"/>
      </rPr>
      <t xml:space="preserve">1. </t>
    </r>
    <r>
      <rPr>
        <sz val="10"/>
        <color rgb="FFFF0000"/>
        <rFont val="Arial"/>
        <family val="2"/>
      </rPr>
      <t>SET</t>
    </r>
    <r>
      <rPr>
        <sz val="10"/>
        <color theme="1"/>
        <rFont val="Arial"/>
        <family val="2"/>
      </rPr>
      <t xml:space="preserve"> the thrust found with THRUST2 in COLUMN E, 2. </t>
    </r>
    <r>
      <rPr>
        <sz val="10"/>
        <color rgb="FFFF0000"/>
        <rFont val="Arial"/>
        <family val="2"/>
      </rPr>
      <t>SET</t>
    </r>
    <r>
      <rPr>
        <sz val="10"/>
        <color theme="1"/>
        <rFont val="Arial"/>
        <family val="2"/>
      </rPr>
      <t xml:space="preserve"> the wanted impulse in COLUMN M, GOAL: Find the impulse at which the LV reach a apogee ∈ [3200, 3500] m (take the lowest)</t>
    </r>
  </si>
  <si>
    <r>
      <rPr>
        <sz val="10"/>
        <color theme="1"/>
        <rFont val="Arial"/>
        <family val="2"/>
      </rPr>
      <t xml:space="preserve">1. </t>
    </r>
    <r>
      <rPr>
        <sz val="10"/>
        <color rgb="FFFF0000"/>
        <rFont val="Arial"/>
        <family val="2"/>
      </rPr>
      <t>SET</t>
    </r>
    <r>
      <rPr>
        <sz val="10"/>
        <color theme="1"/>
        <rFont val="Arial"/>
        <family val="2"/>
      </rPr>
      <t xml:space="preserve"> the thrust found with THRUST1 in COLUMN E, 2. </t>
    </r>
    <r>
      <rPr>
        <sz val="10"/>
        <color rgb="FFFF0000"/>
        <rFont val="Arial"/>
        <family val="2"/>
      </rPr>
      <t>SET</t>
    </r>
    <r>
      <rPr>
        <sz val="10"/>
        <color theme="1"/>
        <rFont val="Arial"/>
        <family val="2"/>
      </rPr>
      <t xml:space="preserve"> the impulse found with IMPULSE1 in COLUMN M, GOAL: Find the influence of the ISP on the flight</t>
    </r>
  </si>
  <si>
    <t>Hold</t>
  </si>
  <si>
    <t>Prechill</t>
  </si>
  <si>
    <t>Ignition</t>
  </si>
  <si>
    <t>Ramp Up</t>
  </si>
  <si>
    <t>Burn</t>
  </si>
  <si>
    <t>Cutoff</t>
  </si>
  <si>
    <t>Ramp Down</t>
  </si>
  <si>
    <t>ignition_delay</t>
  </si>
  <si>
    <t>ramp_up_duration</t>
  </si>
  <si>
    <t>nominal_duration</t>
  </si>
  <si>
    <t>ramp_down_duration</t>
  </si>
  <si>
    <t>Density [kg/m3]</t>
  </si>
  <si>
    <t>Temperature [K]</t>
  </si>
  <si>
    <t>Mass [kg]</t>
  </si>
  <si>
    <t>Volume [L]</t>
  </si>
  <si>
    <t>T_n2_copv</t>
  </si>
  <si>
    <t>m_n2_copv</t>
  </si>
  <si>
    <t>v_n2_copv</t>
  </si>
  <si>
    <t>Oxidizer</t>
  </si>
  <si>
    <t>Massflows [kg/s]</t>
  </si>
  <si>
    <t>T_ox</t>
  </si>
  <si>
    <t>m_ox_boil-off</t>
  </si>
  <si>
    <t>m_ox_prechill</t>
  </si>
  <si>
    <t>m_ox_delay</t>
  </si>
  <si>
    <t>m_ox_burn</t>
  </si>
  <si>
    <t>m_ox_end</t>
  </si>
  <si>
    <t>m_ox_total</t>
  </si>
  <si>
    <t>v_ox_boil_off</t>
  </si>
  <si>
    <t>v_ox_start</t>
  </si>
  <si>
    <t>v_ox_end</t>
  </si>
  <si>
    <t>v_ox_total</t>
  </si>
  <si>
    <t>N.A.</t>
  </si>
  <si>
    <t>Fuel</t>
  </si>
  <si>
    <t>Fuel Composition</t>
  </si>
  <si>
    <t>Film Cooling</t>
  </si>
  <si>
    <t>T_fuel</t>
  </si>
  <si>
    <t>water_frac</t>
  </si>
  <si>
    <t>frac_film_cooling</t>
  </si>
  <si>
    <t>m_fuel_delay</t>
  </si>
  <si>
    <t>m_fuel_burn</t>
  </si>
  <si>
    <t>m_fuel_cutoff</t>
  </si>
  <si>
    <t>m_fuel_end</t>
  </si>
  <si>
    <t>m_fuel_total</t>
  </si>
  <si>
    <t>v_fuel_end</t>
  </si>
  <si>
    <t>v_fuel_total</t>
  </si>
  <si>
    <t>N.D.</t>
  </si>
  <si>
    <t>Thrust Curve</t>
  </si>
  <si>
    <t>Parameters</t>
  </si>
  <si>
    <t>Event</t>
  </si>
  <si>
    <t>Time [s]</t>
  </si>
  <si>
    <t>Thrust [N]</t>
  </si>
  <si>
    <t>B1 (nominal flight)</t>
  </si>
  <si>
    <t>Full Thrust</t>
  </si>
  <si>
    <t>Shutdown</t>
  </si>
  <si>
    <t>B3 minimal burn time</t>
  </si>
  <si>
    <t>B3 maximal burn time</t>
  </si>
  <si>
    <t>Simulations inputs</t>
  </si>
  <si>
    <t>N2</t>
  </si>
  <si>
    <t>Total Impulse</t>
  </si>
  <si>
    <t>Timing [s]</t>
  </si>
  <si>
    <t>Simulations outputs</t>
  </si>
  <si>
    <t>Apogee [m]</t>
  </si>
  <si>
    <t>Rail exit static margin [c]</t>
  </si>
  <si>
    <t>Rail exit velocity [m/s]</t>
  </si>
  <si>
    <t>Mass total [kg]</t>
  </si>
  <si>
    <t>Mass remaining [kg]</t>
  </si>
  <si>
    <t xml:space="preserve">Full </t>
  </si>
  <si>
    <t>Derated</t>
  </si>
  <si>
    <t>Ramp up</t>
  </si>
  <si>
    <t>Burn time</t>
  </si>
  <si>
    <t>Ramp down</t>
  </si>
  <si>
    <t>ND</t>
  </si>
  <si>
    <r>
      <rPr>
        <sz val="10"/>
        <color theme="1"/>
        <rFont val="Arial"/>
        <family val="2"/>
      </rPr>
      <t xml:space="preserve">B1 flight configuration of FH1 for reference </t>
    </r>
    <r>
      <rPr>
        <sz val="10"/>
        <color rgb="FFFF0000"/>
        <rFont val="Arial"/>
        <family val="2"/>
      </rPr>
      <t>(no simulation needed)</t>
    </r>
  </si>
  <si>
    <t>/</t>
  </si>
  <si>
    <r>
      <rPr>
        <sz val="10"/>
        <color theme="1"/>
        <rFont val="Arial"/>
        <family val="2"/>
      </rPr>
      <t xml:space="preserve">B1 flight configuration of FH1 for reference </t>
    </r>
    <r>
      <rPr>
        <sz val="10"/>
        <color rgb="FFFF0000"/>
        <rFont val="Arial"/>
        <family val="2"/>
      </rPr>
      <t>(no simulation needed)</t>
    </r>
  </si>
  <si>
    <t>Mass flow fuel [kg/s]</t>
  </si>
  <si>
    <t>Nominal Thrust [N]</t>
    <phoneticPr fontId="6" type="noConversion"/>
  </si>
  <si>
    <t>hold_time</t>
    <phoneticPr fontId="6" type="noConversion"/>
  </si>
  <si>
    <t>prechill_time</t>
    <phoneticPr fontId="6" type="noConversion"/>
  </si>
  <si>
    <t>cutoff_time</t>
    <phoneticPr fontId="6" type="noConversion"/>
  </si>
  <si>
    <t>rho_ox</t>
    <phoneticPr fontId="6" type="noConversion"/>
  </si>
  <si>
    <t>rho_fuel</t>
    <phoneticPr fontId="6" type="noConversion"/>
  </si>
  <si>
    <t>Timings</t>
    <phoneticPr fontId="6" type="noConversion"/>
  </si>
  <si>
    <t>variables</t>
    <phoneticPr fontId="6" type="noConversion"/>
  </si>
  <si>
    <t>Pressurant</t>
    <phoneticPr fontId="6" type="noConversion"/>
  </si>
  <si>
    <t>rho_n2</t>
    <phoneticPr fontId="6" type="noConversion"/>
  </si>
  <si>
    <t>Oxidizer</t>
    <phoneticPr fontId="6" type="noConversion"/>
  </si>
  <si>
    <t>Firehorn 1</t>
    <phoneticPr fontId="6" type="noConversion"/>
  </si>
  <si>
    <t>ṁf_ox_boil_off</t>
    <phoneticPr fontId="6" type="noConversion"/>
  </si>
  <si>
    <t>ṁf_ox_ignition</t>
    <phoneticPr fontId="6" type="noConversion"/>
  </si>
  <si>
    <t>ṁf_ox_prechill</t>
    <phoneticPr fontId="6" type="noConversion"/>
  </si>
  <si>
    <t>ṁf_ox_burn</t>
    <phoneticPr fontId="6" type="noConversion"/>
  </si>
  <si>
    <t>ṁf_fuel_ignition</t>
    <phoneticPr fontId="6" type="noConversion"/>
  </si>
  <si>
    <t>ṁf_film_cooling</t>
    <phoneticPr fontId="6" type="noConversion"/>
  </si>
  <si>
    <t>ṁf_fuel_core</t>
    <phoneticPr fontId="6" type="noConversion"/>
  </si>
  <si>
    <t>ṁf_fuel_burn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</si>
</sst>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FF0000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76" fontId="1" fillId="0" borderId="7" xfId="0" applyNumberFormat="1" applyFont="1" applyBorder="1" applyAlignment="1">
      <alignment horizontal="left" vertical="center"/>
    </xf>
    <xf numFmtId="176" fontId="1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vertical="center" wrapText="1"/>
    </xf>
    <xf numFmtId="176" fontId="4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1" fillId="0" borderId="11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vertical="center" wrapText="1"/>
    </xf>
    <xf numFmtId="176" fontId="4" fillId="0" borderId="11" xfId="0" applyNumberFormat="1" applyFont="1" applyBorder="1" applyAlignment="1">
      <alignment vertical="center"/>
    </xf>
    <xf numFmtId="176" fontId="4" fillId="3" borderId="11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horizontal="left" vertical="center"/>
    </xf>
    <xf numFmtId="176" fontId="4" fillId="0" borderId="6" xfId="0" applyNumberFormat="1" applyFont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176" fontId="4" fillId="5" borderId="11" xfId="0" applyNumberFormat="1" applyFont="1" applyFill="1" applyBorder="1" applyAlignment="1">
      <alignment vertical="center"/>
    </xf>
    <xf numFmtId="176" fontId="4" fillId="3" borderId="6" xfId="0" applyNumberFormat="1" applyFont="1" applyFill="1" applyBorder="1" applyAlignment="1">
      <alignment vertical="center"/>
    </xf>
    <xf numFmtId="176" fontId="1" fillId="6" borderId="9" xfId="0" applyNumberFormat="1" applyFont="1" applyFill="1" applyBorder="1" applyAlignment="1">
      <alignment horizontal="center" vertical="center" wrapText="1"/>
    </xf>
    <xf numFmtId="176" fontId="1" fillId="6" borderId="15" xfId="0" applyNumberFormat="1" applyFont="1" applyFill="1" applyBorder="1" applyAlignment="1">
      <alignment horizontal="center" vertical="center" wrapText="1"/>
    </xf>
    <xf numFmtId="176" fontId="1" fillId="0" borderId="0" xfId="0" applyNumberFormat="1" applyFont="1"/>
    <xf numFmtId="176" fontId="1" fillId="6" borderId="8" xfId="0" applyNumberFormat="1" applyFont="1" applyFill="1" applyBorder="1" applyAlignment="1">
      <alignment horizontal="center" vertical="center"/>
    </xf>
    <xf numFmtId="176" fontId="1" fillId="6" borderId="7" xfId="0" applyNumberFormat="1" applyFont="1" applyFill="1" applyBorder="1" applyAlignment="1">
      <alignment horizontal="center" vertical="center"/>
    </xf>
    <xf numFmtId="176" fontId="1" fillId="0" borderId="13" xfId="0" applyNumberFormat="1" applyFont="1" applyBorder="1" applyAlignment="1">
      <alignment horizontal="left" vertical="center"/>
    </xf>
    <xf numFmtId="176" fontId="1" fillId="0" borderId="12" xfId="0" applyNumberFormat="1" applyFont="1" applyBorder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1" fillId="3" borderId="12" xfId="0" applyNumberFormat="1" applyFont="1" applyFill="1" applyBorder="1" applyAlignment="1">
      <alignment horizontal="left" vertical="center"/>
    </xf>
    <xf numFmtId="176" fontId="1" fillId="0" borderId="0" xfId="0" applyNumberFormat="1" applyFont="1" applyAlignment="1">
      <alignment horizontal="left" vertical="center" textRotation="90"/>
    </xf>
    <xf numFmtId="176" fontId="1" fillId="0" borderId="14" xfId="0" applyNumberFormat="1" applyFont="1" applyBorder="1" applyAlignment="1">
      <alignment horizontal="left" vertical="center"/>
    </xf>
    <xf numFmtId="176" fontId="1" fillId="0" borderId="15" xfId="0" applyNumberFormat="1" applyFont="1" applyBorder="1" applyAlignment="1">
      <alignment horizontal="left" vertical="center"/>
    </xf>
    <xf numFmtId="176" fontId="4" fillId="0" borderId="10" xfId="0" applyNumberFormat="1" applyFont="1" applyBorder="1" applyAlignment="1">
      <alignment horizontal="left" vertical="center"/>
    </xf>
    <xf numFmtId="176" fontId="1" fillId="0" borderId="10" xfId="0" applyNumberFormat="1" applyFont="1" applyBorder="1" applyAlignment="1">
      <alignment horizontal="left" vertical="center"/>
    </xf>
    <xf numFmtId="176" fontId="1" fillId="0" borderId="8" xfId="0" applyNumberFormat="1" applyFont="1" applyBorder="1" applyAlignment="1">
      <alignment horizontal="left" vertical="center"/>
    </xf>
    <xf numFmtId="176" fontId="1" fillId="0" borderId="5" xfId="0" applyNumberFormat="1" applyFont="1" applyBorder="1" applyAlignment="1">
      <alignment horizontal="left" vertical="center"/>
    </xf>
    <xf numFmtId="176" fontId="4" fillId="0" borderId="13" xfId="0" applyNumberFormat="1" applyFont="1" applyBorder="1" applyAlignment="1">
      <alignment horizontal="left" vertical="center"/>
    </xf>
    <xf numFmtId="176" fontId="4" fillId="0" borderId="11" xfId="0" applyNumberFormat="1" applyFont="1" applyBorder="1" applyAlignment="1">
      <alignment horizontal="left" vertical="center"/>
    </xf>
    <xf numFmtId="176" fontId="4" fillId="0" borderId="5" xfId="0" applyNumberFormat="1" applyFont="1" applyBorder="1" applyAlignment="1">
      <alignment horizontal="left" vertical="center"/>
    </xf>
    <xf numFmtId="176" fontId="4" fillId="0" borderId="6" xfId="0" applyNumberFormat="1" applyFont="1" applyBorder="1" applyAlignment="1">
      <alignment horizontal="left" vertical="center"/>
    </xf>
    <xf numFmtId="176" fontId="4" fillId="5" borderId="6" xfId="0" applyNumberFormat="1" applyFont="1" applyFill="1" applyBorder="1" applyAlignment="1">
      <alignment vertical="center"/>
    </xf>
    <xf numFmtId="176" fontId="1" fillId="2" borderId="15" xfId="0" applyNumberFormat="1" applyFont="1" applyFill="1" applyBorder="1" applyAlignment="1">
      <alignment horizontal="center" vertical="center" wrapText="1"/>
    </xf>
    <xf numFmtId="176" fontId="1" fillId="2" borderId="9" xfId="0" applyNumberFormat="1" applyFont="1" applyFill="1" applyBorder="1" applyAlignment="1">
      <alignment horizontal="center" vertical="center" wrapText="1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4" fillId="0" borderId="15" xfId="0" applyNumberFormat="1" applyFont="1" applyBorder="1" applyAlignment="1">
      <alignment horizontal="left" vertical="center"/>
    </xf>
    <xf numFmtId="176" fontId="4" fillId="3" borderId="12" xfId="0" applyNumberFormat="1" applyFont="1" applyFill="1" applyBorder="1" applyAlignment="1">
      <alignment horizontal="left" vertical="center"/>
    </xf>
    <xf numFmtId="176" fontId="4" fillId="0" borderId="0" xfId="0" applyNumberFormat="1" applyFont="1"/>
    <xf numFmtId="176" fontId="1" fillId="7" borderId="9" xfId="0" applyNumberFormat="1" applyFont="1" applyFill="1" applyBorder="1" applyAlignment="1">
      <alignment horizontal="center" vertical="center" wrapText="1"/>
    </xf>
    <xf numFmtId="176" fontId="1" fillId="7" borderId="10" xfId="0" applyNumberFormat="1" applyFont="1" applyFill="1" applyBorder="1" applyAlignment="1">
      <alignment horizontal="center" vertical="center" wrapText="1"/>
    </xf>
    <xf numFmtId="176" fontId="1" fillId="7" borderId="5" xfId="0" applyNumberFormat="1" applyFont="1" applyFill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176" fontId="1" fillId="7" borderId="7" xfId="0" applyNumberFormat="1" applyFont="1" applyFill="1" applyBorder="1" applyAlignment="1">
      <alignment horizontal="center" vertical="center"/>
    </xf>
    <xf numFmtId="176" fontId="1" fillId="0" borderId="9" xfId="0" applyNumberFormat="1" applyFont="1" applyBorder="1" applyAlignment="1">
      <alignment horizontal="left" vertical="center"/>
    </xf>
    <xf numFmtId="176" fontId="1" fillId="0" borderId="14" xfId="0" applyNumberFormat="1" applyFont="1" applyBorder="1" applyAlignment="1">
      <alignment horizontal="left"/>
    </xf>
    <xf numFmtId="176" fontId="4" fillId="0" borderId="14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4" fillId="3" borderId="8" xfId="0" applyNumberFormat="1" applyFont="1" applyFill="1" applyBorder="1" applyAlignment="1">
      <alignment horizontal="left" vertical="center"/>
    </xf>
    <xf numFmtId="176" fontId="1" fillId="3" borderId="5" xfId="0" applyNumberFormat="1" applyFont="1" applyFill="1" applyBorder="1" applyAlignment="1">
      <alignment horizontal="left" vertical="center"/>
    </xf>
    <xf numFmtId="176" fontId="1" fillId="3" borderId="7" xfId="0" applyNumberFormat="1" applyFont="1" applyFill="1" applyBorder="1" applyAlignment="1">
      <alignment horizontal="left" vertical="center"/>
    </xf>
    <xf numFmtId="176" fontId="1" fillId="3" borderId="6" xfId="0" applyNumberFormat="1" applyFont="1" applyFill="1" applyBorder="1" applyAlignment="1">
      <alignment horizontal="left" vertical="center"/>
    </xf>
    <xf numFmtId="176" fontId="1" fillId="3" borderId="7" xfId="0" applyNumberFormat="1" applyFont="1" applyFill="1" applyBorder="1" applyAlignment="1">
      <alignment horizontal="left"/>
    </xf>
    <xf numFmtId="176" fontId="4" fillId="3" borderId="7" xfId="0" applyNumberFormat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76" fontId="4" fillId="8" borderId="11" xfId="0" applyNumberFormat="1" applyFont="1" applyFill="1" applyBorder="1" applyAlignment="1">
      <alignment horizontal="left" vertical="center"/>
    </xf>
    <xf numFmtId="176" fontId="1" fillId="5" borderId="13" xfId="0" applyNumberFormat="1" applyFont="1" applyFill="1" applyBorder="1" applyAlignment="1">
      <alignment horizontal="left" vertical="center"/>
    </xf>
    <xf numFmtId="176" fontId="1" fillId="5" borderId="0" xfId="0" applyNumberFormat="1" applyFont="1" applyFill="1" applyAlignment="1">
      <alignment horizontal="left" vertical="center"/>
    </xf>
    <xf numFmtId="176" fontId="1" fillId="8" borderId="0" xfId="0" applyNumberFormat="1" applyFont="1" applyFill="1" applyAlignment="1">
      <alignment horizontal="left" vertical="center"/>
    </xf>
    <xf numFmtId="176" fontId="1" fillId="0" borderId="0" xfId="0" applyNumberFormat="1" applyFont="1" applyAlignment="1">
      <alignment horizontal="left"/>
    </xf>
    <xf numFmtId="176" fontId="1" fillId="5" borderId="11" xfId="0" applyNumberFormat="1" applyFont="1" applyFill="1" applyBorder="1" applyAlignment="1">
      <alignment horizontal="left" vertical="center"/>
    </xf>
    <xf numFmtId="176" fontId="1" fillId="8" borderId="11" xfId="0" applyNumberFormat="1" applyFont="1" applyFill="1" applyBorder="1" applyAlignment="1">
      <alignment horizontal="left" vertical="center"/>
    </xf>
    <xf numFmtId="176" fontId="1" fillId="8" borderId="6" xfId="0" applyNumberFormat="1" applyFont="1" applyFill="1" applyBorder="1" applyAlignment="1">
      <alignment horizontal="left" vertical="center"/>
    </xf>
    <xf numFmtId="176" fontId="1" fillId="5" borderId="5" xfId="0" applyNumberFormat="1" applyFont="1" applyFill="1" applyBorder="1" applyAlignment="1">
      <alignment horizontal="left" vertical="center"/>
    </xf>
    <xf numFmtId="176" fontId="1" fillId="5" borderId="7" xfId="0" applyNumberFormat="1" applyFont="1" applyFill="1" applyBorder="1" applyAlignment="1">
      <alignment horizontal="left" vertical="center"/>
    </xf>
    <xf numFmtId="176" fontId="1" fillId="8" borderId="7" xfId="0" applyNumberFormat="1" applyFont="1" applyFill="1" applyBorder="1" applyAlignment="1">
      <alignment horizontal="left" vertical="center"/>
    </xf>
    <xf numFmtId="176" fontId="1" fillId="0" borderId="7" xfId="0" applyNumberFormat="1" applyFont="1" applyBorder="1" applyAlignment="1">
      <alignment horizontal="left"/>
    </xf>
    <xf numFmtId="176" fontId="4" fillId="0" borderId="7" xfId="0" applyNumberFormat="1" applyFont="1" applyBorder="1" applyAlignment="1">
      <alignment horizontal="left" vertical="center"/>
    </xf>
    <xf numFmtId="176" fontId="1" fillId="5" borderId="6" xfId="0" applyNumberFormat="1" applyFont="1" applyFill="1" applyBorder="1" applyAlignment="1">
      <alignment horizontal="left" vertical="center"/>
    </xf>
    <xf numFmtId="176" fontId="1" fillId="4" borderId="15" xfId="0" applyNumberFormat="1" applyFont="1" applyFill="1" applyBorder="1" applyAlignment="1">
      <alignment horizontal="center" vertical="center" wrapText="1"/>
    </xf>
    <xf numFmtId="176" fontId="1" fillId="4" borderId="9" xfId="0" applyNumberFormat="1" applyFont="1" applyFill="1" applyBorder="1" applyAlignment="1">
      <alignment horizontal="center" vertical="center" wrapText="1"/>
    </xf>
    <xf numFmtId="176" fontId="1" fillId="4" borderId="8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176" fontId="1" fillId="4" borderId="7" xfId="0" applyNumberFormat="1" applyFont="1" applyFill="1" applyBorder="1" applyAlignment="1">
      <alignment horizontal="center" vertical="center"/>
    </xf>
    <xf numFmtId="176" fontId="4" fillId="0" borderId="12" xfId="0" applyNumberFormat="1" applyFont="1" applyBorder="1" applyAlignment="1">
      <alignment horizontal="left" vertical="center"/>
    </xf>
    <xf numFmtId="10" fontId="4" fillId="0" borderId="11" xfId="0" applyNumberFormat="1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left" vertical="center"/>
    </xf>
    <xf numFmtId="176" fontId="4" fillId="3" borderId="5" xfId="0" applyNumberFormat="1" applyFont="1" applyFill="1" applyBorder="1" applyAlignment="1">
      <alignment horizontal="left" vertical="center"/>
    </xf>
    <xf numFmtId="10" fontId="4" fillId="0" borderId="6" xfId="0" applyNumberFormat="1" applyFont="1" applyBorder="1" applyAlignment="1">
      <alignment horizontal="left" vertical="center"/>
    </xf>
    <xf numFmtId="10" fontId="1" fillId="3" borderId="8" xfId="0" applyNumberFormat="1" applyFont="1" applyFill="1" applyBorder="1" applyAlignment="1">
      <alignment horizontal="left" vertical="center"/>
    </xf>
    <xf numFmtId="176" fontId="4" fillId="0" borderId="8" xfId="0" applyNumberFormat="1" applyFont="1" applyBorder="1" applyAlignment="1">
      <alignment horizontal="left" vertical="center"/>
    </xf>
    <xf numFmtId="10" fontId="1" fillId="0" borderId="8" xfId="0" applyNumberFormat="1" applyFont="1" applyBorder="1" applyAlignment="1">
      <alignment horizontal="left" vertical="center"/>
    </xf>
    <xf numFmtId="176" fontId="1" fillId="0" borderId="14" xfId="0" applyNumberFormat="1" applyFont="1" applyBorder="1" applyAlignment="1">
      <alignment horizontal="center" vertical="center" textRotation="90"/>
    </xf>
    <xf numFmtId="176" fontId="1" fillId="9" borderId="5" xfId="0" applyNumberFormat="1" applyFont="1" applyFill="1" applyBorder="1" applyAlignment="1">
      <alignment horizontal="left"/>
    </xf>
    <xf numFmtId="176" fontId="1" fillId="9" borderId="7" xfId="0" applyNumberFormat="1" applyFont="1" applyFill="1" applyBorder="1" applyAlignment="1">
      <alignment horizontal="left"/>
    </xf>
    <xf numFmtId="176" fontId="1" fillId="9" borderId="6" xfId="0" applyNumberFormat="1" applyFont="1" applyFill="1" applyBorder="1" applyAlignment="1">
      <alignment horizontal="left" vertical="center"/>
    </xf>
    <xf numFmtId="176" fontId="4" fillId="0" borderId="9" xfId="0" applyNumberFormat="1" applyFon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176" fontId="1" fillId="10" borderId="7" xfId="0" applyNumberFormat="1" applyFont="1" applyFill="1" applyBorder="1" applyAlignment="1">
      <alignment horizontal="center" vertical="center"/>
    </xf>
    <xf numFmtId="176" fontId="1" fillId="10" borderId="6" xfId="0" applyNumberFormat="1" applyFont="1" applyFill="1" applyBorder="1" applyAlignment="1">
      <alignment horizontal="center" vertical="center"/>
    </xf>
    <xf numFmtId="176" fontId="1" fillId="10" borderId="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4" fillId="0" borderId="11" xfId="0" applyFont="1" applyBorder="1" applyAlignment="1">
      <alignment horizontal="center"/>
    </xf>
    <xf numFmtId="176" fontId="4" fillId="0" borderId="11" xfId="0" applyNumberFormat="1" applyFont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0" fontId="1" fillId="0" borderId="12" xfId="0" applyFont="1" applyBorder="1" applyAlignment="1">
      <alignment vertical="center"/>
    </xf>
    <xf numFmtId="1" fontId="4" fillId="0" borderId="11" xfId="0" applyNumberFormat="1" applyFont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176" fontId="4" fillId="11" borderId="11" xfId="0" applyNumberFormat="1" applyFont="1" applyFill="1" applyBorder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6" fontId="4" fillId="0" borderId="6" xfId="0" applyNumberFormat="1" applyFont="1" applyBorder="1" applyAlignment="1">
      <alignment horizontal="center"/>
    </xf>
    <xf numFmtId="176" fontId="4" fillId="0" borderId="7" xfId="0" applyNumberFormat="1" applyFont="1" applyBorder="1" applyAlignment="1">
      <alignment horizontal="center"/>
    </xf>
    <xf numFmtId="176" fontId="4" fillId="0" borderId="11" xfId="0" applyNumberFormat="1" applyFont="1" applyBorder="1"/>
    <xf numFmtId="0" fontId="4" fillId="0" borderId="11" xfId="0" applyFont="1" applyBorder="1"/>
    <xf numFmtId="0" fontId="4" fillId="0" borderId="6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76" fontId="4" fillId="2" borderId="11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/>
    <xf numFmtId="0" fontId="1" fillId="4" borderId="12" xfId="0" applyFont="1" applyFill="1" applyBorder="1" applyAlignment="1">
      <alignment horizontal="left" vertical="center"/>
    </xf>
    <xf numFmtId="176" fontId="1" fillId="4" borderId="0" xfId="0" applyNumberFormat="1" applyFont="1" applyFill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76" fontId="1" fillId="2" borderId="9" xfId="0" applyNumberFormat="1" applyFont="1" applyFill="1" applyBorder="1" applyAlignment="1">
      <alignment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vertical="center"/>
    </xf>
    <xf numFmtId="176" fontId="1" fillId="6" borderId="14" xfId="0" applyNumberFormat="1" applyFont="1" applyFill="1" applyBorder="1" applyAlignment="1">
      <alignment horizontal="center" vertical="center" wrapText="1"/>
    </xf>
    <xf numFmtId="176" fontId="1" fillId="6" borderId="16" xfId="0" applyNumberFormat="1" applyFont="1" applyFill="1" applyBorder="1" applyAlignment="1">
      <alignment horizontal="center" vertical="center"/>
    </xf>
    <xf numFmtId="176" fontId="1" fillId="7" borderId="17" xfId="0" applyNumberFormat="1" applyFont="1" applyFill="1" applyBorder="1" applyAlignment="1">
      <alignment vertical="center"/>
    </xf>
    <xf numFmtId="176" fontId="1" fillId="7" borderId="19" xfId="0" applyNumberFormat="1" applyFont="1" applyFill="1" applyBorder="1" applyAlignment="1">
      <alignment vertical="center"/>
    </xf>
    <xf numFmtId="176" fontId="1" fillId="6" borderId="17" xfId="0" applyNumberFormat="1" applyFont="1" applyFill="1" applyBorder="1" applyAlignment="1">
      <alignment vertical="center"/>
    </xf>
    <xf numFmtId="176" fontId="1" fillId="6" borderId="18" xfId="0" applyNumberFormat="1" applyFont="1" applyFill="1" applyBorder="1" applyAlignment="1">
      <alignment horizontal="center" vertical="center"/>
    </xf>
    <xf numFmtId="176" fontId="1" fillId="6" borderId="19" xfId="0" applyNumberFormat="1" applyFont="1" applyFill="1" applyBorder="1" applyAlignment="1">
      <alignment vertical="center"/>
    </xf>
    <xf numFmtId="176" fontId="1" fillId="7" borderId="18" xfId="0" applyNumberFormat="1" applyFont="1" applyFill="1" applyBorder="1" applyAlignment="1">
      <alignment horizontal="center" vertical="center"/>
    </xf>
    <xf numFmtId="176" fontId="1" fillId="7" borderId="16" xfId="0" applyNumberFormat="1" applyFont="1" applyFill="1" applyBorder="1" applyAlignment="1">
      <alignment horizontal="center" vertical="center"/>
    </xf>
    <xf numFmtId="176" fontId="1" fillId="4" borderId="10" xfId="0" applyNumberFormat="1" applyFont="1" applyFill="1" applyBorder="1" applyAlignment="1">
      <alignment horizontal="center" vertical="center" wrapText="1"/>
    </xf>
    <xf numFmtId="176" fontId="1" fillId="4" borderId="17" xfId="0" applyNumberFormat="1" applyFont="1" applyFill="1" applyBorder="1" applyAlignment="1">
      <alignment vertical="center"/>
    </xf>
    <xf numFmtId="176" fontId="1" fillId="4" borderId="19" xfId="0" applyNumberFormat="1" applyFont="1" applyFill="1" applyBorder="1" applyAlignment="1">
      <alignment vertical="center"/>
    </xf>
    <xf numFmtId="176" fontId="1" fillId="4" borderId="18" xfId="0" applyNumberFormat="1" applyFont="1" applyFill="1" applyBorder="1" applyAlignment="1">
      <alignment horizontal="center" vertical="center"/>
    </xf>
    <xf numFmtId="176" fontId="1" fillId="4" borderId="16" xfId="0" applyNumberFormat="1" applyFont="1" applyFill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 textRotation="90"/>
    </xf>
    <xf numFmtId="0" fontId="2" fillId="0" borderId="13" xfId="0" applyFont="1" applyBorder="1"/>
    <xf numFmtId="0" fontId="2" fillId="0" borderId="5" xfId="0" applyFont="1" applyBorder="1"/>
    <xf numFmtId="176" fontId="1" fillId="0" borderId="13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176" fontId="1" fillId="7" borderId="9" xfId="0" applyNumberFormat="1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0" xfId="0" applyFont="1" applyBorder="1"/>
    <xf numFmtId="176" fontId="1" fillId="0" borderId="9" xfId="0" applyNumberFormat="1" applyFont="1" applyBorder="1" applyAlignment="1">
      <alignment horizontal="center" vertical="center"/>
    </xf>
    <xf numFmtId="176" fontId="1" fillId="4" borderId="9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176" fontId="1" fillId="9" borderId="9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1" xfId="0" applyFont="1" applyBorder="1"/>
    <xf numFmtId="0" fontId="1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5" xfId="0" applyFont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10" borderId="9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" fillId="10" borderId="10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14">
    <dxf>
      <font>
        <color rgb="FF000000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999999"/>
          <bgColor rgb="FF999999"/>
        </patternFill>
      </fill>
    </dxf>
    <dxf>
      <font>
        <color rgb="FF000000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Budget-style" pivot="0" count="2" xr9:uid="{00000000-0011-0000-FFFF-FFFF00000000}">
      <tableStyleElement type="firstRowStripe" dxfId="13"/>
      <tableStyleElement type="secondRowStripe" dxfId="12"/>
    </tableStyle>
    <tableStyle name="Budget-style 2" pivot="0" count="2" xr9:uid="{00000000-0011-0000-FFFF-FFFF01000000}">
      <tableStyleElement type="firstRowStripe" dxfId="11"/>
      <tableStyleElement type="secondRowStripe" dxfId="10"/>
    </tableStyle>
    <tableStyle name="Budget-style 3" pivot="0" count="2" xr9:uid="{00000000-0011-0000-FFFF-FFFF02000000}">
      <tableStyleElement type="firstRowStripe" dxfId="9"/>
      <tableStyleElement type="secondRowStripe" dxfId="8"/>
    </tableStyle>
    <tableStyle name="Budget-style 4" pivot="0" count="2" xr9:uid="{00000000-0011-0000-FFFF-FFFF03000000}">
      <tableStyleElement type="firstRowStripe" dxfId="7"/>
      <tableStyleElement type="secondRowStripe" dxfId="6"/>
    </tableStyle>
    <tableStyle name="Budget-style 5" pivot="0" count="2" xr9:uid="{00000000-0011-0000-FFFF-FFFF04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Flight Thrust Curves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Budget!$E$214</c:f>
              <c:strCache>
                <c:ptCount val="1"/>
                <c:pt idx="0">
                  <c:v>Thrust [N]</c:v>
                </c:pt>
              </c:strCache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Budget!$D$215:$D$226</c:f>
              <c:numCache>
                <c:formatCode>0.000</c:formatCode>
                <c:ptCount val="12"/>
                <c:pt idx="0">
                  <c:v>0</c:v>
                </c:pt>
                <c:pt idx="1">
                  <c:v>0.36099999999999999</c:v>
                </c:pt>
                <c:pt idx="2">
                  <c:v>7.0510000000000002</c:v>
                </c:pt>
                <c:pt idx="3">
                  <c:v>7.2220000000000004</c:v>
                </c:pt>
                <c:pt idx="4">
                  <c:v>0</c:v>
                </c:pt>
                <c:pt idx="5">
                  <c:v>0.4</c:v>
                </c:pt>
                <c:pt idx="6">
                  <c:v>0.4</c:v>
                </c:pt>
                <c:pt idx="7">
                  <c:v>0.60000000000000009</c:v>
                </c:pt>
                <c:pt idx="8">
                  <c:v>0</c:v>
                </c:pt>
                <c:pt idx="9">
                  <c:v>0.4</c:v>
                </c:pt>
                <c:pt idx="10">
                  <c:v>0.4</c:v>
                </c:pt>
                <c:pt idx="11">
                  <c:v>0.60000000000000009</c:v>
                </c:pt>
              </c:numCache>
            </c:numRef>
          </c:cat>
          <c:val>
            <c:numRef>
              <c:f>Budget!$E$215:$E$226</c:f>
              <c:numCache>
                <c:formatCode>0.000</c:formatCode>
                <c:ptCount val="12"/>
                <c:pt idx="0">
                  <c:v>0</c:v>
                </c:pt>
                <c:pt idx="1">
                  <c:v>6308</c:v>
                </c:pt>
                <c:pt idx="2">
                  <c:v>6308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5000</c:v>
                </c:pt>
                <c:pt idx="10">
                  <c:v>5000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8-41C1-847D-B0ACDA98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724573"/>
        <c:axId val="1523502546"/>
      </c:lineChart>
      <c:catAx>
        <c:axId val="1387724573"/>
        <c:scaling>
          <c:orientation val="minMax"/>
          <c:max val="8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[s]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1523502546"/>
        <c:crosses val="autoZero"/>
        <c:auto val="1"/>
        <c:lblAlgn val="ctr"/>
        <c:lblOffset val="100"/>
        <c:noMultiLvlLbl val="1"/>
      </c:catAx>
      <c:valAx>
        <c:axId val="1523502546"/>
        <c:scaling>
          <c:orientation val="minMax"/>
          <c:max val="8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CN" altLang="en-US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13877245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Apogee Function of Impulse for 6.5kN</a:t>
            </a:r>
          </a:p>
        </c:rich>
      </c:tx>
      <c:layout>
        <c:manualLayout>
          <c:xMode val="edge"/>
          <c:yMode val="edge"/>
          <c:x val="2.9250000000000002E-2"/>
          <c:y val="0.05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Simulations!$S$15:$S$17</c:f>
              <c:strCache>
                <c:ptCount val="3"/>
                <c:pt idx="0">
                  <c:v>2026_C_PR_B3_CONFIG11</c:v>
                </c:pt>
                <c:pt idx="1">
                  <c:v>2026_C_PR_B3_CONFIG12</c:v>
                </c:pt>
                <c:pt idx="2">
                  <c:v>2026_C_PR_B3_CONFIG13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Simulations!$K$18:$K$36</c:f>
              <c:numCache>
                <c:formatCode>0.000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36000</c:v>
                </c:pt>
                <c:pt idx="5">
                  <c:v>38400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37100</c:v>
                </c:pt>
                <c:pt idx="12">
                  <c:v>39600</c:v>
                </c:pt>
                <c:pt idx="13">
                  <c:v>38100</c:v>
                </c:pt>
                <c:pt idx="14">
                  <c:v>38600</c:v>
                </c:pt>
                <c:pt idx="15">
                  <c:v>38850</c:v>
                </c:pt>
                <c:pt idx="16">
                  <c:v>1.3</c:v>
                </c:pt>
                <c:pt idx="17">
                  <c:v>39400</c:v>
                </c:pt>
                <c:pt idx="18">
                  <c:v>39900</c:v>
                </c:pt>
              </c:numCache>
            </c:numRef>
          </c:xVal>
          <c:yVal>
            <c:numRef>
              <c:f>Simulations!$S$18:$S$36</c:f>
              <c:numCache>
                <c:formatCode>General</c:formatCode>
                <c:ptCount val="19"/>
                <c:pt idx="4">
                  <c:v>2740</c:v>
                </c:pt>
                <c:pt idx="5" formatCode="0">
                  <c:v>2777</c:v>
                </c:pt>
                <c:pt idx="11">
                  <c:v>3008</c:v>
                </c:pt>
                <c:pt idx="12">
                  <c:v>3315</c:v>
                </c:pt>
                <c:pt idx="13">
                  <c:v>3129</c:v>
                </c:pt>
                <c:pt idx="14">
                  <c:v>3190</c:v>
                </c:pt>
                <c:pt idx="15" formatCode="0.000">
                  <c:v>3220</c:v>
                </c:pt>
                <c:pt idx="17">
                  <c:v>3192</c:v>
                </c:pt>
                <c:pt idx="18">
                  <c:v>3253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9B-4B38-B000-F44AA27B0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263301"/>
        <c:axId val="613002117"/>
      </c:scatterChart>
      <c:valAx>
        <c:axId val="4532633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Firehorn 1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613002117"/>
        <c:crosses val="autoZero"/>
        <c:crossBetween val="midCat"/>
      </c:valAx>
      <c:valAx>
        <c:axId val="613002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CN" altLang="en-US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45326330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ISP!$E$2</c:f>
              <c:strCache>
                <c:ptCount val="1"/>
                <c:pt idx="0">
                  <c:v>Mass flow tot core [kg/s]</c:v>
                </c:pt>
              </c:strCache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ISP!$C$3:$C$63</c:f>
              <c:numCache>
                <c:formatCode>General</c:formatCode>
                <c:ptCount val="6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</c:numCache>
            </c:numRef>
          </c:cat>
          <c:val>
            <c:numRef>
              <c:f>ISP!$E$3:$E$63</c:f>
              <c:numCache>
                <c:formatCode>0.000</c:formatCode>
                <c:ptCount val="61"/>
                <c:pt idx="0">
                  <c:v>3.3129459734964324</c:v>
                </c:pt>
                <c:pt idx="1">
                  <c:v>3.2964636552203301</c:v>
                </c:pt>
                <c:pt idx="2">
                  <c:v>3.2801445282142891</c:v>
                </c:pt>
                <c:pt idx="3">
                  <c:v>3.263986180784662</c:v>
                </c:pt>
                <c:pt idx="4">
                  <c:v>3.2479862485259141</c:v>
                </c:pt>
                <c:pt idx="5">
                  <c:v>3.2321424131672507</c:v>
                </c:pt>
                <c:pt idx="6">
                  <c:v>3.2164524014528464</c:v>
                </c:pt>
                <c:pt idx="7">
                  <c:v>3.2009139840545235</c:v>
                </c:pt>
                <c:pt idx="8">
                  <c:v>3.1855249745158001</c:v>
                </c:pt>
                <c:pt idx="9">
                  <c:v>3.1702832282262512</c:v>
                </c:pt>
                <c:pt idx="10">
                  <c:v>3.1551866414251735</c:v>
                </c:pt>
                <c:pt idx="11">
                  <c:v>3.1402331502335845</c:v>
                </c:pt>
                <c:pt idx="12">
                  <c:v>3.125420729713615</c:v>
                </c:pt>
                <c:pt idx="13">
                  <c:v>3.1107473929543961</c:v>
                </c:pt>
                <c:pt idx="14">
                  <c:v>3.0962111901835812</c:v>
                </c:pt>
                <c:pt idx="15">
                  <c:v>3.0818102079036578</c:v>
                </c:pt>
                <c:pt idx="16">
                  <c:v>3.0675425680522519</c:v>
                </c:pt>
                <c:pt idx="17">
                  <c:v>3.053406427185652</c:v>
                </c:pt>
                <c:pt idx="18">
                  <c:v>3.0393999756848005</c:v>
                </c:pt>
                <c:pt idx="19">
                  <c:v>3.0255214369830425</c:v>
                </c:pt>
                <c:pt idx="20">
                  <c:v>3.0117690668149382</c:v>
                </c:pt>
                <c:pt idx="21">
                  <c:v>2.9981411524854589</c:v>
                </c:pt>
                <c:pt idx="22">
                  <c:v>2.9846360121589477</c:v>
                </c:pt>
                <c:pt idx="23">
                  <c:v>2.9712519941672038</c:v>
                </c:pt>
                <c:pt idx="24">
                  <c:v>2.9579874763361</c:v>
                </c:pt>
                <c:pt idx="25">
                  <c:v>2.9448408653301619</c:v>
                </c:pt>
                <c:pt idx="26">
                  <c:v>2.9318105960145417</c:v>
                </c:pt>
                <c:pt idx="27">
                  <c:v>2.9188951308338611</c:v>
                </c:pt>
                <c:pt idx="28">
                  <c:v>2.9060929592073963</c:v>
                </c:pt>
                <c:pt idx="29">
                  <c:v>2.8934025969401151</c:v>
                </c:pt>
                <c:pt idx="30">
                  <c:v>2.8808225856490712</c:v>
                </c:pt>
                <c:pt idx="31">
                  <c:v>2.8683514922047029</c:v>
                </c:pt>
                <c:pt idx="32">
                  <c:v>2.8559879081865795</c:v>
                </c:pt>
                <c:pt idx="33">
                  <c:v>2.8437304493531608</c:v>
                </c:pt>
                <c:pt idx="34">
                  <c:v>2.831577755125156</c:v>
                </c:pt>
                <c:pt idx="35">
                  <c:v>2.8195284880820699</c:v>
                </c:pt>
                <c:pt idx="36">
                  <c:v>2.8075813334715525</c:v>
                </c:pt>
                <c:pt idx="37">
                  <c:v>2.7957349987311662</c:v>
                </c:pt>
                <c:pt idx="38">
                  <c:v>2.7839882130222118</c:v>
                </c:pt>
                <c:pt idx="39">
                  <c:v>2.772339726775257</c:v>
                </c:pt>
                <c:pt idx="40">
                  <c:v>2.7607883112470266</c:v>
                </c:pt>
                <c:pt idx="41">
                  <c:v>2.7493327580883253</c:v>
                </c:pt>
                <c:pt idx="42">
                  <c:v>2.7379718789226715</c:v>
                </c:pt>
                <c:pt idx="43">
                  <c:v>2.7267045049353351</c:v>
                </c:pt>
                <c:pt idx="44">
                  <c:v>2.715529486472485</c:v>
                </c:pt>
                <c:pt idx="45">
                  <c:v>2.7044456926501486</c:v>
                </c:pt>
                <c:pt idx="46">
                  <c:v>2.6934520109727087</c:v>
                </c:pt>
                <c:pt idx="47">
                  <c:v>2.6825473469606735</c:v>
                </c:pt>
                <c:pt idx="48">
                  <c:v>2.6717306237874454</c:v>
                </c:pt>
                <c:pt idx="49">
                  <c:v>2.6610007819248449</c:v>
                </c:pt>
                <c:pt idx="50">
                  <c:v>2.6503567787971458</c:v>
                </c:pt>
                <c:pt idx="51">
                  <c:v>2.6397975884433724</c:v>
                </c:pt>
                <c:pt idx="52">
                  <c:v>2.629322201187644</c:v>
                </c:pt>
                <c:pt idx="53">
                  <c:v>2.6189296233173374</c:v>
                </c:pt>
                <c:pt idx="54">
                  <c:v>2.6086188767688441</c:v>
                </c:pt>
                <c:pt idx="55">
                  <c:v>2.5983889988207309</c:v>
                </c:pt>
                <c:pt idx="56">
                  <c:v>2.5882390417940875</c:v>
                </c:pt>
                <c:pt idx="57">
                  <c:v>2.5781680727598695</c:v>
                </c:pt>
                <c:pt idx="58">
                  <c:v>2.568175173253048</c:v>
                </c:pt>
                <c:pt idx="59">
                  <c:v>2.5582594389933839</c:v>
                </c:pt>
                <c:pt idx="60">
                  <c:v>2.5484199796126403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4-472D-80E1-7E4962C5CDF8}"/>
            </c:ext>
          </c:extLst>
        </c:ser>
        <c:ser>
          <c:idx val="1"/>
          <c:order val="1"/>
          <c:tx>
            <c:strRef>
              <c:f>ISP!$F$2</c:f>
              <c:strCache>
                <c:ptCount val="1"/>
                <c:pt idx="0">
                  <c:v>Mass flow ox [kg/s]</c:v>
                </c:pt>
              </c:strCache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ISP!$C$3:$C$63</c:f>
              <c:numCache>
                <c:formatCode>General</c:formatCode>
                <c:ptCount val="6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</c:numCache>
            </c:numRef>
          </c:cat>
          <c:val>
            <c:numRef>
              <c:f>ISP!$F$3:$F$63</c:f>
              <c:numCache>
                <c:formatCode>0.000</c:formatCode>
                <c:ptCount val="61"/>
                <c:pt idx="0">
                  <c:v>1.9877675840978597</c:v>
                </c:pt>
                <c:pt idx="1">
                  <c:v>1.9778781931321983</c:v>
                </c:pt>
                <c:pt idx="2">
                  <c:v>1.9680867169285736</c:v>
                </c:pt>
                <c:pt idx="3">
                  <c:v>1.9583917084707974</c:v>
                </c:pt>
                <c:pt idx="4">
                  <c:v>1.9487917491155486</c:v>
                </c:pt>
                <c:pt idx="5">
                  <c:v>1.9392854479003505</c:v>
                </c:pt>
                <c:pt idx="6">
                  <c:v>1.9298714408717079</c:v>
                </c:pt>
                <c:pt idx="7">
                  <c:v>1.9205483904327143</c:v>
                </c:pt>
                <c:pt idx="8">
                  <c:v>1.9113149847094801</c:v>
                </c:pt>
                <c:pt idx="9">
                  <c:v>1.902169936935751</c:v>
                </c:pt>
                <c:pt idx="10">
                  <c:v>1.8931119848551043</c:v>
                </c:pt>
                <c:pt idx="11">
                  <c:v>1.8841398901401509</c:v>
                </c:pt>
                <c:pt idx="12">
                  <c:v>1.8752524378281692</c:v>
                </c:pt>
                <c:pt idx="13">
                  <c:v>1.8664484357726379</c:v>
                </c:pt>
                <c:pt idx="14">
                  <c:v>1.8577267141101488</c:v>
                </c:pt>
                <c:pt idx="15">
                  <c:v>1.8490861247421948</c:v>
                </c:pt>
                <c:pt idx="16">
                  <c:v>1.8405255408313512</c:v>
                </c:pt>
                <c:pt idx="17">
                  <c:v>1.8320438563113914</c:v>
                </c:pt>
                <c:pt idx="18">
                  <c:v>1.8236399854108805</c:v>
                </c:pt>
                <c:pt idx="19">
                  <c:v>1.8153128621898258</c:v>
                </c:pt>
                <c:pt idx="20">
                  <c:v>1.8070614400889631</c:v>
                </c:pt>
                <c:pt idx="21">
                  <c:v>1.7988846914912755</c:v>
                </c:pt>
                <c:pt idx="22">
                  <c:v>1.7907816072953688</c:v>
                </c:pt>
                <c:pt idx="23">
                  <c:v>1.7827511965003224</c:v>
                </c:pt>
                <c:pt idx="24">
                  <c:v>1.7747924858016602</c:v>
                </c:pt>
                <c:pt idx="25">
                  <c:v>1.7669045191980972</c:v>
                </c:pt>
                <c:pt idx="26">
                  <c:v>1.7590863576087252</c:v>
                </c:pt>
                <c:pt idx="27">
                  <c:v>1.7513370785003168</c:v>
                </c:pt>
                <c:pt idx="28">
                  <c:v>1.743655775524438</c:v>
                </c:pt>
                <c:pt idx="29">
                  <c:v>1.7360415581640691</c:v>
                </c:pt>
                <c:pt idx="30">
                  <c:v>1.7284935513894428</c:v>
                </c:pt>
                <c:pt idx="31">
                  <c:v>1.7210108953228218</c:v>
                </c:pt>
                <c:pt idx="32">
                  <c:v>1.7135927449119479</c:v>
                </c:pt>
                <c:pt idx="33">
                  <c:v>1.7062382696118965</c:v>
                </c:pt>
                <c:pt idx="34">
                  <c:v>1.6989466530750936</c:v>
                </c:pt>
                <c:pt idx="35">
                  <c:v>1.691717092849242</c:v>
                </c:pt>
                <c:pt idx="36">
                  <c:v>1.6845488000829316</c:v>
                </c:pt>
                <c:pt idx="37">
                  <c:v>1.6774409992386998</c:v>
                </c:pt>
                <c:pt idx="38">
                  <c:v>1.6703929278133272</c:v>
                </c:pt>
                <c:pt idx="39">
                  <c:v>1.6634038360651544</c:v>
                </c:pt>
                <c:pt idx="40">
                  <c:v>1.6564729867482162</c:v>
                </c:pt>
                <c:pt idx="41">
                  <c:v>1.6495996548529954</c:v>
                </c:pt>
                <c:pt idx="42">
                  <c:v>1.6427831273536031</c:v>
                </c:pt>
                <c:pt idx="43">
                  <c:v>1.6360227029612011</c:v>
                </c:pt>
                <c:pt idx="44">
                  <c:v>1.6293176918834911</c:v>
                </c:pt>
                <c:pt idx="45">
                  <c:v>1.6226674155900893</c:v>
                </c:pt>
                <c:pt idx="46">
                  <c:v>1.6160712065836254</c:v>
                </c:pt>
                <c:pt idx="47">
                  <c:v>1.6095284081764043</c:v>
                </c:pt>
                <c:pt idx="48">
                  <c:v>1.6030383742724674</c:v>
                </c:pt>
                <c:pt idx="49">
                  <c:v>1.5966004691549072</c:v>
                </c:pt>
                <c:pt idx="50">
                  <c:v>1.5902140672782876</c:v>
                </c:pt>
                <c:pt idx="51">
                  <c:v>1.5838785530660235</c:v>
                </c:pt>
                <c:pt idx="52">
                  <c:v>1.5775933207125865</c:v>
                </c:pt>
                <c:pt idx="53">
                  <c:v>1.5713577739904026</c:v>
                </c:pt>
                <c:pt idx="54">
                  <c:v>1.5651713260613065</c:v>
                </c:pt>
                <c:pt idx="55">
                  <c:v>1.5590333992924388</c:v>
                </c:pt>
                <c:pt idx="56">
                  <c:v>1.5529434250764527</c:v>
                </c:pt>
                <c:pt idx="57">
                  <c:v>1.5469008436559217</c:v>
                </c:pt>
                <c:pt idx="58">
                  <c:v>1.5409051039518289</c:v>
                </c:pt>
                <c:pt idx="59">
                  <c:v>1.5349556633960304</c:v>
                </c:pt>
                <c:pt idx="60">
                  <c:v>1.5290519877675843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4-472D-80E1-7E4962C5CDF8}"/>
            </c:ext>
          </c:extLst>
        </c:ser>
        <c:ser>
          <c:idx val="2"/>
          <c:order val="2"/>
          <c:tx>
            <c:strRef>
              <c:f>ISP!$G$2</c:f>
              <c:strCache>
                <c:ptCount val="1"/>
                <c:pt idx="0">
                  <c:v>Mass flow fuel core [kg/s]</c:v>
                </c:pt>
              </c:strCache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ISP!$C$3:$C$63</c:f>
              <c:numCache>
                <c:formatCode>General</c:formatCode>
                <c:ptCount val="6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</c:numCache>
            </c:numRef>
          </c:cat>
          <c:val>
            <c:numRef>
              <c:f>ISP!$G$3:$G$63</c:f>
              <c:numCache>
                <c:formatCode>0.000</c:formatCode>
                <c:ptCount val="61"/>
                <c:pt idx="0">
                  <c:v>1.3251783893985729</c:v>
                </c:pt>
                <c:pt idx="1">
                  <c:v>1.3185854620881321</c:v>
                </c:pt>
                <c:pt idx="2">
                  <c:v>1.3120578112857157</c:v>
                </c:pt>
                <c:pt idx="3">
                  <c:v>1.3055944723138648</c:v>
                </c:pt>
                <c:pt idx="4">
                  <c:v>1.2991944994103657</c:v>
                </c:pt>
                <c:pt idx="5">
                  <c:v>1.2928569652669002</c:v>
                </c:pt>
                <c:pt idx="6">
                  <c:v>1.2865809605811385</c:v>
                </c:pt>
                <c:pt idx="7">
                  <c:v>1.2803655936218095</c:v>
                </c:pt>
                <c:pt idx="8">
                  <c:v>1.2742099898063199</c:v>
                </c:pt>
                <c:pt idx="9">
                  <c:v>1.2681132912905004</c:v>
                </c:pt>
                <c:pt idx="10">
                  <c:v>1.2620746565700693</c:v>
                </c:pt>
                <c:pt idx="11">
                  <c:v>1.2560932600934338</c:v>
                </c:pt>
                <c:pt idx="12">
                  <c:v>1.250168291885446</c:v>
                </c:pt>
                <c:pt idx="13">
                  <c:v>1.2442989571817584</c:v>
                </c:pt>
                <c:pt idx="14">
                  <c:v>1.2384844760734324</c:v>
                </c:pt>
                <c:pt idx="15">
                  <c:v>1.2327240831614632</c:v>
                </c:pt>
                <c:pt idx="16">
                  <c:v>1.2270170272209007</c:v>
                </c:pt>
                <c:pt idx="17">
                  <c:v>1.2213625708742608</c:v>
                </c:pt>
                <c:pt idx="18">
                  <c:v>1.2157599902739202</c:v>
                </c:pt>
                <c:pt idx="19">
                  <c:v>1.210208574793217</c:v>
                </c:pt>
                <c:pt idx="20">
                  <c:v>1.2047076267259753</c:v>
                </c:pt>
                <c:pt idx="21">
                  <c:v>1.1992564609941836</c:v>
                </c:pt>
                <c:pt idx="22">
                  <c:v>1.1938544048635791</c:v>
                </c:pt>
                <c:pt idx="23">
                  <c:v>1.1885007976668815</c:v>
                </c:pt>
                <c:pt idx="24">
                  <c:v>1.1831949905344401</c:v>
                </c:pt>
                <c:pt idx="25">
                  <c:v>1.1779363461320647</c:v>
                </c:pt>
                <c:pt idx="26">
                  <c:v>1.1727242384058167</c:v>
                </c:pt>
                <c:pt idx="27">
                  <c:v>1.1675580523335445</c:v>
                </c:pt>
                <c:pt idx="28">
                  <c:v>1.1624371836829586</c:v>
                </c:pt>
                <c:pt idx="29">
                  <c:v>1.157361038776046</c:v>
                </c:pt>
                <c:pt idx="30">
                  <c:v>1.1523290342596284</c:v>
                </c:pt>
                <c:pt idx="31">
                  <c:v>1.1473405968818811</c:v>
                </c:pt>
                <c:pt idx="32">
                  <c:v>1.1423951632746319</c:v>
                </c:pt>
                <c:pt idx="33">
                  <c:v>1.1374921797412643</c:v>
                </c:pt>
                <c:pt idx="34">
                  <c:v>1.1326311020500623</c:v>
                </c:pt>
                <c:pt idx="35">
                  <c:v>1.1278113952328279</c:v>
                </c:pt>
                <c:pt idx="36">
                  <c:v>1.1230325333886211</c:v>
                </c:pt>
                <c:pt idx="37">
                  <c:v>1.1182939994924666</c:v>
                </c:pt>
                <c:pt idx="38">
                  <c:v>1.1135952852088846</c:v>
                </c:pt>
                <c:pt idx="39">
                  <c:v>1.1089358907101028</c:v>
                </c:pt>
                <c:pt idx="40">
                  <c:v>1.1043153244988106</c:v>
                </c:pt>
                <c:pt idx="41">
                  <c:v>1.0997331032353301</c:v>
                </c:pt>
                <c:pt idx="42">
                  <c:v>1.0951887515690686</c:v>
                </c:pt>
                <c:pt idx="43">
                  <c:v>1.090681801974134</c:v>
                </c:pt>
                <c:pt idx="44">
                  <c:v>1.086211794588994</c:v>
                </c:pt>
                <c:pt idx="45">
                  <c:v>1.0817782770600595</c:v>
                </c:pt>
                <c:pt idx="46">
                  <c:v>1.0773808043890836</c:v>
                </c:pt>
                <c:pt idx="47">
                  <c:v>1.0730189387842695</c:v>
                </c:pt>
                <c:pt idx="48">
                  <c:v>1.0686922495149782</c:v>
                </c:pt>
                <c:pt idx="49">
                  <c:v>1.064400312769938</c:v>
                </c:pt>
                <c:pt idx="50">
                  <c:v>1.0601427115188584</c:v>
                </c:pt>
                <c:pt idx="51">
                  <c:v>1.0559190353773489</c:v>
                </c:pt>
                <c:pt idx="52">
                  <c:v>1.0517288804750575</c:v>
                </c:pt>
                <c:pt idx="53">
                  <c:v>1.047571849326935</c:v>
                </c:pt>
                <c:pt idx="54">
                  <c:v>1.0434475507075376</c:v>
                </c:pt>
                <c:pt idx="55">
                  <c:v>1.0393555995282924</c:v>
                </c:pt>
                <c:pt idx="56">
                  <c:v>1.035295616717635</c:v>
                </c:pt>
                <c:pt idx="57">
                  <c:v>1.0312672291039477</c:v>
                </c:pt>
                <c:pt idx="58">
                  <c:v>1.0272700693012191</c:v>
                </c:pt>
                <c:pt idx="59">
                  <c:v>1.0233037755973535</c:v>
                </c:pt>
                <c:pt idx="60">
                  <c:v>1.0193679918450562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4-472D-80E1-7E4962C5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331934"/>
        <c:axId val="1139141590"/>
      </c:lineChart>
      <c:catAx>
        <c:axId val="1964331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1139141590"/>
        <c:crosses val="autoZero"/>
        <c:auto val="1"/>
        <c:lblAlgn val="ctr"/>
        <c:lblOffset val="100"/>
        <c:noMultiLvlLbl val="1"/>
      </c:catAx>
      <c:valAx>
        <c:axId val="1139141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CN" altLang="en-US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1964331934"/>
        <c:crosses val="autoZero"/>
        <c:crossBetween val="between"/>
        <c:maj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1028700</xdr:colOff>
      <xdr:row>212</xdr:row>
      <xdr:rowOff>0</xdr:rowOff>
    </xdr:from>
    <xdr:ext cx="5362575" cy="3238500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1238250</xdr:colOff>
      <xdr:row>1</xdr:row>
      <xdr:rowOff>47625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38100</xdr:colOff>
      <xdr:row>20</xdr:row>
      <xdr:rowOff>47625</xdr:rowOff>
    </xdr:from>
    <xdr:ext cx="904875" cy="581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2075" y="2471750"/>
          <a:ext cx="2131500" cy="1341000"/>
        </a:xfrm>
        <a:prstGeom prst="rightArrow">
          <a:avLst>
            <a:gd name="adj1" fmla="val 50000"/>
            <a:gd name="adj2" fmla="val 50000"/>
          </a:avLst>
        </a:prstGeom>
        <a:solidFill>
          <a:srgbClr val="F4CCC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715000" cy="3533775"/>
    <xdr:graphicFrame macro="">
      <xdr:nvGraphicFramePr>
        <xdr:cNvPr id="3" name="Chart 3" title="Graphiqu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ra Ashley Davies" id="{773D3316-FD0F-4739-AF4F-359A156C246F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3:I52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Budg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56:C105" headerRowCount="0">
  <tableColumns count="1">
    <tableColumn id="1" xr3:uid="{00000000-0010-0000-0100-000001000000}" name="Column1"/>
  </tableColumns>
  <tableStyleInfo name="Budge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56:N106" headerRowCount="0">
  <tableColumns count="11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</tableColumns>
  <tableStyleInfo name="Budge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09:AE158" headerRowCount="0">
  <tableColumns count="29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</tableColumns>
  <tableStyleInfo name="Budge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62:AD211" headerRowCount="0">
  <tableColumns count="28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</tableColumns>
  <tableStyleInfo name="Budget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04-25T12:28:12.00" personId="{773D3316-FD0F-4739-AF4F-359A156C246F}" id="{F34E14A7-2DAB-491A-8C4D-48CA66CC5173}">
    <text>I put 36000 to make the code work but this is to be changed!!</text>
  </threadedComment>
  <threadedComment ref="M32" dT="2026-04-25T12:34:44.00" personId="{773D3316-FD0F-4739-AF4F-359A156C246F}" id="{851A2A0A-C8B2-4A42-982F-B0518B987BC4}">
    <text>?? is this really a test?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G49" sqref="G49"/>
    </sheetView>
  </sheetViews>
  <sheetFormatPr defaultColWidth="12.59765625" defaultRowHeight="15.75" customHeight="1" x14ac:dyDescent="0.35"/>
  <cols>
    <col min="1" max="1" width="3.265625" customWidth="1"/>
    <col min="2" max="2" width="22.265625" customWidth="1"/>
    <col min="3" max="4" width="14.86328125" customWidth="1"/>
    <col min="5" max="5" width="5.86328125" customWidth="1"/>
    <col min="6" max="6" width="9.3984375" customWidth="1"/>
    <col min="7" max="7" width="18.86328125" customWidth="1"/>
    <col min="8" max="8" width="15.1328125" customWidth="1"/>
    <col min="9" max="9" width="19.73046875" customWidth="1"/>
    <col min="10" max="10" width="13.59765625" customWidth="1"/>
    <col min="11" max="11" width="15.73046875" customWidth="1"/>
    <col min="12" max="12" width="19.59765625" customWidth="1"/>
    <col min="13" max="13" width="14.1328125" customWidth="1"/>
    <col min="14" max="14" width="47.59765625" customWidth="1"/>
  </cols>
  <sheetData>
    <row r="1" spans="1:27" ht="12.75" x14ac:dyDescent="0.35">
      <c r="A1" s="173" t="s">
        <v>0</v>
      </c>
      <c r="B1" s="174"/>
      <c r="C1" s="4" t="s">
        <v>1</v>
      </c>
      <c r="D1" s="5" t="s">
        <v>154</v>
      </c>
      <c r="E1" s="5" t="s">
        <v>3</v>
      </c>
      <c r="F1" s="5" t="s">
        <v>4</v>
      </c>
      <c r="G1" s="4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5" t="s">
        <v>10</v>
      </c>
      <c r="M1" s="5" t="s">
        <v>11</v>
      </c>
      <c r="N1" s="8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35">
      <c r="A2" s="175" t="s">
        <v>13</v>
      </c>
      <c r="B2" s="165"/>
      <c r="C2" s="9">
        <v>84.4</v>
      </c>
      <c r="D2" s="9">
        <v>6308</v>
      </c>
      <c r="E2" s="9">
        <v>198</v>
      </c>
      <c r="F2" s="9">
        <v>1.4630000000000001</v>
      </c>
      <c r="G2" s="10">
        <v>3.2480000000000002</v>
      </c>
      <c r="H2" s="11">
        <v>1.925</v>
      </c>
      <c r="I2" s="11">
        <v>1.306</v>
      </c>
      <c r="J2" s="11">
        <v>0.36099999999999999</v>
      </c>
      <c r="K2" s="12">
        <v>0.17100000000000001</v>
      </c>
      <c r="L2" s="13">
        <v>36000</v>
      </c>
      <c r="M2" s="9">
        <v>36167</v>
      </c>
      <c r="N2" s="14" t="s">
        <v>14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x14ac:dyDescent="0.35">
      <c r="A3" s="152" t="s">
        <v>15</v>
      </c>
      <c r="B3" s="15" t="s">
        <v>16</v>
      </c>
      <c r="C3" s="16">
        <v>95.66</v>
      </c>
      <c r="D3" s="16">
        <v>5000</v>
      </c>
      <c r="E3" s="16">
        <v>240</v>
      </c>
      <c r="F3" s="16">
        <v>1.5</v>
      </c>
      <c r="G3" s="17">
        <f t="shared" ref="G3:G46" si="0">D3/(E3*9.81)</f>
        <v>2.1236833163438669</v>
      </c>
      <c r="H3" s="17">
        <f t="shared" ref="H3:H46" si="1">G3/(1+1/F3)</f>
        <v>1.2742099898063202</v>
      </c>
      <c r="I3" s="17">
        <f t="shared" ref="I3:I46" si="2">G3 / (1 +F3 )</f>
        <v>0.8494733265375467</v>
      </c>
      <c r="J3" s="17">
        <v>0.4</v>
      </c>
      <c r="K3" s="18">
        <v>0.2</v>
      </c>
      <c r="L3" s="16"/>
      <c r="M3" s="16"/>
      <c r="N3" s="19" t="s">
        <v>17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x14ac:dyDescent="0.35">
      <c r="A4" s="153"/>
      <c r="B4" s="20" t="s">
        <v>18</v>
      </c>
      <c r="C4" s="16">
        <v>95.66</v>
      </c>
      <c r="D4" s="16">
        <v>5500</v>
      </c>
      <c r="E4" s="16">
        <v>240</v>
      </c>
      <c r="F4" s="16">
        <v>1.5</v>
      </c>
      <c r="G4" s="17">
        <f t="shared" si="0"/>
        <v>2.3360516479782536</v>
      </c>
      <c r="H4" s="17">
        <f t="shared" si="1"/>
        <v>1.4016309887869522</v>
      </c>
      <c r="I4" s="17">
        <f t="shared" si="2"/>
        <v>0.93442065919130146</v>
      </c>
      <c r="J4" s="17">
        <v>0.4</v>
      </c>
      <c r="K4" s="18">
        <v>0.2</v>
      </c>
      <c r="L4" s="16"/>
      <c r="M4" s="16"/>
      <c r="N4" s="19" t="s">
        <v>17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x14ac:dyDescent="0.35">
      <c r="A5" s="153"/>
      <c r="B5" s="20" t="s">
        <v>19</v>
      </c>
      <c r="C5" s="16">
        <v>95.66</v>
      </c>
      <c r="D5" s="16">
        <v>6000</v>
      </c>
      <c r="E5" s="16">
        <v>240</v>
      </c>
      <c r="F5" s="16">
        <v>1.5</v>
      </c>
      <c r="G5" s="17">
        <f t="shared" si="0"/>
        <v>2.5484199796126399</v>
      </c>
      <c r="H5" s="17">
        <f t="shared" si="1"/>
        <v>1.5290519877675841</v>
      </c>
      <c r="I5" s="17">
        <f t="shared" si="2"/>
        <v>1.019367991845056</v>
      </c>
      <c r="J5" s="17">
        <v>0.4</v>
      </c>
      <c r="K5" s="18">
        <v>0.2</v>
      </c>
      <c r="L5" s="16"/>
      <c r="M5" s="16"/>
      <c r="N5" s="19" t="s">
        <v>17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x14ac:dyDescent="0.35">
      <c r="A6" s="153"/>
      <c r="B6" s="21" t="s">
        <v>20</v>
      </c>
      <c r="C6" s="16">
        <v>95.66</v>
      </c>
      <c r="D6" s="16">
        <v>6500</v>
      </c>
      <c r="E6" s="16">
        <v>240</v>
      </c>
      <c r="F6" s="16">
        <v>1.5</v>
      </c>
      <c r="G6" s="17">
        <f t="shared" si="0"/>
        <v>2.7607883112470266</v>
      </c>
      <c r="H6" s="17">
        <f t="shared" si="1"/>
        <v>1.6564729867482162</v>
      </c>
      <c r="I6" s="17">
        <f t="shared" si="2"/>
        <v>1.1043153244988106</v>
      </c>
      <c r="J6" s="17">
        <v>0.4</v>
      </c>
      <c r="K6" s="18">
        <v>0.2</v>
      </c>
      <c r="L6" s="16">
        <v>36000</v>
      </c>
      <c r="M6" s="16">
        <f t="shared" ref="M6:M7" si="3">L6 + J6*D6/2 + K6*D6/2</f>
        <v>37950</v>
      </c>
      <c r="N6" s="19" t="s">
        <v>17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x14ac:dyDescent="0.35">
      <c r="A7" s="153"/>
      <c r="B7" s="21" t="s">
        <v>21</v>
      </c>
      <c r="C7" s="16">
        <v>95.66</v>
      </c>
      <c r="D7" s="16">
        <v>7000</v>
      </c>
      <c r="E7" s="16">
        <v>240</v>
      </c>
      <c r="F7" s="16">
        <v>1.5</v>
      </c>
      <c r="G7" s="17">
        <f t="shared" si="0"/>
        <v>2.9731566428814133</v>
      </c>
      <c r="H7" s="17">
        <f t="shared" si="1"/>
        <v>1.7838939857288483</v>
      </c>
      <c r="I7" s="17">
        <f t="shared" si="2"/>
        <v>1.1892626571525653</v>
      </c>
      <c r="J7" s="17">
        <v>0.4</v>
      </c>
      <c r="K7" s="18">
        <v>0.2</v>
      </c>
      <c r="L7" s="16">
        <v>36000</v>
      </c>
      <c r="M7" s="16">
        <f t="shared" si="3"/>
        <v>38100</v>
      </c>
      <c r="N7" s="19" t="s">
        <v>17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x14ac:dyDescent="0.35">
      <c r="A8" s="153"/>
      <c r="B8" s="20" t="s">
        <v>22</v>
      </c>
      <c r="C8" s="16">
        <v>95.66</v>
      </c>
      <c r="D8" s="16">
        <v>7500</v>
      </c>
      <c r="E8" s="16">
        <v>240</v>
      </c>
      <c r="F8" s="16">
        <v>1.5</v>
      </c>
      <c r="G8" s="17">
        <f t="shared" si="0"/>
        <v>3.1855249745158001</v>
      </c>
      <c r="H8" s="17">
        <f t="shared" si="1"/>
        <v>1.9113149847094801</v>
      </c>
      <c r="I8" s="17">
        <f t="shared" si="2"/>
        <v>1.2742099898063199</v>
      </c>
      <c r="J8" s="17">
        <v>0.4</v>
      </c>
      <c r="K8" s="18">
        <v>0.2</v>
      </c>
      <c r="L8" s="16"/>
      <c r="M8" s="16"/>
      <c r="N8" s="19" t="s">
        <v>17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x14ac:dyDescent="0.35">
      <c r="A9" s="153"/>
      <c r="B9" s="20" t="s">
        <v>23</v>
      </c>
      <c r="C9" s="16">
        <v>95.66</v>
      </c>
      <c r="D9" s="22">
        <v>1</v>
      </c>
      <c r="E9" s="16">
        <v>240</v>
      </c>
      <c r="F9" s="16">
        <v>1.5</v>
      </c>
      <c r="G9" s="17">
        <f t="shared" si="0"/>
        <v>4.2473666326877334E-4</v>
      </c>
      <c r="H9" s="17">
        <f t="shared" si="1"/>
        <v>2.5484199796126404E-4</v>
      </c>
      <c r="I9" s="17">
        <f t="shared" si="2"/>
        <v>1.6989466530750933E-4</v>
      </c>
      <c r="J9" s="17">
        <v>0.4</v>
      </c>
      <c r="K9" s="18">
        <v>0.2</v>
      </c>
      <c r="L9" s="16"/>
      <c r="M9" s="16"/>
      <c r="N9" s="19" t="s">
        <v>17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x14ac:dyDescent="0.35">
      <c r="A10" s="153"/>
      <c r="B10" s="20" t="s">
        <v>24</v>
      </c>
      <c r="C10" s="16">
        <v>95.66</v>
      </c>
      <c r="D10" s="22">
        <v>1</v>
      </c>
      <c r="E10" s="16">
        <v>240</v>
      </c>
      <c r="F10" s="16">
        <v>1.5</v>
      </c>
      <c r="G10" s="17">
        <f t="shared" si="0"/>
        <v>4.2473666326877334E-4</v>
      </c>
      <c r="H10" s="17">
        <f t="shared" si="1"/>
        <v>2.5484199796126404E-4</v>
      </c>
      <c r="I10" s="17">
        <f t="shared" si="2"/>
        <v>1.6989466530750933E-4</v>
      </c>
      <c r="J10" s="17">
        <v>0.4</v>
      </c>
      <c r="K10" s="18">
        <v>0.2</v>
      </c>
      <c r="L10" s="16"/>
      <c r="M10" s="16"/>
      <c r="N10" s="19" t="s">
        <v>17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x14ac:dyDescent="0.35">
      <c r="A11" s="153"/>
      <c r="B11" s="20" t="s">
        <v>25</v>
      </c>
      <c r="C11" s="16">
        <v>95.66</v>
      </c>
      <c r="D11" s="22">
        <v>1</v>
      </c>
      <c r="E11" s="16">
        <v>240</v>
      </c>
      <c r="F11" s="16">
        <v>1.5</v>
      </c>
      <c r="G11" s="17">
        <f t="shared" si="0"/>
        <v>4.2473666326877334E-4</v>
      </c>
      <c r="H11" s="17">
        <f t="shared" si="1"/>
        <v>2.5484199796126404E-4</v>
      </c>
      <c r="I11" s="17">
        <f t="shared" si="2"/>
        <v>1.6989466530750933E-4</v>
      </c>
      <c r="J11" s="17">
        <v>0.4</v>
      </c>
      <c r="K11" s="18">
        <v>0.2</v>
      </c>
      <c r="L11" s="16"/>
      <c r="M11" s="16"/>
      <c r="N11" s="19" t="s">
        <v>17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x14ac:dyDescent="0.35">
      <c r="A12" s="153"/>
      <c r="B12" s="20" t="s">
        <v>26</v>
      </c>
      <c r="C12" s="16">
        <v>95.66</v>
      </c>
      <c r="D12" s="22">
        <v>1</v>
      </c>
      <c r="E12" s="16">
        <v>240</v>
      </c>
      <c r="F12" s="16">
        <v>1.5</v>
      </c>
      <c r="G12" s="17">
        <f t="shared" si="0"/>
        <v>4.2473666326877334E-4</v>
      </c>
      <c r="H12" s="17">
        <f t="shared" si="1"/>
        <v>2.5484199796126404E-4</v>
      </c>
      <c r="I12" s="17">
        <f t="shared" si="2"/>
        <v>1.6989466530750933E-4</v>
      </c>
      <c r="J12" s="17">
        <v>0.4</v>
      </c>
      <c r="K12" s="18">
        <v>0.2</v>
      </c>
      <c r="L12" s="16"/>
      <c r="M12" s="16"/>
      <c r="N12" s="19" t="s">
        <v>17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x14ac:dyDescent="0.35">
      <c r="A13" s="153"/>
      <c r="B13" s="20" t="s">
        <v>27</v>
      </c>
      <c r="C13" s="16">
        <v>95.66</v>
      </c>
      <c r="D13" s="22">
        <v>1</v>
      </c>
      <c r="E13" s="16">
        <v>240</v>
      </c>
      <c r="F13" s="16">
        <v>1.5</v>
      </c>
      <c r="G13" s="17">
        <f t="shared" si="0"/>
        <v>4.2473666326877334E-4</v>
      </c>
      <c r="H13" s="17">
        <f t="shared" si="1"/>
        <v>2.5484199796126404E-4</v>
      </c>
      <c r="I13" s="17">
        <f t="shared" si="2"/>
        <v>1.6989466530750933E-4</v>
      </c>
      <c r="J13" s="17">
        <v>0.4</v>
      </c>
      <c r="K13" s="18">
        <v>0.2</v>
      </c>
      <c r="L13" s="16"/>
      <c r="M13" s="16"/>
      <c r="N13" s="19" t="s">
        <v>17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x14ac:dyDescent="0.35">
      <c r="A14" s="154"/>
      <c r="B14" s="23" t="s">
        <v>28</v>
      </c>
      <c r="C14" s="9">
        <v>95.66</v>
      </c>
      <c r="D14" s="24">
        <v>1</v>
      </c>
      <c r="E14" s="9">
        <v>240</v>
      </c>
      <c r="F14" s="9">
        <v>1.5</v>
      </c>
      <c r="G14" s="11">
        <f t="shared" si="0"/>
        <v>4.2473666326877334E-4</v>
      </c>
      <c r="H14" s="11">
        <f t="shared" si="1"/>
        <v>2.5484199796126404E-4</v>
      </c>
      <c r="I14" s="11">
        <f t="shared" si="2"/>
        <v>1.6989466530750933E-4</v>
      </c>
      <c r="J14" s="11">
        <v>0.4</v>
      </c>
      <c r="K14" s="12">
        <v>0.2</v>
      </c>
      <c r="L14" s="9"/>
      <c r="M14" s="9"/>
      <c r="N14" s="14" t="s">
        <v>17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x14ac:dyDescent="0.35">
      <c r="A15" s="152" t="s">
        <v>29</v>
      </c>
      <c r="B15" s="20" t="s">
        <v>30</v>
      </c>
      <c r="C15" s="16">
        <v>107.28</v>
      </c>
      <c r="D15" s="16">
        <v>5000</v>
      </c>
      <c r="E15" s="16">
        <v>240</v>
      </c>
      <c r="F15" s="16">
        <v>1.5</v>
      </c>
      <c r="G15" s="17">
        <f t="shared" si="0"/>
        <v>2.1236833163438669</v>
      </c>
      <c r="H15" s="17">
        <f t="shared" si="1"/>
        <v>1.2742099898063202</v>
      </c>
      <c r="I15" s="17">
        <f t="shared" si="2"/>
        <v>0.8494733265375467</v>
      </c>
      <c r="J15" s="17">
        <v>0.4</v>
      </c>
      <c r="K15" s="18">
        <v>0.2</v>
      </c>
      <c r="L15" s="16"/>
      <c r="M15" s="16"/>
      <c r="N15" s="19" t="s">
        <v>31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x14ac:dyDescent="0.35">
      <c r="A16" s="153"/>
      <c r="B16" s="20" t="s">
        <v>32</v>
      </c>
      <c r="C16" s="16">
        <v>107.28</v>
      </c>
      <c r="D16" s="16">
        <v>5500</v>
      </c>
      <c r="E16" s="16">
        <v>240</v>
      </c>
      <c r="F16" s="16">
        <v>1.5</v>
      </c>
      <c r="G16" s="17">
        <f t="shared" si="0"/>
        <v>2.3360516479782536</v>
      </c>
      <c r="H16" s="17">
        <f t="shared" si="1"/>
        <v>1.4016309887869522</v>
      </c>
      <c r="I16" s="17">
        <f t="shared" si="2"/>
        <v>0.93442065919130146</v>
      </c>
      <c r="J16" s="17">
        <v>0.4</v>
      </c>
      <c r="K16" s="18">
        <v>0.2</v>
      </c>
      <c r="L16" s="16"/>
      <c r="M16" s="16"/>
      <c r="N16" s="19" t="s">
        <v>31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x14ac:dyDescent="0.35">
      <c r="A17" s="153"/>
      <c r="B17" s="20" t="s">
        <v>33</v>
      </c>
      <c r="C17" s="16">
        <v>107.28</v>
      </c>
      <c r="D17" s="16">
        <v>6000</v>
      </c>
      <c r="E17" s="16">
        <v>240</v>
      </c>
      <c r="F17" s="16">
        <v>1.5</v>
      </c>
      <c r="G17" s="17">
        <f t="shared" si="0"/>
        <v>2.5484199796126399</v>
      </c>
      <c r="H17" s="17">
        <f t="shared" si="1"/>
        <v>1.5290519877675841</v>
      </c>
      <c r="I17" s="17">
        <f t="shared" si="2"/>
        <v>1.019367991845056</v>
      </c>
      <c r="J17" s="17">
        <v>0.4</v>
      </c>
      <c r="K17" s="18">
        <v>0.2</v>
      </c>
      <c r="L17" s="16"/>
      <c r="M17" s="16"/>
      <c r="N17" s="19" t="s">
        <v>31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x14ac:dyDescent="0.35">
      <c r="A18" s="153"/>
      <c r="B18" s="20" t="s">
        <v>34</v>
      </c>
      <c r="C18" s="16">
        <v>107.28</v>
      </c>
      <c r="D18" s="16">
        <v>6500</v>
      </c>
      <c r="E18" s="16">
        <v>240</v>
      </c>
      <c r="F18" s="16">
        <v>1.5</v>
      </c>
      <c r="G18" s="17">
        <f t="shared" si="0"/>
        <v>2.7607883112470266</v>
      </c>
      <c r="H18" s="17">
        <f t="shared" si="1"/>
        <v>1.6564729867482162</v>
      </c>
      <c r="I18" s="17">
        <f t="shared" si="2"/>
        <v>1.1043153244988106</v>
      </c>
      <c r="J18" s="17">
        <v>0.4</v>
      </c>
      <c r="K18" s="18">
        <v>0.2</v>
      </c>
      <c r="L18" s="16"/>
      <c r="M18" s="16"/>
      <c r="N18" s="19" t="s">
        <v>31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x14ac:dyDescent="0.35">
      <c r="A19" s="153"/>
      <c r="B19" s="20" t="s">
        <v>35</v>
      </c>
      <c r="C19" s="16">
        <v>107.28</v>
      </c>
      <c r="D19" s="16">
        <v>7000</v>
      </c>
      <c r="E19" s="16">
        <v>240</v>
      </c>
      <c r="F19" s="16">
        <v>1.5</v>
      </c>
      <c r="G19" s="17">
        <f t="shared" si="0"/>
        <v>2.9731566428814133</v>
      </c>
      <c r="H19" s="17">
        <f t="shared" si="1"/>
        <v>1.7838939857288483</v>
      </c>
      <c r="I19" s="17">
        <f t="shared" si="2"/>
        <v>1.1892626571525653</v>
      </c>
      <c r="J19" s="17">
        <v>0.4</v>
      </c>
      <c r="K19" s="18">
        <v>0.2</v>
      </c>
      <c r="L19" s="16"/>
      <c r="M19" s="16"/>
      <c r="N19" s="19" t="s">
        <v>31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x14ac:dyDescent="0.35">
      <c r="A20" s="153"/>
      <c r="B20" s="25" t="s">
        <v>36</v>
      </c>
      <c r="C20" s="16">
        <v>107.28</v>
      </c>
      <c r="D20" s="16">
        <v>7500</v>
      </c>
      <c r="E20" s="16">
        <v>240</v>
      </c>
      <c r="F20" s="16">
        <v>1.5</v>
      </c>
      <c r="G20" s="17">
        <f t="shared" si="0"/>
        <v>3.1855249745158001</v>
      </c>
      <c r="H20" s="17">
        <f t="shared" si="1"/>
        <v>1.9113149847094801</v>
      </c>
      <c r="I20" s="17">
        <f t="shared" si="2"/>
        <v>1.2742099898063199</v>
      </c>
      <c r="J20" s="17">
        <v>0.4</v>
      </c>
      <c r="K20" s="18">
        <v>0.2</v>
      </c>
      <c r="L20" s="16">
        <v>36000</v>
      </c>
      <c r="M20" s="16">
        <f t="shared" ref="M20:M21" si="4">L20 + J20*D20/2 + K20*D20/2</f>
        <v>38250</v>
      </c>
      <c r="N20" s="19" t="s">
        <v>31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x14ac:dyDescent="0.35">
      <c r="A21" s="153"/>
      <c r="B21" s="25" t="s">
        <v>37</v>
      </c>
      <c r="C21" s="16">
        <v>107.28</v>
      </c>
      <c r="D21" s="22">
        <v>8000</v>
      </c>
      <c r="E21" s="16">
        <v>240</v>
      </c>
      <c r="F21" s="16">
        <v>1.5</v>
      </c>
      <c r="G21" s="17">
        <f t="shared" si="0"/>
        <v>3.3978933061501868</v>
      </c>
      <c r="H21" s="17">
        <f t="shared" si="1"/>
        <v>2.0387359836901124</v>
      </c>
      <c r="I21" s="17">
        <f t="shared" si="2"/>
        <v>1.3591573224600748</v>
      </c>
      <c r="J21" s="17">
        <v>0.4</v>
      </c>
      <c r="K21" s="18">
        <v>0.2</v>
      </c>
      <c r="L21" s="16">
        <v>36000</v>
      </c>
      <c r="M21" s="16">
        <f t="shared" si="4"/>
        <v>38400</v>
      </c>
      <c r="N21" s="19" t="s">
        <v>31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x14ac:dyDescent="0.35">
      <c r="A22" s="153"/>
      <c r="B22" s="20" t="s">
        <v>38</v>
      </c>
      <c r="C22" s="16">
        <v>107.28</v>
      </c>
      <c r="D22" s="22">
        <v>1</v>
      </c>
      <c r="E22" s="16">
        <v>240</v>
      </c>
      <c r="F22" s="16">
        <v>1.5</v>
      </c>
      <c r="G22" s="17">
        <f t="shared" si="0"/>
        <v>4.2473666326877334E-4</v>
      </c>
      <c r="H22" s="17">
        <f t="shared" si="1"/>
        <v>2.5484199796126404E-4</v>
      </c>
      <c r="I22" s="17">
        <f t="shared" si="2"/>
        <v>1.6989466530750933E-4</v>
      </c>
      <c r="J22" s="17">
        <v>0.4</v>
      </c>
      <c r="K22" s="18">
        <v>0.2</v>
      </c>
      <c r="L22" s="16"/>
      <c r="M22" s="16"/>
      <c r="N22" s="19" t="s">
        <v>31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x14ac:dyDescent="0.35">
      <c r="A23" s="153"/>
      <c r="B23" s="20" t="s">
        <v>39</v>
      </c>
      <c r="C23" s="16">
        <v>107.28</v>
      </c>
      <c r="D23" s="22">
        <v>1</v>
      </c>
      <c r="E23" s="16">
        <v>240</v>
      </c>
      <c r="F23" s="16">
        <v>1.5</v>
      </c>
      <c r="G23" s="17">
        <f t="shared" si="0"/>
        <v>4.2473666326877334E-4</v>
      </c>
      <c r="H23" s="17">
        <f t="shared" si="1"/>
        <v>2.5484199796126404E-4</v>
      </c>
      <c r="I23" s="17">
        <f t="shared" si="2"/>
        <v>1.6989466530750933E-4</v>
      </c>
      <c r="J23" s="17">
        <v>0.4</v>
      </c>
      <c r="K23" s="18">
        <v>0.2</v>
      </c>
      <c r="L23" s="16"/>
      <c r="M23" s="16"/>
      <c r="N23" s="19" t="s">
        <v>31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x14ac:dyDescent="0.35">
      <c r="A24" s="153"/>
      <c r="B24" s="20" t="s">
        <v>40</v>
      </c>
      <c r="C24" s="16">
        <v>107.28</v>
      </c>
      <c r="D24" s="22">
        <v>1</v>
      </c>
      <c r="E24" s="16">
        <v>240</v>
      </c>
      <c r="F24" s="16">
        <v>1.5</v>
      </c>
      <c r="G24" s="17">
        <f t="shared" si="0"/>
        <v>4.2473666326877334E-4</v>
      </c>
      <c r="H24" s="17">
        <f t="shared" si="1"/>
        <v>2.5484199796126404E-4</v>
      </c>
      <c r="I24" s="17">
        <f t="shared" si="2"/>
        <v>1.6989466530750933E-4</v>
      </c>
      <c r="J24" s="17">
        <v>0.4</v>
      </c>
      <c r="K24" s="18">
        <v>0.2</v>
      </c>
      <c r="L24" s="16"/>
      <c r="M24" s="16"/>
      <c r="N24" s="19" t="s">
        <v>31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x14ac:dyDescent="0.35">
      <c r="A25" s="153"/>
      <c r="B25" s="20" t="s">
        <v>41</v>
      </c>
      <c r="C25" s="16">
        <v>107.28</v>
      </c>
      <c r="D25" s="22">
        <v>1</v>
      </c>
      <c r="E25" s="16">
        <v>240</v>
      </c>
      <c r="F25" s="16">
        <v>1.5</v>
      </c>
      <c r="G25" s="17">
        <f t="shared" si="0"/>
        <v>4.2473666326877334E-4</v>
      </c>
      <c r="H25" s="17">
        <f t="shared" si="1"/>
        <v>2.5484199796126404E-4</v>
      </c>
      <c r="I25" s="17">
        <f t="shared" si="2"/>
        <v>1.6989466530750933E-4</v>
      </c>
      <c r="J25" s="17">
        <v>0.4</v>
      </c>
      <c r="K25" s="18">
        <v>0.2</v>
      </c>
      <c r="L25" s="16"/>
      <c r="M25" s="16"/>
      <c r="N25" s="19" t="s">
        <v>31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x14ac:dyDescent="0.35">
      <c r="A26" s="154"/>
      <c r="B26" s="23" t="s">
        <v>42</v>
      </c>
      <c r="C26" s="9">
        <v>107.28</v>
      </c>
      <c r="D26" s="24">
        <v>1</v>
      </c>
      <c r="E26" s="9">
        <v>240</v>
      </c>
      <c r="F26" s="9">
        <v>1.5</v>
      </c>
      <c r="G26" s="11">
        <f t="shared" si="0"/>
        <v>4.2473666326877334E-4</v>
      </c>
      <c r="H26" s="11">
        <f t="shared" si="1"/>
        <v>2.5484199796126404E-4</v>
      </c>
      <c r="I26" s="11">
        <f t="shared" si="2"/>
        <v>1.6989466530750933E-4</v>
      </c>
      <c r="J26" s="11">
        <v>0.4</v>
      </c>
      <c r="K26" s="12">
        <v>0.2</v>
      </c>
      <c r="L26" s="9"/>
      <c r="M26" s="9"/>
      <c r="N26" s="14" t="s">
        <v>31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x14ac:dyDescent="0.35">
      <c r="A27" s="152" t="s">
        <v>43</v>
      </c>
      <c r="B27" s="21" t="s">
        <v>44</v>
      </c>
      <c r="C27" s="16">
        <v>95.66</v>
      </c>
      <c r="D27" s="22">
        <v>7000</v>
      </c>
      <c r="E27" s="16">
        <v>240</v>
      </c>
      <c r="F27" s="16">
        <v>1.5</v>
      </c>
      <c r="G27" s="17">
        <f t="shared" si="0"/>
        <v>2.9731566428814133</v>
      </c>
      <c r="H27" s="17">
        <f t="shared" si="1"/>
        <v>1.7838939857288483</v>
      </c>
      <c r="I27" s="17">
        <f t="shared" si="2"/>
        <v>1.1892626571525653</v>
      </c>
      <c r="J27" s="17">
        <v>0.4</v>
      </c>
      <c r="K27" s="18">
        <v>0.2</v>
      </c>
      <c r="L27" s="22">
        <v>35000</v>
      </c>
      <c r="M27" s="16">
        <f t="shared" ref="M27:M46" si="5">L27 + J27*D27/2 + K27*D27/2</f>
        <v>37100</v>
      </c>
      <c r="N27" s="19" t="s">
        <v>45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x14ac:dyDescent="0.35">
      <c r="A28" s="153"/>
      <c r="B28" s="21" t="s">
        <v>46</v>
      </c>
      <c r="C28" s="16">
        <v>95.66</v>
      </c>
      <c r="D28" s="22">
        <v>7000</v>
      </c>
      <c r="E28" s="16">
        <v>240</v>
      </c>
      <c r="F28" s="16">
        <v>1.5</v>
      </c>
      <c r="G28" s="17">
        <f t="shared" si="0"/>
        <v>2.9731566428814133</v>
      </c>
      <c r="H28" s="17">
        <f t="shared" si="1"/>
        <v>1.7838939857288483</v>
      </c>
      <c r="I28" s="17">
        <f t="shared" si="2"/>
        <v>1.1892626571525653</v>
      </c>
      <c r="J28" s="17">
        <v>0.4</v>
      </c>
      <c r="K28" s="18">
        <v>0.2</v>
      </c>
      <c r="L28" s="22">
        <v>37500</v>
      </c>
      <c r="M28" s="16">
        <f t="shared" si="5"/>
        <v>39600</v>
      </c>
      <c r="N28" s="19" t="s">
        <v>45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x14ac:dyDescent="0.35">
      <c r="A29" s="153"/>
      <c r="B29" s="21" t="s">
        <v>47</v>
      </c>
      <c r="C29" s="16">
        <v>95.66</v>
      </c>
      <c r="D29" s="22">
        <v>7000</v>
      </c>
      <c r="E29" s="16">
        <v>240</v>
      </c>
      <c r="F29" s="16">
        <v>1.5</v>
      </c>
      <c r="G29" s="17">
        <f t="shared" si="0"/>
        <v>2.9731566428814133</v>
      </c>
      <c r="H29" s="17">
        <f t="shared" si="1"/>
        <v>1.7838939857288483</v>
      </c>
      <c r="I29" s="17">
        <f t="shared" si="2"/>
        <v>1.1892626571525653</v>
      </c>
      <c r="J29" s="17">
        <v>0.4</v>
      </c>
      <c r="K29" s="18">
        <v>0.2</v>
      </c>
      <c r="L29" s="22">
        <v>36000</v>
      </c>
      <c r="M29" s="16">
        <f t="shared" si="5"/>
        <v>38100</v>
      </c>
      <c r="N29" s="19" t="s">
        <v>45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x14ac:dyDescent="0.35">
      <c r="A30" s="153"/>
      <c r="B30" s="25" t="s">
        <v>48</v>
      </c>
      <c r="C30" s="16">
        <v>95.66</v>
      </c>
      <c r="D30" s="22">
        <v>7000</v>
      </c>
      <c r="E30" s="16">
        <v>240</v>
      </c>
      <c r="F30" s="16">
        <v>1.5</v>
      </c>
      <c r="G30" s="17">
        <f t="shared" si="0"/>
        <v>2.9731566428814133</v>
      </c>
      <c r="H30" s="17">
        <f t="shared" si="1"/>
        <v>1.7838939857288483</v>
      </c>
      <c r="I30" s="17">
        <f t="shared" si="2"/>
        <v>1.1892626571525653</v>
      </c>
      <c r="J30" s="17">
        <v>0.4</v>
      </c>
      <c r="K30" s="18">
        <v>0.2</v>
      </c>
      <c r="L30" s="22">
        <v>36500</v>
      </c>
      <c r="M30" s="16">
        <f t="shared" si="5"/>
        <v>38600</v>
      </c>
      <c r="N30" s="19" t="s">
        <v>45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x14ac:dyDescent="0.35">
      <c r="A31" s="153"/>
      <c r="B31" s="21" t="s">
        <v>49</v>
      </c>
      <c r="C31" s="16">
        <v>95.66</v>
      </c>
      <c r="D31" s="22">
        <v>7000</v>
      </c>
      <c r="E31" s="16">
        <v>240</v>
      </c>
      <c r="F31" s="16">
        <v>1.5</v>
      </c>
      <c r="G31" s="17">
        <f t="shared" si="0"/>
        <v>2.9731566428814133</v>
      </c>
      <c r="H31" s="17">
        <f t="shared" si="1"/>
        <v>1.7838939857288483</v>
      </c>
      <c r="I31" s="17">
        <f t="shared" si="2"/>
        <v>1.1892626571525653</v>
      </c>
      <c r="J31" s="17">
        <v>0.4</v>
      </c>
      <c r="K31" s="18">
        <v>0.2</v>
      </c>
      <c r="L31" s="22">
        <v>36750</v>
      </c>
      <c r="M31" s="16">
        <f t="shared" si="5"/>
        <v>38850</v>
      </c>
      <c r="N31" s="19" t="s">
        <v>45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x14ac:dyDescent="0.35">
      <c r="A32" s="154"/>
      <c r="B32" s="23" t="s">
        <v>50</v>
      </c>
      <c r="C32" s="9">
        <v>95.66</v>
      </c>
      <c r="D32" s="24">
        <v>1</v>
      </c>
      <c r="E32" s="9">
        <v>240</v>
      </c>
      <c r="F32" s="9">
        <v>1.5</v>
      </c>
      <c r="G32" s="11">
        <f t="shared" si="0"/>
        <v>4.2473666326877334E-4</v>
      </c>
      <c r="H32" s="11">
        <f t="shared" si="1"/>
        <v>2.5484199796126404E-4</v>
      </c>
      <c r="I32" s="11">
        <f t="shared" si="2"/>
        <v>1.6989466530750933E-4</v>
      </c>
      <c r="J32" s="11">
        <v>0.4</v>
      </c>
      <c r="K32" s="12">
        <v>0.2</v>
      </c>
      <c r="L32" s="24">
        <v>1</v>
      </c>
      <c r="M32" s="9">
        <f t="shared" si="5"/>
        <v>1.3</v>
      </c>
      <c r="N32" s="14" t="s">
        <v>45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x14ac:dyDescent="0.35">
      <c r="A33" s="152" t="s">
        <v>51</v>
      </c>
      <c r="B33" s="25" t="s">
        <v>52</v>
      </c>
      <c r="C33" s="16">
        <v>107.28</v>
      </c>
      <c r="D33" s="22">
        <v>8000</v>
      </c>
      <c r="E33" s="16">
        <v>240</v>
      </c>
      <c r="F33" s="16">
        <v>1.5</v>
      </c>
      <c r="G33" s="17">
        <f t="shared" si="0"/>
        <v>3.3978933061501868</v>
      </c>
      <c r="H33" s="17">
        <f t="shared" si="1"/>
        <v>2.0387359836901124</v>
      </c>
      <c r="I33" s="17">
        <f t="shared" si="2"/>
        <v>1.3591573224600748</v>
      </c>
      <c r="J33" s="17">
        <v>0.4</v>
      </c>
      <c r="K33" s="18">
        <v>0.2</v>
      </c>
      <c r="L33" s="22">
        <v>37000</v>
      </c>
      <c r="M33" s="16">
        <f t="shared" si="5"/>
        <v>39400</v>
      </c>
      <c r="N33" s="19" t="s">
        <v>53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x14ac:dyDescent="0.35">
      <c r="A34" s="153"/>
      <c r="B34" s="25" t="s">
        <v>54</v>
      </c>
      <c r="C34" s="16">
        <v>107.28</v>
      </c>
      <c r="D34" s="22">
        <v>8000</v>
      </c>
      <c r="E34" s="16">
        <v>240</v>
      </c>
      <c r="F34" s="16">
        <v>1.5</v>
      </c>
      <c r="G34" s="17">
        <f t="shared" si="0"/>
        <v>3.3978933061501868</v>
      </c>
      <c r="H34" s="17">
        <f t="shared" si="1"/>
        <v>2.0387359836901124</v>
      </c>
      <c r="I34" s="17">
        <f t="shared" si="2"/>
        <v>1.3591573224600748</v>
      </c>
      <c r="J34" s="17">
        <v>0.4</v>
      </c>
      <c r="K34" s="18">
        <v>0.2</v>
      </c>
      <c r="L34" s="22">
        <v>37500</v>
      </c>
      <c r="M34" s="16">
        <f t="shared" si="5"/>
        <v>39900</v>
      </c>
      <c r="N34" s="19" t="s">
        <v>53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x14ac:dyDescent="0.35">
      <c r="A35" s="153"/>
      <c r="B35" s="20" t="s">
        <v>55</v>
      </c>
      <c r="C35" s="16">
        <v>107.28</v>
      </c>
      <c r="D35" s="22">
        <v>8000</v>
      </c>
      <c r="E35" s="16">
        <v>240</v>
      </c>
      <c r="F35" s="16">
        <v>1.5</v>
      </c>
      <c r="G35" s="17">
        <f t="shared" si="0"/>
        <v>3.3978933061501868</v>
      </c>
      <c r="H35" s="17">
        <f t="shared" si="1"/>
        <v>2.0387359836901124</v>
      </c>
      <c r="I35" s="17">
        <f t="shared" si="2"/>
        <v>1.3591573224600748</v>
      </c>
      <c r="J35" s="17">
        <v>0.4</v>
      </c>
      <c r="K35" s="18">
        <v>0.2</v>
      </c>
      <c r="L35" s="22">
        <v>1</v>
      </c>
      <c r="M35" s="16">
        <f t="shared" si="5"/>
        <v>2401</v>
      </c>
      <c r="N35" s="19" t="s">
        <v>53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x14ac:dyDescent="0.35">
      <c r="A36" s="153"/>
      <c r="B36" s="20" t="s">
        <v>56</v>
      </c>
      <c r="C36" s="16">
        <v>107.28</v>
      </c>
      <c r="D36" s="22">
        <v>8000</v>
      </c>
      <c r="E36" s="16">
        <v>240</v>
      </c>
      <c r="F36" s="16">
        <v>1.5</v>
      </c>
      <c r="G36" s="17">
        <f t="shared" si="0"/>
        <v>3.3978933061501868</v>
      </c>
      <c r="H36" s="17">
        <f t="shared" si="1"/>
        <v>2.0387359836901124</v>
      </c>
      <c r="I36" s="17">
        <f t="shared" si="2"/>
        <v>1.3591573224600748</v>
      </c>
      <c r="J36" s="17">
        <v>0.4</v>
      </c>
      <c r="K36" s="18">
        <v>0.2</v>
      </c>
      <c r="L36" s="22">
        <v>1</v>
      </c>
      <c r="M36" s="16">
        <f t="shared" si="5"/>
        <v>2401</v>
      </c>
      <c r="N36" s="19" t="s">
        <v>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x14ac:dyDescent="0.35">
      <c r="A37" s="153"/>
      <c r="B37" s="20" t="s">
        <v>57</v>
      </c>
      <c r="C37" s="16">
        <v>107.28</v>
      </c>
      <c r="D37" s="22">
        <v>1</v>
      </c>
      <c r="E37" s="16">
        <v>240</v>
      </c>
      <c r="F37" s="16">
        <v>1.5</v>
      </c>
      <c r="G37" s="17">
        <f t="shared" si="0"/>
        <v>4.2473666326877334E-4</v>
      </c>
      <c r="H37" s="17">
        <f t="shared" si="1"/>
        <v>2.5484199796126404E-4</v>
      </c>
      <c r="I37" s="17">
        <f t="shared" si="2"/>
        <v>1.6989466530750933E-4</v>
      </c>
      <c r="J37" s="17">
        <v>0.4</v>
      </c>
      <c r="K37" s="18">
        <v>0.2</v>
      </c>
      <c r="L37" s="22">
        <v>1</v>
      </c>
      <c r="M37" s="16">
        <f t="shared" si="5"/>
        <v>1.3</v>
      </c>
      <c r="N37" s="19" t="s">
        <v>53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x14ac:dyDescent="0.35">
      <c r="A38" s="154"/>
      <c r="B38" s="23" t="s">
        <v>58</v>
      </c>
      <c r="C38" s="9">
        <v>107.28</v>
      </c>
      <c r="D38" s="24">
        <v>1</v>
      </c>
      <c r="E38" s="9">
        <v>240</v>
      </c>
      <c r="F38" s="9">
        <v>1.5</v>
      </c>
      <c r="G38" s="11">
        <f t="shared" si="0"/>
        <v>4.2473666326877334E-4</v>
      </c>
      <c r="H38" s="11">
        <f t="shared" si="1"/>
        <v>2.5484199796126404E-4</v>
      </c>
      <c r="I38" s="11">
        <f t="shared" si="2"/>
        <v>1.6989466530750933E-4</v>
      </c>
      <c r="J38" s="11">
        <v>0.4</v>
      </c>
      <c r="K38" s="12">
        <v>0.2</v>
      </c>
      <c r="L38" s="24">
        <v>1</v>
      </c>
      <c r="M38" s="9">
        <f t="shared" si="5"/>
        <v>1.3</v>
      </c>
      <c r="N38" s="14" t="s">
        <v>53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x14ac:dyDescent="0.35">
      <c r="A39" s="152" t="s">
        <v>59</v>
      </c>
      <c r="B39" s="21" t="s">
        <v>60</v>
      </c>
      <c r="C39" s="16">
        <v>95.66</v>
      </c>
      <c r="D39" s="22">
        <v>7000</v>
      </c>
      <c r="E39" s="16">
        <v>200</v>
      </c>
      <c r="F39" s="16">
        <v>1.5</v>
      </c>
      <c r="G39" s="17">
        <f t="shared" si="0"/>
        <v>3.5677879714576961</v>
      </c>
      <c r="H39" s="17">
        <f t="shared" si="1"/>
        <v>2.1406727828746179</v>
      </c>
      <c r="I39" s="17">
        <f t="shared" si="2"/>
        <v>1.4271151885830784</v>
      </c>
      <c r="J39" s="17">
        <v>0.4</v>
      </c>
      <c r="K39" s="18">
        <v>0.2</v>
      </c>
      <c r="L39" s="22">
        <v>36750</v>
      </c>
      <c r="M39" s="16">
        <f t="shared" si="5"/>
        <v>38850</v>
      </c>
      <c r="N39" s="19" t="s">
        <v>61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x14ac:dyDescent="0.35">
      <c r="A40" s="153"/>
      <c r="B40" s="21" t="s">
        <v>62</v>
      </c>
      <c r="C40" s="16">
        <v>95.66</v>
      </c>
      <c r="D40" s="22">
        <v>7000</v>
      </c>
      <c r="E40" s="16">
        <v>205</v>
      </c>
      <c r="F40" s="16">
        <v>1.5</v>
      </c>
      <c r="G40" s="17">
        <f t="shared" si="0"/>
        <v>3.4807687526416546</v>
      </c>
      <c r="H40" s="17">
        <f t="shared" si="1"/>
        <v>2.088461251584993</v>
      </c>
      <c r="I40" s="17">
        <f t="shared" si="2"/>
        <v>1.3923075010566619</v>
      </c>
      <c r="J40" s="17">
        <v>0.4</v>
      </c>
      <c r="K40" s="18">
        <v>0.2</v>
      </c>
      <c r="L40" s="22">
        <v>36750</v>
      </c>
      <c r="M40" s="16">
        <f t="shared" si="5"/>
        <v>38850</v>
      </c>
      <c r="N40" s="19" t="s">
        <v>61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x14ac:dyDescent="0.35">
      <c r="A41" s="153"/>
      <c r="B41" s="21" t="s">
        <v>63</v>
      </c>
      <c r="C41" s="16">
        <v>95.66</v>
      </c>
      <c r="D41" s="22">
        <v>7000</v>
      </c>
      <c r="E41" s="16">
        <v>210</v>
      </c>
      <c r="F41" s="16">
        <v>1.5</v>
      </c>
      <c r="G41" s="17">
        <f t="shared" si="0"/>
        <v>3.3978933061501873</v>
      </c>
      <c r="H41" s="17">
        <f t="shared" si="1"/>
        <v>2.0387359836901124</v>
      </c>
      <c r="I41" s="17">
        <f t="shared" si="2"/>
        <v>1.3591573224600748</v>
      </c>
      <c r="J41" s="17">
        <v>0.4</v>
      </c>
      <c r="K41" s="18">
        <v>0.2</v>
      </c>
      <c r="L41" s="22">
        <v>36750</v>
      </c>
      <c r="M41" s="16">
        <f t="shared" si="5"/>
        <v>38850</v>
      </c>
      <c r="N41" s="19" t="s">
        <v>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x14ac:dyDescent="0.35">
      <c r="A42" s="153"/>
      <c r="B42" s="21" t="s">
        <v>64</v>
      </c>
      <c r="C42" s="16">
        <v>95.66</v>
      </c>
      <c r="D42" s="22">
        <v>7000</v>
      </c>
      <c r="E42" s="16">
        <v>215</v>
      </c>
      <c r="F42" s="16">
        <v>1.5</v>
      </c>
      <c r="G42" s="17">
        <f t="shared" si="0"/>
        <v>3.3188725315885543</v>
      </c>
      <c r="H42" s="17">
        <f t="shared" si="1"/>
        <v>1.9913235189531329</v>
      </c>
      <c r="I42" s="17">
        <f t="shared" si="2"/>
        <v>1.3275490126354217</v>
      </c>
      <c r="J42" s="17">
        <v>0.4</v>
      </c>
      <c r="K42" s="18">
        <v>0.2</v>
      </c>
      <c r="L42" s="22">
        <v>36750</v>
      </c>
      <c r="M42" s="16">
        <f t="shared" si="5"/>
        <v>38850</v>
      </c>
      <c r="N42" s="19" t="s">
        <v>61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x14ac:dyDescent="0.35">
      <c r="A43" s="153"/>
      <c r="B43" s="21" t="s">
        <v>65</v>
      </c>
      <c r="C43" s="16">
        <v>95.66</v>
      </c>
      <c r="D43" s="22">
        <v>7000</v>
      </c>
      <c r="E43" s="16">
        <v>220</v>
      </c>
      <c r="F43" s="16">
        <v>1.5</v>
      </c>
      <c r="G43" s="17">
        <f t="shared" si="0"/>
        <v>3.2434436104160871</v>
      </c>
      <c r="H43" s="17">
        <f t="shared" si="1"/>
        <v>1.9460661662496523</v>
      </c>
      <c r="I43" s="17">
        <f t="shared" si="2"/>
        <v>1.2973774441664347</v>
      </c>
      <c r="J43" s="17">
        <v>0.4</v>
      </c>
      <c r="K43" s="18">
        <v>0.2</v>
      </c>
      <c r="L43" s="22">
        <v>36750</v>
      </c>
      <c r="M43" s="16">
        <f t="shared" si="5"/>
        <v>38850</v>
      </c>
      <c r="N43" s="19" t="s">
        <v>61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x14ac:dyDescent="0.35">
      <c r="A44" s="153"/>
      <c r="B44" s="21" t="s">
        <v>66</v>
      </c>
      <c r="C44" s="16">
        <v>95.66</v>
      </c>
      <c r="D44" s="22">
        <v>7000</v>
      </c>
      <c r="E44" s="16">
        <v>225</v>
      </c>
      <c r="F44" s="16">
        <v>1.5</v>
      </c>
      <c r="G44" s="17">
        <f t="shared" si="0"/>
        <v>3.1713670857401746</v>
      </c>
      <c r="H44" s="17">
        <f t="shared" si="1"/>
        <v>1.9028202514441048</v>
      </c>
      <c r="I44" s="17">
        <f t="shared" si="2"/>
        <v>1.2685468342960697</v>
      </c>
      <c r="J44" s="17">
        <v>0.4</v>
      </c>
      <c r="K44" s="18">
        <v>0.2</v>
      </c>
      <c r="L44" s="22">
        <v>36750</v>
      </c>
      <c r="M44" s="16">
        <f t="shared" si="5"/>
        <v>38850</v>
      </c>
      <c r="N44" s="19" t="s">
        <v>61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x14ac:dyDescent="0.35">
      <c r="A45" s="153"/>
      <c r="B45" s="21" t="s">
        <v>67</v>
      </c>
      <c r="C45" s="16">
        <v>95.66</v>
      </c>
      <c r="D45" s="22">
        <v>7000</v>
      </c>
      <c r="E45" s="16">
        <v>230</v>
      </c>
      <c r="F45" s="16">
        <v>1.5</v>
      </c>
      <c r="G45" s="17">
        <f t="shared" si="0"/>
        <v>3.1024243230066921</v>
      </c>
      <c r="H45" s="17">
        <f t="shared" si="1"/>
        <v>1.8614545938040155</v>
      </c>
      <c r="I45" s="17">
        <f t="shared" si="2"/>
        <v>1.2409697292026769</v>
      </c>
      <c r="J45" s="17">
        <v>0.4</v>
      </c>
      <c r="K45" s="18">
        <v>0.2</v>
      </c>
      <c r="L45" s="22">
        <v>36750</v>
      </c>
      <c r="M45" s="16">
        <f t="shared" si="5"/>
        <v>38850</v>
      </c>
      <c r="N45" s="19" t="s">
        <v>61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x14ac:dyDescent="0.35">
      <c r="A46" s="154"/>
      <c r="B46" s="26" t="s">
        <v>68</v>
      </c>
      <c r="C46" s="9">
        <v>95.66</v>
      </c>
      <c r="D46" s="22">
        <v>7000</v>
      </c>
      <c r="E46" s="9">
        <v>235</v>
      </c>
      <c r="F46" s="9">
        <v>1.5</v>
      </c>
      <c r="G46" s="11">
        <f t="shared" si="0"/>
        <v>3.0364152948576137</v>
      </c>
      <c r="H46" s="11">
        <f t="shared" si="1"/>
        <v>1.8218491769145684</v>
      </c>
      <c r="I46" s="11">
        <f t="shared" si="2"/>
        <v>1.2145661179430456</v>
      </c>
      <c r="J46" s="11">
        <v>0.4</v>
      </c>
      <c r="K46" s="12">
        <v>0.2</v>
      </c>
      <c r="L46" s="22">
        <v>36750</v>
      </c>
      <c r="M46" s="9">
        <f t="shared" si="5"/>
        <v>38850</v>
      </c>
      <c r="N46" s="14" t="s">
        <v>61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x14ac:dyDescent="0.35">
      <c r="A47" s="152"/>
      <c r="B47" s="20" t="s">
        <v>69</v>
      </c>
      <c r="C47" s="16"/>
      <c r="D47" s="16"/>
      <c r="E47" s="16"/>
      <c r="F47" s="16"/>
      <c r="G47" s="17"/>
      <c r="H47" s="17"/>
      <c r="I47" s="17"/>
      <c r="J47" s="17"/>
      <c r="K47" s="18"/>
      <c r="L47" s="16"/>
      <c r="M47" s="16"/>
      <c r="N47" s="1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x14ac:dyDescent="0.35">
      <c r="A48" s="153"/>
      <c r="B48" s="20" t="s">
        <v>70</v>
      </c>
      <c r="C48" s="16"/>
      <c r="D48" s="16"/>
      <c r="E48" s="16"/>
      <c r="F48" s="16"/>
      <c r="G48" s="17"/>
      <c r="H48" s="17"/>
      <c r="I48" s="17"/>
      <c r="J48" s="17"/>
      <c r="K48" s="18"/>
      <c r="L48" s="16"/>
      <c r="M48" s="16"/>
      <c r="N48" s="1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x14ac:dyDescent="0.35">
      <c r="A49" s="153"/>
      <c r="B49" s="20" t="s">
        <v>71</v>
      </c>
      <c r="C49" s="16"/>
      <c r="D49" s="16"/>
      <c r="E49" s="16"/>
      <c r="F49" s="16"/>
      <c r="G49" s="17"/>
      <c r="H49" s="17"/>
      <c r="I49" s="17"/>
      <c r="J49" s="17"/>
      <c r="K49" s="18"/>
      <c r="L49" s="16"/>
      <c r="M49" s="16"/>
      <c r="N49" s="1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x14ac:dyDescent="0.35">
      <c r="A50" s="154"/>
      <c r="B50" s="23" t="s">
        <v>72</v>
      </c>
      <c r="C50" s="9"/>
      <c r="D50" s="9"/>
      <c r="E50" s="9"/>
      <c r="F50" s="9"/>
      <c r="G50" s="11"/>
      <c r="H50" s="11"/>
      <c r="I50" s="11"/>
      <c r="J50" s="11"/>
      <c r="K50" s="12"/>
      <c r="L50" s="9"/>
      <c r="M50" s="9"/>
      <c r="N50" s="1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x14ac:dyDescent="0.3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1"/>
      <c r="M51" s="1"/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x14ac:dyDescent="0.35">
      <c r="A52" s="166" t="s">
        <v>15</v>
      </c>
      <c r="B52" s="160"/>
      <c r="C52" s="167" t="s">
        <v>73</v>
      </c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6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x14ac:dyDescent="0.35">
      <c r="A53" s="171" t="s">
        <v>29</v>
      </c>
      <c r="B53" s="169"/>
      <c r="C53" s="168" t="s">
        <v>74</v>
      </c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6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x14ac:dyDescent="0.35">
      <c r="A54" s="171" t="s">
        <v>43</v>
      </c>
      <c r="B54" s="169"/>
      <c r="C54" s="168" t="s">
        <v>75</v>
      </c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6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x14ac:dyDescent="0.35">
      <c r="A55" s="171" t="s">
        <v>51</v>
      </c>
      <c r="B55" s="169"/>
      <c r="C55" s="168" t="s">
        <v>76</v>
      </c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6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x14ac:dyDescent="0.35">
      <c r="A56" s="172" t="s">
        <v>59</v>
      </c>
      <c r="B56" s="165"/>
      <c r="C56" s="170" t="s">
        <v>77</v>
      </c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x14ac:dyDescent="0.3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1"/>
      <c r="M57" s="1"/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x14ac:dyDescent="0.3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1"/>
      <c r="M58" s="1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x14ac:dyDescent="0.3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1"/>
      <c r="M59" s="1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x14ac:dyDescent="0.3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1"/>
      <c r="M60" s="1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x14ac:dyDescent="0.3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1"/>
      <c r="M61" s="1"/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x14ac:dyDescent="0.3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1"/>
      <c r="M62" s="1"/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x14ac:dyDescent="0.3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1"/>
      <c r="M63" s="1"/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x14ac:dyDescent="0.3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1"/>
      <c r="M64" s="1"/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x14ac:dyDescent="0.3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1"/>
      <c r="M65" s="1"/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x14ac:dyDescent="0.3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1"/>
      <c r="M66" s="1"/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x14ac:dyDescent="0.3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1"/>
      <c r="M67" s="1"/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x14ac:dyDescent="0.3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1"/>
      <c r="M68" s="1"/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x14ac:dyDescent="0.3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1"/>
      <c r="M69" s="1"/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x14ac:dyDescent="0.3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1"/>
      <c r="M70" s="1"/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x14ac:dyDescent="0.3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1"/>
      <c r="M71" s="1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x14ac:dyDescent="0.3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1"/>
      <c r="M72" s="1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x14ac:dyDescent="0.3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1"/>
      <c r="M73" s="1"/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x14ac:dyDescent="0.3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1"/>
      <c r="M74" s="1"/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x14ac:dyDescent="0.3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1"/>
      <c r="M75" s="1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x14ac:dyDescent="0.3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1"/>
      <c r="M76" s="1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x14ac:dyDescent="0.3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1"/>
      <c r="M77" s="1"/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x14ac:dyDescent="0.3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1"/>
      <c r="M78" s="1"/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x14ac:dyDescent="0.3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1"/>
      <c r="M79" s="1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x14ac:dyDescent="0.3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1"/>
      <c r="M80" s="1"/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x14ac:dyDescent="0.3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1"/>
      <c r="M81" s="1"/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x14ac:dyDescent="0.3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1"/>
      <c r="M82" s="1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x14ac:dyDescent="0.3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1"/>
      <c r="M83" s="1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x14ac:dyDescent="0.3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1"/>
      <c r="M84" s="1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x14ac:dyDescent="0.3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1"/>
      <c r="M85" s="1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x14ac:dyDescent="0.3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1"/>
      <c r="M86" s="1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x14ac:dyDescent="0.3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1"/>
      <c r="M87" s="1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x14ac:dyDescent="0.3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1"/>
      <c r="M88" s="1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x14ac:dyDescent="0.3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1"/>
      <c r="M89" s="1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x14ac:dyDescent="0.3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1"/>
      <c r="M90" s="1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x14ac:dyDescent="0.3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1"/>
      <c r="M91" s="1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x14ac:dyDescent="0.3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1"/>
      <c r="M92" s="1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x14ac:dyDescent="0.3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1"/>
      <c r="M93" s="1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x14ac:dyDescent="0.3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1"/>
      <c r="M94" s="1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x14ac:dyDescent="0.3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1"/>
      <c r="M95" s="1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x14ac:dyDescent="0.3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1"/>
      <c r="M96" s="1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x14ac:dyDescent="0.3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1"/>
      <c r="M97" s="1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x14ac:dyDescent="0.3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1"/>
      <c r="M98" s="1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x14ac:dyDescent="0.3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1"/>
      <c r="M99" s="1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x14ac:dyDescent="0.3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1"/>
      <c r="M100" s="1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x14ac:dyDescent="0.3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1"/>
      <c r="M101" s="1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x14ac:dyDescent="0.3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1"/>
      <c r="M102" s="1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x14ac:dyDescent="0.3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1"/>
      <c r="M103" s="1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x14ac:dyDescent="0.3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1"/>
      <c r="M104" s="1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x14ac:dyDescent="0.3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1"/>
      <c r="M105" s="1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x14ac:dyDescent="0.3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1"/>
      <c r="M106" s="1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x14ac:dyDescent="0.3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1"/>
      <c r="M107" s="1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x14ac:dyDescent="0.3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1"/>
      <c r="M108" s="1"/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x14ac:dyDescent="0.3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1"/>
      <c r="M109" s="1"/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x14ac:dyDescent="0.3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1"/>
      <c r="M110" s="1"/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x14ac:dyDescent="0.3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1"/>
      <c r="M111" s="1"/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3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1"/>
      <c r="M112" s="1"/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3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1"/>
      <c r="M113" s="1"/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3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1"/>
      <c r="M114" s="1"/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3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1"/>
      <c r="M115" s="1"/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3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1"/>
      <c r="M116" s="1"/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3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1"/>
      <c r="M117" s="1"/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3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1"/>
      <c r="M118" s="1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3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1"/>
      <c r="M119" s="1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3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1"/>
      <c r="M120" s="1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3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1"/>
      <c r="M121" s="1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3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1"/>
      <c r="M122" s="1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3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1"/>
      <c r="M123" s="1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3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1"/>
      <c r="M124" s="1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3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1"/>
      <c r="M125" s="1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3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1"/>
      <c r="M126" s="1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3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1"/>
      <c r="M127" s="1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3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1"/>
      <c r="M128" s="1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3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1"/>
      <c r="M129" s="1"/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3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1"/>
      <c r="M130" s="1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3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1"/>
      <c r="M131" s="1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3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1"/>
      <c r="M132" s="1"/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3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1"/>
      <c r="M133" s="1"/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3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1"/>
      <c r="M134" s="1"/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3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1"/>
      <c r="M135" s="1"/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3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1"/>
      <c r="M136" s="1"/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3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1"/>
      <c r="M137" s="1"/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3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1"/>
      <c r="M138" s="1"/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3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1"/>
      <c r="M139" s="1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3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1"/>
      <c r="M140" s="1"/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3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1"/>
      <c r="M141" s="1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3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1"/>
      <c r="M142" s="1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3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1"/>
      <c r="M143" s="1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3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1"/>
      <c r="M144" s="1"/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3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1"/>
      <c r="M145" s="1"/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3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1"/>
      <c r="M146" s="1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3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1"/>
      <c r="M147" s="1"/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3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1"/>
      <c r="M148" s="1"/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3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1"/>
      <c r="M149" s="1"/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3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1"/>
      <c r="M150" s="1"/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3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1"/>
      <c r="M151" s="1"/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3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1"/>
      <c r="M152" s="1"/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3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1"/>
      <c r="M153" s="1"/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3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1"/>
      <c r="M154" s="1"/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3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1"/>
      <c r="M155" s="1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3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1"/>
      <c r="M156" s="1"/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3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1"/>
      <c r="M157" s="1"/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3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1"/>
      <c r="M158" s="1"/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3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1"/>
      <c r="M159" s="1"/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3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1"/>
      <c r="M160" s="1"/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3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1"/>
      <c r="M161" s="1"/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3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1"/>
      <c r="M162" s="1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3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1"/>
      <c r="M163" s="1"/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3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1"/>
      <c r="M164" s="1"/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3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1"/>
      <c r="M165" s="1"/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3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1"/>
      <c r="M166" s="1"/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3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3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3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1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3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1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3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1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3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1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3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1"/>
      <c r="M173" s="1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3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1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3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1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3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1"/>
      <c r="M176" s="1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3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1"/>
      <c r="M177" s="1"/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3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1"/>
      <c r="M178" s="1"/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3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1"/>
      <c r="M179" s="1"/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3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1"/>
      <c r="M180" s="1"/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3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1"/>
      <c r="M181" s="1"/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3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1"/>
      <c r="M182" s="1"/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3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1"/>
      <c r="M183" s="1"/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3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1"/>
      <c r="M184" s="1"/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3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1"/>
      <c r="M185" s="1"/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3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1"/>
      <c r="M186" s="1"/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3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1"/>
      <c r="M187" s="1"/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3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1"/>
      <c r="M188" s="1"/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3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1"/>
      <c r="M189" s="1"/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3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1"/>
      <c r="M190" s="1"/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3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1"/>
      <c r="M191" s="1"/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3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1"/>
      <c r="M192" s="1"/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3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1"/>
      <c r="M193" s="1"/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3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1"/>
      <c r="M194" s="1"/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3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1"/>
      <c r="M195" s="1"/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3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1"/>
      <c r="M196" s="1"/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3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1"/>
      <c r="M197" s="1"/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3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1"/>
      <c r="M198" s="1"/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3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1"/>
      <c r="M199" s="1"/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3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1"/>
      <c r="M200" s="1"/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3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1"/>
      <c r="M201" s="1"/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3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1"/>
      <c r="M202" s="1"/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3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1"/>
      <c r="M203" s="1"/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3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1"/>
      <c r="M204" s="1"/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3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1"/>
      <c r="M205" s="1"/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3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1"/>
      <c r="M206" s="1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3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1"/>
      <c r="M207" s="1"/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3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1"/>
      <c r="M208" s="1"/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3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1"/>
      <c r="M209" s="1"/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3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1"/>
      <c r="M210" s="1"/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3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1"/>
      <c r="M211" s="1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3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1"/>
      <c r="M212" s="1"/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3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1"/>
      <c r="M213" s="1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3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1"/>
      <c r="M214" s="1"/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3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1"/>
      <c r="M215" s="1"/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3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1"/>
      <c r="M216" s="1"/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3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1"/>
      <c r="M217" s="1"/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3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1"/>
      <c r="M218" s="1"/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3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1"/>
      <c r="M219" s="1"/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3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1"/>
      <c r="M220" s="1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3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1"/>
      <c r="M221" s="1"/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3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1"/>
      <c r="M222" s="1"/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3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1"/>
      <c r="M223" s="1"/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3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1"/>
      <c r="M224" s="1"/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3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1"/>
      <c r="M225" s="1"/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3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1"/>
      <c r="M226" s="1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3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1"/>
      <c r="M227" s="1"/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3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1"/>
      <c r="M228" s="1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3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1"/>
      <c r="M229" s="1"/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3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1"/>
      <c r="M230" s="1"/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3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1"/>
      <c r="M231" s="1"/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3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1"/>
      <c r="M232" s="1"/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3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1"/>
      <c r="M233" s="1"/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3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1"/>
      <c r="M234" s="1"/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3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1"/>
      <c r="M235" s="1"/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3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1"/>
      <c r="M236" s="1"/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3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1"/>
      <c r="M237" s="1"/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3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1"/>
      <c r="M238" s="1"/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3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1"/>
      <c r="M239" s="1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3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1"/>
      <c r="M240" s="1"/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3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1"/>
      <c r="M241" s="1"/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3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1"/>
      <c r="M242" s="1"/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3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1"/>
      <c r="M243" s="1"/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3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1"/>
      <c r="M244" s="1"/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3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1"/>
      <c r="M245" s="1"/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3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1"/>
      <c r="M246" s="1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3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1"/>
      <c r="M247" s="1"/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3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1"/>
      <c r="M248" s="1"/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3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1"/>
      <c r="M249" s="1"/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3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1"/>
      <c r="M250" s="1"/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3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1"/>
      <c r="M251" s="1"/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3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1"/>
      <c r="M252" s="1"/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3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1"/>
      <c r="M253" s="1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3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1"/>
      <c r="M254" s="1"/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3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1"/>
      <c r="M255" s="1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3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1"/>
      <c r="M256" s="1"/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3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1"/>
      <c r="M257" s="1"/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3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1"/>
      <c r="M258" s="1"/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3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1"/>
      <c r="M259" s="1"/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3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1"/>
      <c r="M260" s="1"/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3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1"/>
      <c r="M261" s="1"/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3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1"/>
      <c r="M262" s="1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3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1"/>
      <c r="M263" s="1"/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3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1"/>
      <c r="M264" s="1"/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3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1"/>
      <c r="M265" s="1"/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3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1"/>
      <c r="M266" s="1"/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3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1"/>
      <c r="M267" s="1"/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3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1"/>
      <c r="M268" s="1"/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3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1"/>
      <c r="M269" s="1"/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3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1"/>
      <c r="M270" s="1"/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3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1"/>
      <c r="M271" s="1"/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3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1"/>
      <c r="M272" s="1"/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3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1"/>
      <c r="M273" s="1"/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3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1"/>
      <c r="M274" s="1"/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3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1"/>
      <c r="M275" s="1"/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3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1"/>
      <c r="M276" s="1"/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3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1"/>
      <c r="M277" s="1"/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3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1"/>
      <c r="M278" s="1"/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3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1"/>
      <c r="M279" s="1"/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3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1"/>
      <c r="M280" s="1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3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1"/>
      <c r="M281" s="1"/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3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1"/>
      <c r="M282" s="1"/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3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1"/>
      <c r="M283" s="1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3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1"/>
      <c r="M284" s="1"/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3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1"/>
      <c r="M285" s="1"/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3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1"/>
      <c r="M286" s="1"/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3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1"/>
      <c r="M287" s="1"/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3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1"/>
      <c r="M288" s="1"/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3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1"/>
      <c r="M289" s="1"/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3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1"/>
      <c r="M290" s="1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3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1"/>
      <c r="M291" s="1"/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3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1"/>
      <c r="M292" s="1"/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3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1"/>
      <c r="M293" s="1"/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3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1"/>
      <c r="M294" s="1"/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3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1"/>
      <c r="M295" s="1"/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3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1"/>
      <c r="M296" s="1"/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3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1"/>
      <c r="M297" s="1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3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1"/>
      <c r="M298" s="1"/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3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1"/>
      <c r="M299" s="1"/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3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1"/>
      <c r="M300" s="1"/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3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1"/>
      <c r="M301" s="1"/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3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1"/>
      <c r="M302" s="1"/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3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1"/>
      <c r="M303" s="1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3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1"/>
      <c r="M304" s="1"/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3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1"/>
      <c r="M305" s="1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3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1"/>
      <c r="M306" s="1"/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3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1"/>
      <c r="M307" s="1"/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3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1"/>
      <c r="M308" s="1"/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3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1"/>
      <c r="M309" s="1"/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3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1"/>
      <c r="M310" s="1"/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3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1"/>
      <c r="M311" s="1"/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3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1"/>
      <c r="M312" s="1"/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3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1"/>
      <c r="M313" s="1"/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3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1"/>
      <c r="M314" s="1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3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1"/>
      <c r="M315" s="1"/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3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1"/>
      <c r="M316" s="1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3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1"/>
      <c r="M317" s="1"/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3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1"/>
      <c r="M318" s="1"/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3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1"/>
      <c r="M319" s="1"/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3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1"/>
      <c r="M320" s="1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3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1"/>
      <c r="M321" s="1"/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3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1"/>
      <c r="M322" s="1"/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3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1"/>
      <c r="M323" s="1"/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3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1"/>
      <c r="M324" s="1"/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3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1"/>
      <c r="M325" s="1"/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3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1"/>
      <c r="M326" s="1"/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3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1"/>
      <c r="M327" s="1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3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1"/>
      <c r="M328" s="1"/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3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1"/>
      <c r="M329" s="1"/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3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1"/>
      <c r="M330" s="1"/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3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1"/>
      <c r="M331" s="1"/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3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1"/>
      <c r="M332" s="1"/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3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1"/>
      <c r="M333" s="1"/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3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1"/>
      <c r="M334" s="1"/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3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1"/>
      <c r="M335" s="1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3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1"/>
      <c r="M336" s="1"/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3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1"/>
      <c r="M337" s="1"/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3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1"/>
      <c r="M338" s="1"/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3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1"/>
      <c r="M339" s="1"/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3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1"/>
      <c r="M340" s="1"/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3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1"/>
      <c r="M341" s="1"/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3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1"/>
      <c r="M342" s="1"/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3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1"/>
      <c r="M343" s="1"/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3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1"/>
      <c r="M344" s="1"/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3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1"/>
      <c r="M345" s="1"/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3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1"/>
      <c r="M346" s="1"/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3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1"/>
      <c r="M347" s="1"/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3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1"/>
      <c r="M348" s="1"/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3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1"/>
      <c r="M349" s="1"/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3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1"/>
      <c r="M350" s="1"/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3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1"/>
      <c r="M351" s="1"/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3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1"/>
      <c r="M352" s="1"/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3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1"/>
      <c r="M353" s="1"/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3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1"/>
      <c r="M354" s="1"/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3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1"/>
      <c r="M355" s="1"/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3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1"/>
      <c r="M356" s="1"/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3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1"/>
      <c r="M357" s="1"/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3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1"/>
      <c r="M358" s="1"/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3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1"/>
      <c r="M359" s="1"/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3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1"/>
      <c r="M360" s="1"/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3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1"/>
      <c r="M361" s="1"/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3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1"/>
      <c r="M362" s="1"/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3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1"/>
      <c r="M363" s="1"/>
      <c r="N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3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1"/>
      <c r="M364" s="1"/>
      <c r="N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3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1"/>
      <c r="M365" s="1"/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3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1"/>
      <c r="M366" s="1"/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3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1"/>
      <c r="M367" s="1"/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3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1"/>
      <c r="M368" s="1"/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3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1"/>
      <c r="M369" s="1"/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3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1"/>
      <c r="M370" s="1"/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3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1"/>
      <c r="M371" s="1"/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3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1"/>
      <c r="M372" s="1"/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3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1"/>
      <c r="M373" s="1"/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3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1"/>
      <c r="M374" s="1"/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3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1"/>
      <c r="M375" s="1"/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3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1"/>
      <c r="M376" s="1"/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3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1"/>
      <c r="M377" s="1"/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3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1"/>
      <c r="M378" s="1"/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3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1"/>
      <c r="M379" s="1"/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3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1"/>
      <c r="M380" s="1"/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3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1"/>
      <c r="M381" s="1"/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3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1"/>
      <c r="M382" s="1"/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3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1"/>
      <c r="M383" s="1"/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3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1"/>
      <c r="M384" s="1"/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3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1"/>
      <c r="M385" s="1"/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3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1"/>
      <c r="M386" s="1"/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3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1"/>
      <c r="M387" s="1"/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3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1"/>
      <c r="M388" s="1"/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3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1"/>
      <c r="M389" s="1"/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3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1"/>
      <c r="M390" s="1"/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3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1"/>
      <c r="M391" s="1"/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3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1"/>
      <c r="M392" s="1"/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3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1"/>
      <c r="M393" s="1"/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3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1"/>
      <c r="M394" s="1"/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3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1"/>
      <c r="M395" s="1"/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3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1"/>
      <c r="M396" s="1"/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3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1"/>
      <c r="M397" s="1"/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3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1"/>
      <c r="M398" s="1"/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3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1"/>
      <c r="M399" s="1"/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3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1"/>
      <c r="M400" s="1"/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3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1"/>
      <c r="M401" s="1"/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3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1"/>
      <c r="M402" s="1"/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3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1"/>
      <c r="M403" s="1"/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3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1"/>
      <c r="M404" s="1"/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3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1"/>
      <c r="M405" s="1"/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3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1"/>
      <c r="M406" s="1"/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3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1"/>
      <c r="M407" s="1"/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3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1"/>
      <c r="M408" s="1"/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3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1"/>
      <c r="M409" s="1"/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3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1"/>
      <c r="M410" s="1"/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3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1"/>
      <c r="M411" s="1"/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3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1"/>
      <c r="M412" s="1"/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3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1"/>
      <c r="M413" s="1"/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3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1"/>
      <c r="M414" s="1"/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3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1"/>
      <c r="M415" s="1"/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3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1"/>
      <c r="M416" s="1"/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3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1"/>
      <c r="M417" s="1"/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3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1"/>
      <c r="M418" s="1"/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3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1"/>
      <c r="M419" s="1"/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3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1"/>
      <c r="M420" s="1"/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3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1"/>
      <c r="M421" s="1"/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3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1"/>
      <c r="M422" s="1"/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3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1"/>
      <c r="M423" s="1"/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3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1"/>
      <c r="M424" s="1"/>
      <c r="N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3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1"/>
      <c r="M425" s="1"/>
      <c r="N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3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1"/>
      <c r="M426" s="1"/>
      <c r="N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3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1"/>
      <c r="M427" s="1"/>
      <c r="N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3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1"/>
      <c r="M428" s="1"/>
      <c r="N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3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1"/>
      <c r="M429" s="1"/>
      <c r="N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3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1"/>
      <c r="M430" s="1"/>
      <c r="N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3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1"/>
      <c r="M431" s="1"/>
      <c r="N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3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1"/>
      <c r="M432" s="1"/>
      <c r="N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3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1"/>
      <c r="M433" s="1"/>
      <c r="N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3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1"/>
      <c r="M434" s="1"/>
      <c r="N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3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1"/>
      <c r="M435" s="1"/>
      <c r="N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3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1"/>
      <c r="M436" s="1"/>
      <c r="N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3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1"/>
      <c r="M437" s="1"/>
      <c r="N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3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1"/>
      <c r="M438" s="1"/>
      <c r="N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3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1"/>
      <c r="M439" s="1"/>
      <c r="N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3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1"/>
      <c r="M440" s="1"/>
      <c r="N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3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1"/>
      <c r="M441" s="1"/>
      <c r="N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3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1"/>
      <c r="M442" s="1"/>
      <c r="N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3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1"/>
      <c r="M443" s="1"/>
      <c r="N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3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1"/>
      <c r="M444" s="1"/>
      <c r="N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3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1"/>
      <c r="M445" s="1"/>
      <c r="N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3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1"/>
      <c r="M446" s="1"/>
      <c r="N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3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1"/>
      <c r="M447" s="1"/>
      <c r="N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3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1"/>
      <c r="M448" s="1"/>
      <c r="N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3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1"/>
      <c r="M449" s="1"/>
      <c r="N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3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1"/>
      <c r="M450" s="1"/>
      <c r="N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3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1"/>
      <c r="M451" s="1"/>
      <c r="N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3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1"/>
      <c r="M452" s="1"/>
      <c r="N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3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1"/>
      <c r="M453" s="1"/>
      <c r="N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3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1"/>
      <c r="M454" s="1"/>
      <c r="N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3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1"/>
      <c r="M455" s="1"/>
      <c r="N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3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1"/>
      <c r="M456" s="1"/>
      <c r="N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3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1"/>
      <c r="M457" s="1"/>
      <c r="N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3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1"/>
      <c r="M458" s="1"/>
      <c r="N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3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1"/>
      <c r="M459" s="1"/>
      <c r="N459" s="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3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1"/>
      <c r="M460" s="1"/>
      <c r="N460" s="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3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1"/>
      <c r="M461" s="1"/>
      <c r="N461" s="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3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1"/>
      <c r="M462" s="1"/>
      <c r="N462" s="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3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1"/>
      <c r="M463" s="1"/>
      <c r="N463" s="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3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1"/>
      <c r="M464" s="1"/>
      <c r="N464" s="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3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1"/>
      <c r="M465" s="1"/>
      <c r="N465" s="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3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1"/>
      <c r="M466" s="1"/>
      <c r="N466" s="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3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1"/>
      <c r="M467" s="1"/>
      <c r="N467" s="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3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1"/>
      <c r="M468" s="1"/>
      <c r="N468" s="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3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1"/>
      <c r="M469" s="1"/>
      <c r="N469" s="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3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1"/>
      <c r="M470" s="1"/>
      <c r="N470" s="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3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1"/>
      <c r="M471" s="1"/>
      <c r="N471" s="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3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1"/>
      <c r="M472" s="1"/>
      <c r="N472" s="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3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1"/>
      <c r="M473" s="1"/>
      <c r="N473" s="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3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1"/>
      <c r="M474" s="1"/>
      <c r="N474" s="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3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1"/>
      <c r="M475" s="1"/>
      <c r="N475" s="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3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1"/>
      <c r="M476" s="1"/>
      <c r="N476" s="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3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1"/>
      <c r="M477" s="1"/>
      <c r="N477" s="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3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1"/>
      <c r="M478" s="1"/>
      <c r="N478" s="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3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1"/>
      <c r="M479" s="1"/>
      <c r="N479" s="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3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1"/>
      <c r="M480" s="1"/>
      <c r="N480" s="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3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1"/>
      <c r="M481" s="1"/>
      <c r="N481" s="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3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1"/>
      <c r="M482" s="1"/>
      <c r="N482" s="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3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1"/>
      <c r="M483" s="1"/>
      <c r="N483" s="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3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1"/>
      <c r="M484" s="1"/>
      <c r="N484" s="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3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1"/>
      <c r="M485" s="1"/>
      <c r="N485" s="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3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1"/>
      <c r="M486" s="1"/>
      <c r="N486" s="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3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1"/>
      <c r="M487" s="1"/>
      <c r="N487" s="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3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1"/>
      <c r="M488" s="1"/>
      <c r="N488" s="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3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1"/>
      <c r="M489" s="1"/>
      <c r="N489" s="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3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1"/>
      <c r="M490" s="1"/>
      <c r="N490" s="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3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1"/>
      <c r="M491" s="1"/>
      <c r="N491" s="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3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1"/>
      <c r="M492" s="1"/>
      <c r="N492" s="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3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1"/>
      <c r="M493" s="1"/>
      <c r="N493" s="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3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1"/>
      <c r="M494" s="1"/>
      <c r="N494" s="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3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1"/>
      <c r="M495" s="1"/>
      <c r="N495" s="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3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1"/>
      <c r="M496" s="1"/>
      <c r="N496" s="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3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1"/>
      <c r="M497" s="1"/>
      <c r="N497" s="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3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1"/>
      <c r="M498" s="1"/>
      <c r="N498" s="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3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1"/>
      <c r="M499" s="1"/>
      <c r="N499" s="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3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1"/>
      <c r="M500" s="1"/>
      <c r="N500" s="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3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1"/>
      <c r="M501" s="1"/>
      <c r="N501" s="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3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1"/>
      <c r="M502" s="1"/>
      <c r="N502" s="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3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1"/>
      <c r="M503" s="1"/>
      <c r="N503" s="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3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1"/>
      <c r="M504" s="1"/>
      <c r="N504" s="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3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1"/>
      <c r="M505" s="1"/>
      <c r="N505" s="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3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1"/>
      <c r="M506" s="1"/>
      <c r="N506" s="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3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1"/>
      <c r="M507" s="1"/>
      <c r="N507" s="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3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1"/>
      <c r="M508" s="1"/>
      <c r="N508" s="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3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1"/>
      <c r="M509" s="1"/>
      <c r="N509" s="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3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1"/>
      <c r="M510" s="1"/>
      <c r="N510" s="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3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1"/>
      <c r="M511" s="1"/>
      <c r="N511" s="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3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1"/>
      <c r="M512" s="1"/>
      <c r="N512" s="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3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1"/>
      <c r="M513" s="1"/>
      <c r="N513" s="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3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1"/>
      <c r="M514" s="1"/>
      <c r="N514" s="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3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1"/>
      <c r="M515" s="1"/>
      <c r="N515" s="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3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1"/>
      <c r="M516" s="1"/>
      <c r="N516" s="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3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1"/>
      <c r="M517" s="1"/>
      <c r="N517" s="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3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1"/>
      <c r="M518" s="1"/>
      <c r="N518" s="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3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1"/>
      <c r="M519" s="1"/>
      <c r="N519" s="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3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1"/>
      <c r="M520" s="1"/>
      <c r="N520" s="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3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1"/>
      <c r="M521" s="1"/>
      <c r="N521" s="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3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1"/>
      <c r="M522" s="1"/>
      <c r="N522" s="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3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1"/>
      <c r="M523" s="1"/>
      <c r="N523" s="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3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1"/>
      <c r="M524" s="1"/>
      <c r="N524" s="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3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1"/>
      <c r="M525" s="1"/>
      <c r="N525" s="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3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1"/>
      <c r="M526" s="1"/>
      <c r="N526" s="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3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1"/>
      <c r="M527" s="1"/>
      <c r="N527" s="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3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1"/>
      <c r="M528" s="1"/>
      <c r="N528" s="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3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1"/>
      <c r="M529" s="1"/>
      <c r="N529" s="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3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1"/>
      <c r="M530" s="1"/>
      <c r="N530" s="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3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1"/>
      <c r="M531" s="1"/>
      <c r="N531" s="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3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1"/>
      <c r="M532" s="1"/>
      <c r="N532" s="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3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1"/>
      <c r="M533" s="1"/>
      <c r="N533" s="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3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1"/>
      <c r="M534" s="1"/>
      <c r="N534" s="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3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1"/>
      <c r="M535" s="1"/>
      <c r="N535" s="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3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1"/>
      <c r="M536" s="1"/>
      <c r="N536" s="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3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1"/>
      <c r="M537" s="1"/>
      <c r="N537" s="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3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1"/>
      <c r="M538" s="1"/>
      <c r="N538" s="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3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1"/>
      <c r="M539" s="1"/>
      <c r="N539" s="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3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1"/>
      <c r="M540" s="1"/>
      <c r="N540" s="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3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1"/>
      <c r="M541" s="1"/>
      <c r="N541" s="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3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1"/>
      <c r="M542" s="1"/>
      <c r="N542" s="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3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1"/>
      <c r="M543" s="1"/>
      <c r="N543" s="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3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1"/>
      <c r="M544" s="1"/>
      <c r="N544" s="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3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1"/>
      <c r="M545" s="1"/>
      <c r="N545" s="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3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1"/>
      <c r="M546" s="1"/>
      <c r="N546" s="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3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1"/>
      <c r="M547" s="1"/>
      <c r="N547" s="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3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1"/>
      <c r="M548" s="1"/>
      <c r="N548" s="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3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1"/>
      <c r="M549" s="1"/>
      <c r="N549" s="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3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1"/>
      <c r="M550" s="1"/>
      <c r="N550" s="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3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1"/>
      <c r="M551" s="1"/>
      <c r="N551" s="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3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1"/>
      <c r="M552" s="1"/>
      <c r="N552" s="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3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1"/>
      <c r="M553" s="1"/>
      <c r="N553" s="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3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1"/>
      <c r="M554" s="1"/>
      <c r="N554" s="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3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1"/>
      <c r="M555" s="1"/>
      <c r="N555" s="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3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1"/>
      <c r="M556" s="1"/>
      <c r="N556" s="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3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1"/>
      <c r="M557" s="1"/>
      <c r="N557" s="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3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1"/>
      <c r="M558" s="1"/>
      <c r="N558" s="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3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1"/>
      <c r="M559" s="1"/>
      <c r="N559" s="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3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1"/>
      <c r="M560" s="1"/>
      <c r="N560" s="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3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1"/>
      <c r="M561" s="1"/>
      <c r="N561" s="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3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1"/>
      <c r="M562" s="1"/>
      <c r="N562" s="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3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1"/>
      <c r="M563" s="1"/>
      <c r="N563" s="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3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1"/>
      <c r="M564" s="1"/>
      <c r="N564" s="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3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1"/>
      <c r="M565" s="1"/>
      <c r="N565" s="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3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1"/>
      <c r="M566" s="1"/>
      <c r="N566" s="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3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1"/>
      <c r="M567" s="1"/>
      <c r="N567" s="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3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1"/>
      <c r="M568" s="1"/>
      <c r="N568" s="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3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1"/>
      <c r="M569" s="1"/>
      <c r="N569" s="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3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1"/>
      <c r="M570" s="1"/>
      <c r="N570" s="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3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1"/>
      <c r="M571" s="1"/>
      <c r="N571" s="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3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1"/>
      <c r="M572" s="1"/>
      <c r="N572" s="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3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1"/>
      <c r="M573" s="1"/>
      <c r="N573" s="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3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1"/>
      <c r="M574" s="1"/>
      <c r="N574" s="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3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1"/>
      <c r="M575" s="1"/>
      <c r="N575" s="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3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1"/>
      <c r="M576" s="1"/>
      <c r="N576" s="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3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1"/>
      <c r="M577" s="1"/>
      <c r="N577" s="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3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1"/>
      <c r="M578" s="1"/>
      <c r="N578" s="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3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1"/>
      <c r="M579" s="1"/>
      <c r="N579" s="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3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1"/>
      <c r="M580" s="1"/>
      <c r="N580" s="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3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1"/>
      <c r="M581" s="1"/>
      <c r="N581" s="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3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1"/>
      <c r="M582" s="1"/>
      <c r="N582" s="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3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1"/>
      <c r="M583" s="1"/>
      <c r="N583" s="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3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1"/>
      <c r="M584" s="1"/>
      <c r="N584" s="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3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1"/>
      <c r="M585" s="1"/>
      <c r="N585" s="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3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1"/>
      <c r="M586" s="1"/>
      <c r="N586" s="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3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1"/>
      <c r="M587" s="1"/>
      <c r="N587" s="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3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1"/>
      <c r="M588" s="1"/>
      <c r="N588" s="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3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1"/>
      <c r="M589" s="1"/>
      <c r="N589" s="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3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1"/>
      <c r="M590" s="1"/>
      <c r="N590" s="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3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1"/>
      <c r="M591" s="1"/>
      <c r="N591" s="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3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1"/>
      <c r="M592" s="1"/>
      <c r="N592" s="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3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1"/>
      <c r="M593" s="1"/>
      <c r="N593" s="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3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1"/>
      <c r="M594" s="1"/>
      <c r="N594" s="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3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1"/>
      <c r="M595" s="1"/>
      <c r="N595" s="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3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1"/>
      <c r="M596" s="1"/>
      <c r="N596" s="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3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1"/>
      <c r="M597" s="1"/>
      <c r="N597" s="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3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1"/>
      <c r="M598" s="1"/>
      <c r="N598" s="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3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1"/>
      <c r="M599" s="1"/>
      <c r="N599" s="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3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1"/>
      <c r="M600" s="1"/>
      <c r="N600" s="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3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1"/>
      <c r="M601" s="1"/>
      <c r="N601" s="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3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1"/>
      <c r="M602" s="1"/>
      <c r="N602" s="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3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1"/>
      <c r="M603" s="1"/>
      <c r="N603" s="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3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1"/>
      <c r="M604" s="1"/>
      <c r="N604" s="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3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1"/>
      <c r="M605" s="1"/>
      <c r="N605" s="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3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1"/>
      <c r="M606" s="1"/>
      <c r="N606" s="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3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1"/>
      <c r="M607" s="1"/>
      <c r="N607" s="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3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1"/>
      <c r="M608" s="1"/>
      <c r="N608" s="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3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1"/>
      <c r="M609" s="1"/>
      <c r="N609" s="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3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1"/>
      <c r="M610" s="1"/>
      <c r="N610" s="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3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1"/>
      <c r="M611" s="1"/>
      <c r="N611" s="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3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1"/>
      <c r="M612" s="1"/>
      <c r="N612" s="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3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1"/>
      <c r="M613" s="1"/>
      <c r="N613" s="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3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1"/>
      <c r="M614" s="1"/>
      <c r="N614" s="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3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1"/>
      <c r="M615" s="1"/>
      <c r="N615" s="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3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1"/>
      <c r="M616" s="1"/>
      <c r="N616" s="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3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1"/>
      <c r="M617" s="1"/>
      <c r="N617" s="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3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1"/>
      <c r="M618" s="1"/>
      <c r="N618" s="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3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1"/>
      <c r="M619" s="1"/>
      <c r="N619" s="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3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1"/>
      <c r="M620" s="1"/>
      <c r="N620" s="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3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1"/>
      <c r="M621" s="1"/>
      <c r="N621" s="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3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1"/>
      <c r="M622" s="1"/>
      <c r="N622" s="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3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1"/>
      <c r="M623" s="1"/>
      <c r="N623" s="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3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1"/>
      <c r="M624" s="1"/>
      <c r="N624" s="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3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1"/>
      <c r="M625" s="1"/>
      <c r="N625" s="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3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1"/>
      <c r="M626" s="1"/>
      <c r="N626" s="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3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1"/>
      <c r="M627" s="1"/>
      <c r="N627" s="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3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1"/>
      <c r="M628" s="1"/>
      <c r="N628" s="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3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1"/>
      <c r="M629" s="1"/>
      <c r="N629" s="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3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1"/>
      <c r="M630" s="1"/>
      <c r="N630" s="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3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1"/>
      <c r="M631" s="1"/>
      <c r="N631" s="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3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1"/>
      <c r="M632" s="1"/>
      <c r="N632" s="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3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1"/>
      <c r="M633" s="1"/>
      <c r="N633" s="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3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1"/>
      <c r="M634" s="1"/>
      <c r="N634" s="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3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1"/>
      <c r="M635" s="1"/>
      <c r="N635" s="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3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1"/>
      <c r="M636" s="1"/>
      <c r="N636" s="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3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1"/>
      <c r="M637" s="1"/>
      <c r="N637" s="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3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1"/>
      <c r="M638" s="1"/>
      <c r="N638" s="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3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1"/>
      <c r="M639" s="1"/>
      <c r="N639" s="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3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1"/>
      <c r="M640" s="1"/>
      <c r="N640" s="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3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1"/>
      <c r="M641" s="1"/>
      <c r="N641" s="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3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1"/>
      <c r="M642" s="1"/>
      <c r="N642" s="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3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1"/>
      <c r="M643" s="1"/>
      <c r="N643" s="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3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1"/>
      <c r="M644" s="1"/>
      <c r="N644" s="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3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1"/>
      <c r="M645" s="1"/>
      <c r="N645" s="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3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1"/>
      <c r="M646" s="1"/>
      <c r="N646" s="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3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1"/>
      <c r="M647" s="1"/>
      <c r="N647" s="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3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1"/>
      <c r="M648" s="1"/>
      <c r="N648" s="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3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1"/>
      <c r="M649" s="1"/>
      <c r="N649" s="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3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1"/>
      <c r="M650" s="1"/>
      <c r="N650" s="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3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1"/>
      <c r="M651" s="1"/>
      <c r="N651" s="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3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1"/>
      <c r="M652" s="1"/>
      <c r="N652" s="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3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1"/>
      <c r="M653" s="1"/>
      <c r="N653" s="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3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1"/>
      <c r="M654" s="1"/>
      <c r="N654" s="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3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1"/>
      <c r="M655" s="1"/>
      <c r="N655" s="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3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1"/>
      <c r="M656" s="1"/>
      <c r="N656" s="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3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1"/>
      <c r="M657" s="1"/>
      <c r="N657" s="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3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1"/>
      <c r="M658" s="1"/>
      <c r="N658" s="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3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1"/>
      <c r="M659" s="1"/>
      <c r="N659" s="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3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1"/>
      <c r="M660" s="1"/>
      <c r="N660" s="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3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1"/>
      <c r="M661" s="1"/>
      <c r="N661" s="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3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1"/>
      <c r="M662" s="1"/>
      <c r="N662" s="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3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1"/>
      <c r="M663" s="1"/>
      <c r="N663" s="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3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1"/>
      <c r="M664" s="1"/>
      <c r="N664" s="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3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1"/>
      <c r="M665" s="1"/>
      <c r="N665" s="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3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1"/>
      <c r="M666" s="1"/>
      <c r="N666" s="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3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1"/>
      <c r="M667" s="1"/>
      <c r="N667" s="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3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1"/>
      <c r="M668" s="1"/>
      <c r="N668" s="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3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1"/>
      <c r="M669" s="1"/>
      <c r="N669" s="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3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1"/>
      <c r="M670" s="1"/>
      <c r="N670" s="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3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1"/>
      <c r="M671" s="1"/>
      <c r="N671" s="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3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1"/>
      <c r="M672" s="1"/>
      <c r="N672" s="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3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1"/>
      <c r="M673" s="1"/>
      <c r="N673" s="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3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1"/>
      <c r="M674" s="1"/>
      <c r="N674" s="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3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1"/>
      <c r="M675" s="1"/>
      <c r="N675" s="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3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1"/>
      <c r="M676" s="1"/>
      <c r="N676" s="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3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1"/>
      <c r="M677" s="1"/>
      <c r="N677" s="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3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1"/>
      <c r="M678" s="1"/>
      <c r="N678" s="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3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1"/>
      <c r="M679" s="1"/>
      <c r="N679" s="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3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1"/>
      <c r="M680" s="1"/>
      <c r="N680" s="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3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1"/>
      <c r="M681" s="1"/>
      <c r="N681" s="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3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1"/>
      <c r="M682" s="1"/>
      <c r="N682" s="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3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1"/>
      <c r="M683" s="1"/>
      <c r="N683" s="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3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1"/>
      <c r="M684" s="1"/>
      <c r="N684" s="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3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1"/>
      <c r="M685" s="1"/>
      <c r="N685" s="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3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1"/>
      <c r="M686" s="1"/>
      <c r="N686" s="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3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1"/>
      <c r="M687" s="1"/>
      <c r="N687" s="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3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1"/>
      <c r="M688" s="1"/>
      <c r="N688" s="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3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1"/>
      <c r="M689" s="1"/>
      <c r="N689" s="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3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1"/>
      <c r="M690" s="1"/>
      <c r="N690" s="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3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1"/>
      <c r="M691" s="1"/>
      <c r="N691" s="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3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1"/>
      <c r="M692" s="1"/>
      <c r="N692" s="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3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1"/>
      <c r="M693" s="1"/>
      <c r="N693" s="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3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1"/>
      <c r="M694" s="1"/>
      <c r="N694" s="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3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1"/>
      <c r="M695" s="1"/>
      <c r="N695" s="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3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1"/>
      <c r="M696" s="1"/>
      <c r="N696" s="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3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1"/>
      <c r="M697" s="1"/>
      <c r="N697" s="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3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1"/>
      <c r="M698" s="1"/>
      <c r="N698" s="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3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1"/>
      <c r="M699" s="1"/>
      <c r="N699" s="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3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1"/>
      <c r="M700" s="1"/>
      <c r="N700" s="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3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1"/>
      <c r="M701" s="1"/>
      <c r="N701" s="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3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1"/>
      <c r="M702" s="1"/>
      <c r="N702" s="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3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1"/>
      <c r="M703" s="1"/>
      <c r="N703" s="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3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1"/>
      <c r="M704" s="1"/>
      <c r="N704" s="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3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1"/>
      <c r="M705" s="1"/>
      <c r="N705" s="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3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1"/>
      <c r="M706" s="1"/>
      <c r="N706" s="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3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1"/>
      <c r="M707" s="1"/>
      <c r="N707" s="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3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1"/>
      <c r="M708" s="1"/>
      <c r="N708" s="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3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1"/>
      <c r="M709" s="1"/>
      <c r="N709" s="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3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1"/>
      <c r="M710" s="1"/>
      <c r="N710" s="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3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1"/>
      <c r="M711" s="1"/>
      <c r="N711" s="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3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1"/>
      <c r="M712" s="1"/>
      <c r="N712" s="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3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1"/>
      <c r="M713" s="1"/>
      <c r="N713" s="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3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1"/>
      <c r="M714" s="1"/>
      <c r="N714" s="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3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1"/>
      <c r="M715" s="1"/>
      <c r="N715" s="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3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1"/>
      <c r="M716" s="1"/>
      <c r="N716" s="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3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1"/>
      <c r="M717" s="1"/>
      <c r="N717" s="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3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1"/>
      <c r="M718" s="1"/>
      <c r="N718" s="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3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1"/>
      <c r="M719" s="1"/>
      <c r="N719" s="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3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1"/>
      <c r="M720" s="1"/>
      <c r="N720" s="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3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1"/>
      <c r="M721" s="1"/>
      <c r="N721" s="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3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1"/>
      <c r="M722" s="1"/>
      <c r="N722" s="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3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1"/>
      <c r="M723" s="1"/>
      <c r="N723" s="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3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1"/>
      <c r="M724" s="1"/>
      <c r="N724" s="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3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1"/>
      <c r="M725" s="1"/>
      <c r="N725" s="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3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1"/>
      <c r="M726" s="1"/>
      <c r="N726" s="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3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1"/>
      <c r="M727" s="1"/>
      <c r="N727" s="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3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1"/>
      <c r="M728" s="1"/>
      <c r="N728" s="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3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1"/>
      <c r="M729" s="1"/>
      <c r="N729" s="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3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1"/>
      <c r="M730" s="1"/>
      <c r="N730" s="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3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1"/>
      <c r="M731" s="1"/>
      <c r="N731" s="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3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1"/>
      <c r="M732" s="1"/>
      <c r="N732" s="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3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1"/>
      <c r="M733" s="1"/>
      <c r="N733" s="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3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1"/>
      <c r="M734" s="1"/>
      <c r="N734" s="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3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1"/>
      <c r="M735" s="1"/>
      <c r="N735" s="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3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1"/>
      <c r="M736" s="1"/>
      <c r="N736" s="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3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1"/>
      <c r="M737" s="1"/>
      <c r="N737" s="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3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1"/>
      <c r="M738" s="1"/>
      <c r="N738" s="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3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1"/>
      <c r="M739" s="1"/>
      <c r="N739" s="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3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1"/>
      <c r="M740" s="1"/>
      <c r="N740" s="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3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1"/>
      <c r="M741" s="1"/>
      <c r="N741" s="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3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1"/>
      <c r="M742" s="1"/>
      <c r="N742" s="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3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1"/>
      <c r="M743" s="1"/>
      <c r="N743" s="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3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1"/>
      <c r="M744" s="1"/>
      <c r="N744" s="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3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1"/>
      <c r="M745" s="1"/>
      <c r="N745" s="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3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1"/>
      <c r="M746" s="1"/>
      <c r="N746" s="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3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1"/>
      <c r="M747" s="1"/>
      <c r="N747" s="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3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1"/>
      <c r="M748" s="1"/>
      <c r="N748" s="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3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1"/>
      <c r="M749" s="1"/>
      <c r="N749" s="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3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1"/>
      <c r="M750" s="1"/>
      <c r="N750" s="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3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1"/>
      <c r="M751" s="1"/>
      <c r="N751" s="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3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1"/>
      <c r="M752" s="1"/>
      <c r="N752" s="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3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1"/>
      <c r="M753" s="1"/>
      <c r="N753" s="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3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1"/>
      <c r="M754" s="1"/>
      <c r="N754" s="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3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1"/>
      <c r="M755" s="1"/>
      <c r="N755" s="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3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1"/>
      <c r="M756" s="1"/>
      <c r="N756" s="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3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1"/>
      <c r="M757" s="1"/>
      <c r="N757" s="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3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1"/>
      <c r="M758" s="1"/>
      <c r="N758" s="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3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1"/>
      <c r="M759" s="1"/>
      <c r="N759" s="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3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1"/>
      <c r="M760" s="1"/>
      <c r="N760" s="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3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1"/>
      <c r="M761" s="1"/>
      <c r="N761" s="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3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1"/>
      <c r="M762" s="1"/>
      <c r="N762" s="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3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1"/>
      <c r="M763" s="1"/>
      <c r="N763" s="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3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1"/>
      <c r="M764" s="1"/>
      <c r="N764" s="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3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1"/>
      <c r="M765" s="1"/>
      <c r="N765" s="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3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1"/>
      <c r="M766" s="1"/>
      <c r="N766" s="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3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1"/>
      <c r="M767" s="1"/>
      <c r="N767" s="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3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1"/>
      <c r="M768" s="1"/>
      <c r="N768" s="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3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1"/>
      <c r="M769" s="1"/>
      <c r="N769" s="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3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1"/>
      <c r="M770" s="1"/>
      <c r="N770" s="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3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1"/>
      <c r="M771" s="1"/>
      <c r="N771" s="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3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1"/>
      <c r="M772" s="1"/>
      <c r="N772" s="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3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1"/>
      <c r="M773" s="1"/>
      <c r="N773" s="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3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1"/>
      <c r="M774" s="1"/>
      <c r="N774" s="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3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1"/>
      <c r="M775" s="1"/>
      <c r="N775" s="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3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1"/>
      <c r="M776" s="1"/>
      <c r="N776" s="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3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1"/>
      <c r="M777" s="1"/>
      <c r="N777" s="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3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1"/>
      <c r="M778" s="1"/>
      <c r="N778" s="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3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1"/>
      <c r="M779" s="1"/>
      <c r="N779" s="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3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1"/>
      <c r="M780" s="1"/>
      <c r="N780" s="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3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1"/>
      <c r="M781" s="1"/>
      <c r="N781" s="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3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1"/>
      <c r="M782" s="1"/>
      <c r="N782" s="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3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1"/>
      <c r="M783" s="1"/>
      <c r="N783" s="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3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1"/>
      <c r="M784" s="1"/>
      <c r="N784" s="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3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1"/>
      <c r="M785" s="1"/>
      <c r="N785" s="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3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1"/>
      <c r="M786" s="1"/>
      <c r="N786" s="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3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1"/>
      <c r="M787" s="1"/>
      <c r="N787" s="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3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1"/>
      <c r="M788" s="1"/>
      <c r="N788" s="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3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1"/>
      <c r="M789" s="1"/>
      <c r="N789" s="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3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1"/>
      <c r="M790" s="1"/>
      <c r="N790" s="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3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1"/>
      <c r="M791" s="1"/>
      <c r="N791" s="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3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1"/>
      <c r="M792" s="1"/>
      <c r="N792" s="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3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1"/>
      <c r="M793" s="1"/>
      <c r="N793" s="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3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1"/>
      <c r="M794" s="1"/>
      <c r="N794" s="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3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1"/>
      <c r="M795" s="1"/>
      <c r="N795" s="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3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1"/>
      <c r="M796" s="1"/>
      <c r="N796" s="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3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1"/>
      <c r="M797" s="1"/>
      <c r="N797" s="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3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1"/>
      <c r="M798" s="1"/>
      <c r="N798" s="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3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1"/>
      <c r="M799" s="1"/>
      <c r="N799" s="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3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1"/>
      <c r="M800" s="1"/>
      <c r="N800" s="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3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1"/>
      <c r="M801" s="1"/>
      <c r="N801" s="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3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1"/>
      <c r="M802" s="1"/>
      <c r="N802" s="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3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1"/>
      <c r="M803" s="1"/>
      <c r="N803" s="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3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1"/>
      <c r="M804" s="1"/>
      <c r="N804" s="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3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1"/>
      <c r="M805" s="1"/>
      <c r="N805" s="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3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1"/>
      <c r="M806" s="1"/>
      <c r="N806" s="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3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1"/>
      <c r="M807" s="1"/>
      <c r="N807" s="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3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1"/>
      <c r="M808" s="1"/>
      <c r="N808" s="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3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1"/>
      <c r="M809" s="1"/>
      <c r="N809" s="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3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1"/>
      <c r="M810" s="1"/>
      <c r="N810" s="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3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1"/>
      <c r="M811" s="1"/>
      <c r="N811" s="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3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1"/>
      <c r="M812" s="1"/>
      <c r="N812" s="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3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1"/>
      <c r="M813" s="1"/>
      <c r="N813" s="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3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1"/>
      <c r="M814" s="1"/>
      <c r="N814" s="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3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1"/>
      <c r="M815" s="1"/>
      <c r="N815" s="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3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1"/>
      <c r="M816" s="1"/>
      <c r="N816" s="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3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1"/>
      <c r="M817" s="1"/>
      <c r="N817" s="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3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1"/>
      <c r="M818" s="1"/>
      <c r="N818" s="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3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1"/>
      <c r="M819" s="1"/>
      <c r="N819" s="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3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1"/>
      <c r="M820" s="1"/>
      <c r="N820" s="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3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1"/>
      <c r="M821" s="1"/>
      <c r="N821" s="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3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1"/>
      <c r="M822" s="1"/>
      <c r="N822" s="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3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1"/>
      <c r="M823" s="1"/>
      <c r="N823" s="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3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1"/>
      <c r="M824" s="1"/>
      <c r="N824" s="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3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1"/>
      <c r="M825" s="1"/>
      <c r="N825" s="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3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1"/>
      <c r="M826" s="1"/>
      <c r="N826" s="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3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1"/>
      <c r="M827" s="1"/>
      <c r="N827" s="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3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1"/>
      <c r="M828" s="1"/>
      <c r="N828" s="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3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1"/>
      <c r="M829" s="1"/>
      <c r="N829" s="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3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1"/>
      <c r="M830" s="1"/>
      <c r="N830" s="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3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1"/>
      <c r="M831" s="1"/>
      <c r="N831" s="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3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1"/>
      <c r="M832" s="1"/>
      <c r="N832" s="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3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1"/>
      <c r="M833" s="1"/>
      <c r="N833" s="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3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1"/>
      <c r="M834" s="1"/>
      <c r="N834" s="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3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1"/>
      <c r="M835" s="1"/>
      <c r="N835" s="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3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1"/>
      <c r="M836" s="1"/>
      <c r="N836" s="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3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1"/>
      <c r="M837" s="1"/>
      <c r="N837" s="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3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1"/>
      <c r="M838" s="1"/>
      <c r="N838" s="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3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1"/>
      <c r="M839" s="1"/>
      <c r="N839" s="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3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1"/>
      <c r="M840" s="1"/>
      <c r="N840" s="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3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1"/>
      <c r="M841" s="1"/>
      <c r="N841" s="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3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1"/>
      <c r="M842" s="1"/>
      <c r="N842" s="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3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1"/>
      <c r="M843" s="1"/>
      <c r="N843" s="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3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1"/>
      <c r="M844" s="1"/>
      <c r="N844" s="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3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1"/>
      <c r="M845" s="1"/>
      <c r="N845" s="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3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1"/>
      <c r="M846" s="1"/>
      <c r="N846" s="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3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1"/>
      <c r="M847" s="1"/>
      <c r="N847" s="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3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1"/>
      <c r="M848" s="1"/>
      <c r="N848" s="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3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1"/>
      <c r="M849" s="1"/>
      <c r="N849" s="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3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1"/>
      <c r="M850" s="1"/>
      <c r="N850" s="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3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1"/>
      <c r="M851" s="1"/>
      <c r="N851" s="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3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1"/>
      <c r="M852" s="1"/>
      <c r="N852" s="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3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1"/>
      <c r="M853" s="1"/>
      <c r="N853" s="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3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1"/>
      <c r="M854" s="1"/>
      <c r="N854" s="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3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1"/>
      <c r="M855" s="1"/>
      <c r="N855" s="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3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1"/>
      <c r="M856" s="1"/>
      <c r="N856" s="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3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1"/>
      <c r="M857" s="1"/>
      <c r="N857" s="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3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1"/>
      <c r="M858" s="1"/>
      <c r="N858" s="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3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1"/>
      <c r="M859" s="1"/>
      <c r="N859" s="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3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1"/>
      <c r="M860" s="1"/>
      <c r="N860" s="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3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1"/>
      <c r="M861" s="1"/>
      <c r="N861" s="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3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1"/>
      <c r="M862" s="1"/>
      <c r="N862" s="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3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1"/>
      <c r="M863" s="1"/>
      <c r="N863" s="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3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1"/>
      <c r="M864" s="1"/>
      <c r="N864" s="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3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1"/>
      <c r="M865" s="1"/>
      <c r="N865" s="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3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1"/>
      <c r="M866" s="1"/>
      <c r="N866" s="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3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1"/>
      <c r="M867" s="1"/>
      <c r="N867" s="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3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1"/>
      <c r="M868" s="1"/>
      <c r="N868" s="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3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1"/>
      <c r="M869" s="1"/>
      <c r="N869" s="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3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1"/>
      <c r="M870" s="1"/>
      <c r="N870" s="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3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1"/>
      <c r="M871" s="1"/>
      <c r="N871" s="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3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1"/>
      <c r="M872" s="1"/>
      <c r="N872" s="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3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1"/>
      <c r="M873" s="1"/>
      <c r="N873" s="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3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1"/>
      <c r="M874" s="1"/>
      <c r="N874" s="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3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1"/>
      <c r="M875" s="1"/>
      <c r="N875" s="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3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1"/>
      <c r="M876" s="1"/>
      <c r="N876" s="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3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1"/>
      <c r="M877" s="1"/>
      <c r="N877" s="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3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1"/>
      <c r="M878" s="1"/>
      <c r="N878" s="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3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1"/>
      <c r="M879" s="1"/>
      <c r="N879" s="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3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1"/>
      <c r="M880" s="1"/>
      <c r="N880" s="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3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1"/>
      <c r="M881" s="1"/>
      <c r="N881" s="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3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1"/>
      <c r="M882" s="1"/>
      <c r="N882" s="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3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1"/>
      <c r="M883" s="1"/>
      <c r="N883" s="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3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1"/>
      <c r="M884" s="1"/>
      <c r="N884" s="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3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1"/>
      <c r="M885" s="1"/>
      <c r="N885" s="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3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1"/>
      <c r="M886" s="1"/>
      <c r="N886" s="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3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1"/>
      <c r="M887" s="1"/>
      <c r="N887" s="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3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1"/>
      <c r="M888" s="1"/>
      <c r="N888" s="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3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1"/>
      <c r="M889" s="1"/>
      <c r="N889" s="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3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1"/>
      <c r="M890" s="1"/>
      <c r="N890" s="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3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1"/>
      <c r="M891" s="1"/>
      <c r="N891" s="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3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1"/>
      <c r="M892" s="1"/>
      <c r="N892" s="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3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1"/>
      <c r="M893" s="1"/>
      <c r="N893" s="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3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1"/>
      <c r="M894" s="1"/>
      <c r="N894" s="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3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1"/>
      <c r="M895" s="1"/>
      <c r="N895" s="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3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1"/>
      <c r="M896" s="1"/>
      <c r="N896" s="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3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1"/>
      <c r="M897" s="1"/>
      <c r="N897" s="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3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1"/>
      <c r="M898" s="1"/>
      <c r="N898" s="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3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1"/>
      <c r="M899" s="1"/>
      <c r="N899" s="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3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1"/>
      <c r="M900" s="1"/>
      <c r="N900" s="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3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1"/>
      <c r="M901" s="1"/>
      <c r="N901" s="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3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1"/>
      <c r="M902" s="1"/>
      <c r="N902" s="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3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1"/>
      <c r="M903" s="1"/>
      <c r="N903" s="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3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1"/>
      <c r="M904" s="1"/>
      <c r="N904" s="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3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1"/>
      <c r="M905" s="1"/>
      <c r="N905" s="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3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1"/>
      <c r="M906" s="1"/>
      <c r="N906" s="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3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1"/>
      <c r="M907" s="1"/>
      <c r="N907" s="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3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1"/>
      <c r="M908" s="1"/>
      <c r="N908" s="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3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1"/>
      <c r="M909" s="1"/>
      <c r="N909" s="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3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1"/>
      <c r="M910" s="1"/>
      <c r="N910" s="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3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1"/>
      <c r="M911" s="1"/>
      <c r="N911" s="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3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1"/>
      <c r="M912" s="1"/>
      <c r="N912" s="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3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1"/>
      <c r="M913" s="1"/>
      <c r="N913" s="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3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1"/>
      <c r="M914" s="1"/>
      <c r="N914" s="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3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1"/>
      <c r="M915" s="1"/>
      <c r="N915" s="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3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1"/>
      <c r="M916" s="1"/>
      <c r="N916" s="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3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1"/>
      <c r="M917" s="1"/>
      <c r="N917" s="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3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1"/>
      <c r="M918" s="1"/>
      <c r="N918" s="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3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1"/>
      <c r="M919" s="1"/>
      <c r="N919" s="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3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1"/>
      <c r="M920" s="1"/>
      <c r="N920" s="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3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1"/>
      <c r="M921" s="1"/>
      <c r="N921" s="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3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1"/>
      <c r="M922" s="1"/>
      <c r="N922" s="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3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1"/>
      <c r="M923" s="1"/>
      <c r="N923" s="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3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1"/>
      <c r="M924" s="1"/>
      <c r="N924" s="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3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1"/>
      <c r="M925" s="1"/>
      <c r="N925" s="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3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1"/>
      <c r="M926" s="1"/>
      <c r="N926" s="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3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1"/>
      <c r="M927" s="1"/>
      <c r="N927" s="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3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1"/>
      <c r="M928" s="1"/>
      <c r="N928" s="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3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1"/>
      <c r="M929" s="1"/>
      <c r="N929" s="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3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1"/>
      <c r="M930" s="1"/>
      <c r="N930" s="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3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1"/>
      <c r="M931" s="1"/>
      <c r="N931" s="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3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1"/>
      <c r="M932" s="1"/>
      <c r="N932" s="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3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1"/>
      <c r="M933" s="1"/>
      <c r="N933" s="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3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1"/>
      <c r="M934" s="1"/>
      <c r="N934" s="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3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1"/>
      <c r="M935" s="1"/>
      <c r="N935" s="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3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1"/>
      <c r="M936" s="1"/>
      <c r="N936" s="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3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1"/>
      <c r="M937" s="1"/>
      <c r="N937" s="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3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1"/>
      <c r="M938" s="1"/>
      <c r="N938" s="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3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1"/>
      <c r="M939" s="1"/>
      <c r="N939" s="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35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1"/>
      <c r="M940" s="1"/>
      <c r="N940" s="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35">
      <c r="A941" s="1"/>
      <c r="B941" s="1"/>
      <c r="C941" s="1"/>
      <c r="D941" s="1"/>
      <c r="E941" s="1"/>
      <c r="F941" s="1"/>
      <c r="G941" s="1"/>
      <c r="H941" s="2"/>
      <c r="I941" s="2"/>
      <c r="J941" s="2"/>
      <c r="K941" s="2"/>
      <c r="L941" s="1"/>
      <c r="M941" s="1"/>
      <c r="N941" s="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35">
      <c r="A942" s="1"/>
      <c r="B942" s="1"/>
      <c r="C942" s="1"/>
      <c r="D942" s="1"/>
      <c r="E942" s="1"/>
      <c r="F942" s="1"/>
      <c r="G942" s="1"/>
      <c r="H942" s="2"/>
      <c r="I942" s="2"/>
      <c r="J942" s="2"/>
      <c r="K942" s="2"/>
      <c r="L942" s="1"/>
      <c r="M942" s="1"/>
      <c r="N942" s="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35">
      <c r="A943" s="1"/>
      <c r="B943" s="1"/>
      <c r="C943" s="1"/>
      <c r="D943" s="1"/>
      <c r="E943" s="1"/>
      <c r="F943" s="1"/>
      <c r="G943" s="1"/>
      <c r="H943" s="2"/>
      <c r="I943" s="2"/>
      <c r="J943" s="2"/>
      <c r="K943" s="2"/>
      <c r="L943" s="1"/>
      <c r="M943" s="1"/>
      <c r="N943" s="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35">
      <c r="A944" s="1"/>
      <c r="B944" s="1"/>
      <c r="C944" s="1"/>
      <c r="D944" s="1"/>
      <c r="E944" s="1"/>
      <c r="F944" s="1"/>
      <c r="G944" s="1"/>
      <c r="H944" s="2"/>
      <c r="I944" s="2"/>
      <c r="J944" s="2"/>
      <c r="K944" s="2"/>
      <c r="L944" s="1"/>
      <c r="M944" s="1"/>
      <c r="N944" s="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35">
      <c r="A945" s="1"/>
      <c r="B945" s="1"/>
      <c r="C945" s="1"/>
      <c r="D945" s="1"/>
      <c r="E945" s="1"/>
      <c r="F945" s="1"/>
      <c r="G945" s="1"/>
      <c r="H945" s="2"/>
      <c r="I945" s="2"/>
      <c r="J945" s="2"/>
      <c r="K945" s="2"/>
      <c r="L945" s="1"/>
      <c r="M945" s="1"/>
      <c r="N945" s="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35">
      <c r="A946" s="1"/>
      <c r="B946" s="1"/>
      <c r="C946" s="1"/>
      <c r="D946" s="1"/>
      <c r="E946" s="1"/>
      <c r="F946" s="1"/>
      <c r="G946" s="1"/>
      <c r="H946" s="2"/>
      <c r="I946" s="2"/>
      <c r="J946" s="2"/>
      <c r="K946" s="2"/>
      <c r="L946" s="1"/>
      <c r="M946" s="1"/>
      <c r="N946" s="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35">
      <c r="A947" s="1"/>
      <c r="B947" s="1"/>
      <c r="C947" s="1"/>
      <c r="D947" s="1"/>
      <c r="E947" s="1"/>
      <c r="F947" s="1"/>
      <c r="G947" s="1"/>
      <c r="H947" s="2"/>
      <c r="I947" s="2"/>
      <c r="J947" s="2"/>
      <c r="K947" s="2"/>
      <c r="L947" s="1"/>
      <c r="M947" s="1"/>
      <c r="N947" s="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35">
      <c r="A948" s="1"/>
      <c r="B948" s="1"/>
      <c r="C948" s="1"/>
      <c r="D948" s="1"/>
      <c r="E948" s="1"/>
      <c r="F948" s="1"/>
      <c r="G948" s="1"/>
      <c r="H948" s="2"/>
      <c r="I948" s="2"/>
      <c r="J948" s="2"/>
      <c r="K948" s="2"/>
      <c r="L948" s="1"/>
      <c r="M948" s="1"/>
      <c r="N948" s="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35">
      <c r="A949" s="1"/>
      <c r="B949" s="1"/>
      <c r="C949" s="1"/>
      <c r="D949" s="1"/>
      <c r="E949" s="1"/>
      <c r="F949" s="1"/>
      <c r="G949" s="1"/>
      <c r="H949" s="2"/>
      <c r="I949" s="2"/>
      <c r="J949" s="2"/>
      <c r="K949" s="2"/>
      <c r="L949" s="1"/>
      <c r="M949" s="1"/>
      <c r="N949" s="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35">
      <c r="A950" s="1"/>
      <c r="B950" s="1"/>
      <c r="C950" s="1"/>
      <c r="D950" s="1"/>
      <c r="E950" s="1"/>
      <c r="F950" s="1"/>
      <c r="G950" s="1"/>
      <c r="H950" s="2"/>
      <c r="I950" s="2"/>
      <c r="J950" s="2"/>
      <c r="K950" s="2"/>
      <c r="L950" s="1"/>
      <c r="M950" s="1"/>
      <c r="N950" s="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35">
      <c r="A951" s="1"/>
      <c r="B951" s="1"/>
      <c r="C951" s="1"/>
      <c r="D951" s="1"/>
      <c r="E951" s="1"/>
      <c r="F951" s="1"/>
      <c r="G951" s="1"/>
      <c r="H951" s="2"/>
      <c r="I951" s="2"/>
      <c r="J951" s="2"/>
      <c r="K951" s="2"/>
      <c r="L951" s="1"/>
      <c r="M951" s="1"/>
      <c r="N951" s="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35">
      <c r="A952" s="1"/>
      <c r="B952" s="1"/>
      <c r="C952" s="1"/>
      <c r="D952" s="1"/>
      <c r="E952" s="1"/>
      <c r="F952" s="1"/>
      <c r="G952" s="1"/>
      <c r="H952" s="2"/>
      <c r="I952" s="2"/>
      <c r="J952" s="2"/>
      <c r="K952" s="2"/>
      <c r="L952" s="1"/>
      <c r="M952" s="1"/>
      <c r="N952" s="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35">
      <c r="A953" s="1"/>
      <c r="B953" s="1"/>
      <c r="C953" s="1"/>
      <c r="D953" s="1"/>
      <c r="E953" s="1"/>
      <c r="F953" s="1"/>
      <c r="G953" s="1"/>
      <c r="H953" s="2"/>
      <c r="I953" s="2"/>
      <c r="J953" s="2"/>
      <c r="K953" s="2"/>
      <c r="L953" s="1"/>
      <c r="M953" s="1"/>
      <c r="N953" s="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35">
      <c r="A954" s="1"/>
      <c r="B954" s="1"/>
      <c r="C954" s="1"/>
      <c r="D954" s="1"/>
      <c r="E954" s="1"/>
      <c r="F954" s="1"/>
      <c r="G954" s="1"/>
      <c r="H954" s="2"/>
      <c r="I954" s="2"/>
      <c r="J954" s="2"/>
      <c r="K954" s="2"/>
      <c r="L954" s="1"/>
      <c r="M954" s="1"/>
      <c r="N954" s="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35">
      <c r="A955" s="1"/>
      <c r="B955" s="1"/>
      <c r="C955" s="1"/>
      <c r="D955" s="1"/>
      <c r="E955" s="1"/>
      <c r="F955" s="1"/>
      <c r="G955" s="1"/>
      <c r="H955" s="2"/>
      <c r="I955" s="2"/>
      <c r="J955" s="2"/>
      <c r="K955" s="2"/>
      <c r="L955" s="1"/>
      <c r="M955" s="1"/>
      <c r="N955" s="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35">
      <c r="A956" s="1"/>
      <c r="B956" s="1"/>
      <c r="C956" s="1"/>
      <c r="D956" s="1"/>
      <c r="E956" s="1"/>
      <c r="F956" s="1"/>
      <c r="G956" s="1"/>
      <c r="H956" s="2"/>
      <c r="I956" s="2"/>
      <c r="J956" s="2"/>
      <c r="K956" s="2"/>
      <c r="L956" s="1"/>
      <c r="M956" s="1"/>
      <c r="N956" s="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35">
      <c r="A957" s="1"/>
      <c r="B957" s="1"/>
      <c r="C957" s="1"/>
      <c r="D957" s="1"/>
      <c r="E957" s="1"/>
      <c r="F957" s="1"/>
      <c r="G957" s="1"/>
      <c r="H957" s="2"/>
      <c r="I957" s="2"/>
      <c r="J957" s="2"/>
      <c r="K957" s="2"/>
      <c r="L957" s="1"/>
      <c r="M957" s="1"/>
      <c r="N957" s="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35">
      <c r="A958" s="1"/>
      <c r="B958" s="1"/>
      <c r="C958" s="1"/>
      <c r="D958" s="1"/>
      <c r="E958" s="1"/>
      <c r="F958" s="1"/>
      <c r="G958" s="1"/>
      <c r="H958" s="2"/>
      <c r="I958" s="2"/>
      <c r="J958" s="2"/>
      <c r="K958" s="2"/>
      <c r="L958" s="1"/>
      <c r="M958" s="1"/>
      <c r="N958" s="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35">
      <c r="A959" s="1"/>
      <c r="B959" s="1"/>
      <c r="C959" s="1"/>
      <c r="D959" s="1"/>
      <c r="E959" s="1"/>
      <c r="F959" s="1"/>
      <c r="G959" s="1"/>
      <c r="H959" s="2"/>
      <c r="I959" s="2"/>
      <c r="J959" s="2"/>
      <c r="K959" s="2"/>
      <c r="L959" s="1"/>
      <c r="M959" s="1"/>
      <c r="N959" s="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35">
      <c r="A960" s="1"/>
      <c r="B960" s="1"/>
      <c r="C960" s="1"/>
      <c r="D960" s="1"/>
      <c r="E960" s="1"/>
      <c r="F960" s="1"/>
      <c r="G960" s="1"/>
      <c r="H960" s="2"/>
      <c r="I960" s="2"/>
      <c r="J960" s="2"/>
      <c r="K960" s="2"/>
      <c r="L960" s="1"/>
      <c r="M960" s="1"/>
      <c r="N960" s="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35">
      <c r="A961" s="1"/>
      <c r="B961" s="1"/>
      <c r="C961" s="1"/>
      <c r="D961" s="1"/>
      <c r="E961" s="1"/>
      <c r="F961" s="1"/>
      <c r="G961" s="1"/>
      <c r="H961" s="2"/>
      <c r="I961" s="2"/>
      <c r="J961" s="2"/>
      <c r="K961" s="2"/>
      <c r="L961" s="1"/>
      <c r="M961" s="1"/>
      <c r="N961" s="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35">
      <c r="A962" s="1"/>
      <c r="B962" s="1"/>
      <c r="C962" s="1"/>
      <c r="D962" s="1"/>
      <c r="E962" s="1"/>
      <c r="F962" s="1"/>
      <c r="G962" s="1"/>
      <c r="H962" s="2"/>
      <c r="I962" s="2"/>
      <c r="J962" s="2"/>
      <c r="K962" s="2"/>
      <c r="L962" s="1"/>
      <c r="M962" s="1"/>
      <c r="N962" s="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35">
      <c r="A963" s="1"/>
      <c r="B963" s="1"/>
      <c r="C963" s="1"/>
      <c r="D963" s="1"/>
      <c r="E963" s="1"/>
      <c r="F963" s="1"/>
      <c r="G963" s="1"/>
      <c r="H963" s="2"/>
      <c r="I963" s="2"/>
      <c r="J963" s="2"/>
      <c r="K963" s="2"/>
      <c r="L963" s="1"/>
      <c r="M963" s="1"/>
      <c r="N963" s="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35">
      <c r="A964" s="1"/>
      <c r="B964" s="1"/>
      <c r="C964" s="1"/>
      <c r="D964" s="1"/>
      <c r="E964" s="1"/>
      <c r="F964" s="1"/>
      <c r="G964" s="1"/>
      <c r="H964" s="2"/>
      <c r="I964" s="2"/>
      <c r="J964" s="2"/>
      <c r="K964" s="2"/>
      <c r="L964" s="1"/>
      <c r="M964" s="1"/>
      <c r="N964" s="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35">
      <c r="A965" s="1"/>
      <c r="B965" s="1"/>
      <c r="C965" s="1"/>
      <c r="D965" s="1"/>
      <c r="E965" s="1"/>
      <c r="F965" s="1"/>
      <c r="G965" s="1"/>
      <c r="H965" s="2"/>
      <c r="I965" s="2"/>
      <c r="J965" s="2"/>
      <c r="K965" s="2"/>
      <c r="L965" s="1"/>
      <c r="M965" s="1"/>
      <c r="N965" s="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35">
      <c r="A966" s="1"/>
      <c r="B966" s="1"/>
      <c r="C966" s="1"/>
      <c r="D966" s="1"/>
      <c r="E966" s="1"/>
      <c r="F966" s="1"/>
      <c r="G966" s="1"/>
      <c r="H966" s="2"/>
      <c r="I966" s="2"/>
      <c r="J966" s="2"/>
      <c r="K966" s="2"/>
      <c r="L966" s="1"/>
      <c r="M966" s="1"/>
      <c r="N966" s="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35">
      <c r="A967" s="1"/>
      <c r="B967" s="1"/>
      <c r="C967" s="1"/>
      <c r="D967" s="1"/>
      <c r="E967" s="1"/>
      <c r="F967" s="1"/>
      <c r="G967" s="1"/>
      <c r="H967" s="2"/>
      <c r="I967" s="2"/>
      <c r="J967" s="2"/>
      <c r="K967" s="2"/>
      <c r="L967" s="1"/>
      <c r="M967" s="1"/>
      <c r="N967" s="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35">
      <c r="A968" s="1"/>
      <c r="B968" s="1"/>
      <c r="C968" s="1"/>
      <c r="D968" s="1"/>
      <c r="E968" s="1"/>
      <c r="F968" s="1"/>
      <c r="G968" s="1"/>
      <c r="H968" s="2"/>
      <c r="I968" s="2"/>
      <c r="J968" s="2"/>
      <c r="K968" s="2"/>
      <c r="L968" s="1"/>
      <c r="M968" s="1"/>
      <c r="N968" s="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35">
      <c r="A969" s="1"/>
      <c r="B969" s="1"/>
      <c r="C969" s="1"/>
      <c r="D969" s="1"/>
      <c r="E969" s="1"/>
      <c r="F969" s="1"/>
      <c r="G969" s="1"/>
      <c r="H969" s="2"/>
      <c r="I969" s="2"/>
      <c r="J969" s="2"/>
      <c r="K969" s="2"/>
      <c r="L969" s="1"/>
      <c r="M969" s="1"/>
      <c r="N969" s="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35">
      <c r="A970" s="1"/>
      <c r="B970" s="1"/>
      <c r="C970" s="1"/>
      <c r="D970" s="1"/>
      <c r="E970" s="1"/>
      <c r="F970" s="1"/>
      <c r="G970" s="1"/>
      <c r="H970" s="2"/>
      <c r="I970" s="2"/>
      <c r="J970" s="2"/>
      <c r="K970" s="2"/>
      <c r="L970" s="1"/>
      <c r="M970" s="1"/>
      <c r="N970" s="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35">
      <c r="A971" s="1"/>
      <c r="B971" s="1"/>
      <c r="C971" s="1"/>
      <c r="D971" s="1"/>
      <c r="E971" s="1"/>
      <c r="F971" s="1"/>
      <c r="G971" s="1"/>
      <c r="H971" s="2"/>
      <c r="I971" s="2"/>
      <c r="J971" s="2"/>
      <c r="K971" s="2"/>
      <c r="L971" s="1"/>
      <c r="M971" s="1"/>
      <c r="N971" s="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35">
      <c r="A972" s="1"/>
      <c r="B972" s="1"/>
      <c r="C972" s="1"/>
      <c r="D972" s="1"/>
      <c r="E972" s="1"/>
      <c r="F972" s="1"/>
      <c r="G972" s="1"/>
      <c r="H972" s="2"/>
      <c r="I972" s="2"/>
      <c r="J972" s="2"/>
      <c r="K972" s="2"/>
      <c r="L972" s="1"/>
      <c r="M972" s="1"/>
      <c r="N972" s="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35">
      <c r="A973" s="1"/>
      <c r="B973" s="1"/>
      <c r="C973" s="1"/>
      <c r="D973" s="1"/>
      <c r="E973" s="1"/>
      <c r="F973" s="1"/>
      <c r="G973" s="1"/>
      <c r="H973" s="2"/>
      <c r="I973" s="2"/>
      <c r="J973" s="2"/>
      <c r="K973" s="2"/>
      <c r="L973" s="1"/>
      <c r="M973" s="1"/>
      <c r="N973" s="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35">
      <c r="A974" s="1"/>
      <c r="B974" s="1"/>
      <c r="C974" s="1"/>
      <c r="D974" s="1"/>
      <c r="E974" s="1"/>
      <c r="F974" s="1"/>
      <c r="G974" s="1"/>
      <c r="H974" s="2"/>
      <c r="I974" s="2"/>
      <c r="J974" s="2"/>
      <c r="K974" s="2"/>
      <c r="L974" s="1"/>
      <c r="M974" s="1"/>
      <c r="N974" s="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35">
      <c r="A975" s="1"/>
      <c r="B975" s="1"/>
      <c r="C975" s="1"/>
      <c r="D975" s="1"/>
      <c r="E975" s="1"/>
      <c r="F975" s="1"/>
      <c r="G975" s="1"/>
      <c r="H975" s="2"/>
      <c r="I975" s="2"/>
      <c r="J975" s="2"/>
      <c r="K975" s="2"/>
      <c r="L975" s="1"/>
      <c r="M975" s="1"/>
      <c r="N975" s="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35">
      <c r="A976" s="1"/>
      <c r="B976" s="1"/>
      <c r="C976" s="1"/>
      <c r="D976" s="1"/>
      <c r="E976" s="1"/>
      <c r="F976" s="1"/>
      <c r="G976" s="1"/>
      <c r="H976" s="2"/>
      <c r="I976" s="2"/>
      <c r="J976" s="2"/>
      <c r="K976" s="2"/>
      <c r="L976" s="1"/>
      <c r="M976" s="1"/>
      <c r="N976" s="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x14ac:dyDescent="0.35">
      <c r="A977" s="1"/>
      <c r="B977" s="1"/>
      <c r="C977" s="1"/>
      <c r="D977" s="1"/>
      <c r="E977" s="1"/>
      <c r="F977" s="1"/>
      <c r="G977" s="1"/>
      <c r="H977" s="2"/>
      <c r="I977" s="2"/>
      <c r="J977" s="2"/>
      <c r="K977" s="2"/>
      <c r="L977" s="1"/>
      <c r="M977" s="1"/>
      <c r="N977" s="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x14ac:dyDescent="0.35">
      <c r="A978" s="1"/>
      <c r="B978" s="1"/>
      <c r="C978" s="1"/>
      <c r="D978" s="1"/>
      <c r="E978" s="1"/>
      <c r="F978" s="1"/>
      <c r="G978" s="1"/>
      <c r="H978" s="2"/>
      <c r="I978" s="2"/>
      <c r="J978" s="2"/>
      <c r="K978" s="2"/>
      <c r="L978" s="1"/>
      <c r="M978" s="1"/>
      <c r="N978" s="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x14ac:dyDescent="0.35">
      <c r="A979" s="1"/>
      <c r="B979" s="1"/>
      <c r="C979" s="1"/>
      <c r="D979" s="1"/>
      <c r="E979" s="1"/>
      <c r="F979" s="1"/>
      <c r="G979" s="1"/>
      <c r="H979" s="2"/>
      <c r="I979" s="2"/>
      <c r="J979" s="2"/>
      <c r="K979" s="2"/>
      <c r="L979" s="1"/>
      <c r="M979" s="1"/>
      <c r="N979" s="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x14ac:dyDescent="0.35">
      <c r="A980" s="1"/>
      <c r="B980" s="1"/>
      <c r="C980" s="1"/>
      <c r="D980" s="1"/>
      <c r="E980" s="1"/>
      <c r="F980" s="1"/>
      <c r="G980" s="1"/>
      <c r="H980" s="2"/>
      <c r="I980" s="2"/>
      <c r="J980" s="2"/>
      <c r="K980" s="2"/>
      <c r="L980" s="1"/>
      <c r="M980" s="1"/>
      <c r="N980" s="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x14ac:dyDescent="0.35">
      <c r="A981" s="1"/>
      <c r="B981" s="1"/>
      <c r="C981" s="1"/>
      <c r="D981" s="1"/>
      <c r="E981" s="1"/>
      <c r="F981" s="1"/>
      <c r="G981" s="1"/>
      <c r="H981" s="2"/>
      <c r="I981" s="2"/>
      <c r="J981" s="2"/>
      <c r="K981" s="2"/>
      <c r="L981" s="1"/>
      <c r="M981" s="1"/>
      <c r="N981" s="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x14ac:dyDescent="0.35">
      <c r="A982" s="1"/>
      <c r="B982" s="1"/>
      <c r="C982" s="1"/>
      <c r="D982" s="1"/>
      <c r="E982" s="1"/>
      <c r="F982" s="1"/>
      <c r="G982" s="1"/>
      <c r="H982" s="2"/>
      <c r="I982" s="2"/>
      <c r="J982" s="2"/>
      <c r="K982" s="2"/>
      <c r="L982" s="1"/>
      <c r="M982" s="1"/>
      <c r="N982" s="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x14ac:dyDescent="0.35">
      <c r="A983" s="1"/>
      <c r="B983" s="1"/>
      <c r="C983" s="1"/>
      <c r="D983" s="1"/>
      <c r="E983" s="1"/>
      <c r="F983" s="1"/>
      <c r="G983" s="1"/>
      <c r="H983" s="2"/>
      <c r="I983" s="2"/>
      <c r="J983" s="2"/>
      <c r="K983" s="2"/>
      <c r="L983" s="1"/>
      <c r="M983" s="1"/>
      <c r="N983" s="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x14ac:dyDescent="0.35">
      <c r="A984" s="1"/>
      <c r="B984" s="1"/>
      <c r="C984" s="1"/>
      <c r="D984" s="1"/>
      <c r="E984" s="1"/>
      <c r="F984" s="1"/>
      <c r="G984" s="1"/>
      <c r="H984" s="2"/>
      <c r="I984" s="2"/>
      <c r="J984" s="2"/>
      <c r="K984" s="2"/>
      <c r="L984" s="1"/>
      <c r="M984" s="1"/>
      <c r="N984" s="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x14ac:dyDescent="0.35">
      <c r="A985" s="1"/>
      <c r="B985" s="1"/>
      <c r="C985" s="1"/>
      <c r="D985" s="1"/>
      <c r="E985" s="1"/>
      <c r="F985" s="1"/>
      <c r="G985" s="1"/>
      <c r="H985" s="2"/>
      <c r="I985" s="2"/>
      <c r="J985" s="2"/>
      <c r="K985" s="2"/>
      <c r="L985" s="1"/>
      <c r="M985" s="1"/>
      <c r="N985" s="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x14ac:dyDescent="0.35">
      <c r="A986" s="1"/>
      <c r="B986" s="1"/>
      <c r="C986" s="1"/>
      <c r="D986" s="1"/>
      <c r="E986" s="1"/>
      <c r="F986" s="1"/>
      <c r="G986" s="1"/>
      <c r="H986" s="2"/>
      <c r="I986" s="2"/>
      <c r="J986" s="2"/>
      <c r="K986" s="2"/>
      <c r="L986" s="1"/>
      <c r="M986" s="1"/>
      <c r="N986" s="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x14ac:dyDescent="0.35">
      <c r="A987" s="1"/>
      <c r="B987" s="1"/>
      <c r="C987" s="1"/>
      <c r="D987" s="1"/>
      <c r="E987" s="1"/>
      <c r="F987" s="1"/>
      <c r="G987" s="1"/>
      <c r="H987" s="2"/>
      <c r="I987" s="2"/>
      <c r="J987" s="2"/>
      <c r="K987" s="2"/>
      <c r="L987" s="1"/>
      <c r="M987" s="1"/>
      <c r="N987" s="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x14ac:dyDescent="0.35">
      <c r="A988" s="1"/>
      <c r="B988" s="1"/>
      <c r="C988" s="1"/>
      <c r="D988" s="1"/>
      <c r="E988" s="1"/>
      <c r="F988" s="1"/>
      <c r="G988" s="1"/>
      <c r="H988" s="2"/>
      <c r="I988" s="2"/>
      <c r="J988" s="2"/>
      <c r="K988" s="2"/>
      <c r="L988" s="1"/>
      <c r="M988" s="1"/>
      <c r="N988" s="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x14ac:dyDescent="0.35">
      <c r="A989" s="1"/>
      <c r="B989" s="1"/>
      <c r="C989" s="1"/>
      <c r="D989" s="1"/>
      <c r="E989" s="1"/>
      <c r="F989" s="1"/>
      <c r="G989" s="1"/>
      <c r="H989" s="2"/>
      <c r="I989" s="2"/>
      <c r="J989" s="2"/>
      <c r="K989" s="2"/>
      <c r="L989" s="1"/>
      <c r="M989" s="1"/>
      <c r="N989" s="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x14ac:dyDescent="0.35">
      <c r="A990" s="1"/>
      <c r="B990" s="1"/>
      <c r="C990" s="1"/>
      <c r="D990" s="1"/>
      <c r="E990" s="1"/>
      <c r="F990" s="1"/>
      <c r="G990" s="1"/>
      <c r="H990" s="2"/>
      <c r="I990" s="2"/>
      <c r="J990" s="2"/>
      <c r="K990" s="2"/>
      <c r="L990" s="1"/>
      <c r="M990" s="1"/>
      <c r="N990" s="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x14ac:dyDescent="0.35">
      <c r="A991" s="1"/>
      <c r="B991" s="1"/>
      <c r="C991" s="1"/>
      <c r="D991" s="1"/>
      <c r="E991" s="1"/>
      <c r="F991" s="1"/>
      <c r="G991" s="1"/>
      <c r="H991" s="2"/>
      <c r="I991" s="2"/>
      <c r="J991" s="2"/>
      <c r="K991" s="2"/>
      <c r="L991" s="1"/>
      <c r="M991" s="1"/>
      <c r="N991" s="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x14ac:dyDescent="0.35">
      <c r="A992" s="1"/>
      <c r="B992" s="1"/>
      <c r="C992" s="1"/>
      <c r="D992" s="1"/>
      <c r="E992" s="1"/>
      <c r="F992" s="1"/>
      <c r="G992" s="1"/>
      <c r="H992" s="2"/>
      <c r="I992" s="2"/>
      <c r="J992" s="2"/>
      <c r="K992" s="2"/>
      <c r="L992" s="1"/>
      <c r="M992" s="1"/>
      <c r="N992" s="3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x14ac:dyDescent="0.35">
      <c r="A993" s="1"/>
      <c r="B993" s="1"/>
      <c r="C993" s="1"/>
      <c r="D993" s="1"/>
      <c r="E993" s="1"/>
      <c r="F993" s="1"/>
      <c r="G993" s="1"/>
      <c r="H993" s="2"/>
      <c r="I993" s="2"/>
      <c r="J993" s="2"/>
      <c r="K993" s="2"/>
      <c r="L993" s="1"/>
      <c r="M993" s="1"/>
      <c r="N993" s="3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x14ac:dyDescent="0.35">
      <c r="A994" s="1"/>
      <c r="B994" s="1"/>
      <c r="C994" s="1"/>
      <c r="D994" s="1"/>
      <c r="E994" s="1"/>
      <c r="F994" s="1"/>
      <c r="G994" s="1"/>
      <c r="H994" s="2"/>
      <c r="I994" s="2"/>
      <c r="J994" s="2"/>
      <c r="K994" s="2"/>
      <c r="L994" s="1"/>
      <c r="M994" s="1"/>
      <c r="N994" s="3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x14ac:dyDescent="0.35">
      <c r="A995" s="1"/>
      <c r="B995" s="1"/>
      <c r="C995" s="1"/>
      <c r="D995" s="1"/>
      <c r="E995" s="1"/>
      <c r="F995" s="1"/>
      <c r="G995" s="1"/>
      <c r="H995" s="2"/>
      <c r="I995" s="2"/>
      <c r="J995" s="2"/>
      <c r="K995" s="2"/>
      <c r="L995" s="1"/>
      <c r="M995" s="1"/>
      <c r="N995" s="3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x14ac:dyDescent="0.35">
      <c r="A996" s="1"/>
      <c r="B996" s="1"/>
      <c r="C996" s="1"/>
      <c r="D996" s="1"/>
      <c r="E996" s="1"/>
      <c r="F996" s="1"/>
      <c r="G996" s="1"/>
      <c r="H996" s="2"/>
      <c r="I996" s="2"/>
      <c r="J996" s="2"/>
      <c r="K996" s="2"/>
      <c r="L996" s="1"/>
      <c r="M996" s="1"/>
      <c r="N996" s="3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x14ac:dyDescent="0.35">
      <c r="A997" s="1"/>
      <c r="B997" s="1"/>
      <c r="C997" s="1"/>
      <c r="D997" s="1"/>
      <c r="E997" s="1"/>
      <c r="F997" s="1"/>
      <c r="G997" s="1"/>
      <c r="H997" s="2"/>
      <c r="I997" s="2"/>
      <c r="J997" s="2"/>
      <c r="K997" s="2"/>
      <c r="L997" s="1"/>
      <c r="M997" s="1"/>
      <c r="N997" s="3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x14ac:dyDescent="0.35">
      <c r="A998" s="1"/>
      <c r="B998" s="1"/>
      <c r="C998" s="1"/>
      <c r="D998" s="1"/>
      <c r="E998" s="1"/>
      <c r="F998" s="1"/>
      <c r="G998" s="1"/>
      <c r="H998" s="2"/>
      <c r="I998" s="2"/>
      <c r="J998" s="2"/>
      <c r="K998" s="2"/>
      <c r="L998" s="1"/>
      <c r="M998" s="1"/>
      <c r="N998" s="3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x14ac:dyDescent="0.35">
      <c r="A999" s="1"/>
      <c r="B999" s="1"/>
      <c r="C999" s="1"/>
      <c r="D999" s="1"/>
      <c r="E999" s="1"/>
      <c r="F999" s="1"/>
      <c r="G999" s="1"/>
      <c r="H999" s="2"/>
      <c r="I999" s="2"/>
      <c r="J999" s="2"/>
      <c r="K999" s="2"/>
      <c r="L999" s="1"/>
      <c r="M999" s="1"/>
      <c r="N999" s="3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8">
    <mergeCell ref="A33:A38"/>
    <mergeCell ref="A39:A46"/>
    <mergeCell ref="A1:B1"/>
    <mergeCell ref="A2:B2"/>
    <mergeCell ref="A3:A14"/>
    <mergeCell ref="A15:A26"/>
    <mergeCell ref="A27:A32"/>
    <mergeCell ref="C55:N55"/>
    <mergeCell ref="C56:N56"/>
    <mergeCell ref="A53:B53"/>
    <mergeCell ref="A54:B54"/>
    <mergeCell ref="A55:B55"/>
    <mergeCell ref="A56:B56"/>
    <mergeCell ref="A47:A50"/>
    <mergeCell ref="A52:B52"/>
    <mergeCell ref="C52:N52"/>
    <mergeCell ref="C53:N53"/>
    <mergeCell ref="C54:N54"/>
  </mergeCells>
  <phoneticPr fontId="6" type="noConversion"/>
  <conditionalFormatting sqref="A3:B50">
    <cfRule type="expression" dxfId="3" priority="1">
      <formula>OR(A3="N.D.", A3="N.A.")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S230"/>
  <sheetViews>
    <sheetView tabSelected="1" workbookViewId="0">
      <pane xSplit="2" topLeftCell="C1" activePane="topRight" state="frozen"/>
      <selection pane="topRight" activeCell="A3" sqref="A3:B4"/>
    </sheetView>
  </sheetViews>
  <sheetFormatPr defaultColWidth="12.59765625" defaultRowHeight="15.75" customHeight="1" x14ac:dyDescent="0.35"/>
  <cols>
    <col min="1" max="1" width="3.265625" customWidth="1"/>
    <col min="2" max="2" width="22.265625" customWidth="1"/>
    <col min="3" max="5" width="12.59765625" customWidth="1"/>
    <col min="6" max="6" width="14" customWidth="1"/>
    <col min="7" max="7" width="14.46484375" customWidth="1"/>
    <col min="8" max="8" width="14.73046875" customWidth="1"/>
    <col min="9" max="9" width="16.59765625" customWidth="1"/>
    <col min="10" max="10" width="12.59765625" customWidth="1"/>
    <col min="11" max="11" width="13.46484375" customWidth="1"/>
    <col min="12" max="12" width="16.59765625" customWidth="1"/>
    <col min="13" max="13" width="12.59765625" customWidth="1"/>
    <col min="14" max="14" width="17.59765625" customWidth="1"/>
    <col min="15" max="26" width="12.59765625" customWidth="1"/>
    <col min="27" max="27" width="15" customWidth="1"/>
    <col min="28" max="28" width="14.46484375" customWidth="1"/>
    <col min="29" max="38" width="12.59765625" customWidth="1"/>
    <col min="39" max="39" width="15.1328125" customWidth="1"/>
    <col min="40" max="40" width="15.59765625" customWidth="1"/>
    <col min="41" max="41" width="14.265625" customWidth="1"/>
    <col min="42" max="42" width="13.86328125" customWidth="1"/>
    <col min="43" max="45" width="10.1328125" customWidth="1"/>
  </cols>
  <sheetData>
    <row r="1" spans="1:45" ht="12.75" x14ac:dyDescent="0.35">
      <c r="A1" s="142"/>
      <c r="B1" s="143" t="s">
        <v>160</v>
      </c>
      <c r="C1" s="138" t="s">
        <v>78</v>
      </c>
      <c r="D1" s="27" t="s">
        <v>79</v>
      </c>
      <c r="E1" s="27" t="s">
        <v>80</v>
      </c>
      <c r="F1" s="28" t="s">
        <v>81</v>
      </c>
      <c r="G1" s="27" t="s">
        <v>82</v>
      </c>
      <c r="H1" s="28" t="s">
        <v>83</v>
      </c>
      <c r="I1" s="28" t="s">
        <v>84</v>
      </c>
      <c r="O1" s="17"/>
      <c r="P1" s="17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ht="12.75" x14ac:dyDescent="0.35">
      <c r="A2" s="144"/>
      <c r="B2" s="139" t="s">
        <v>161</v>
      </c>
      <c r="C2" s="31" t="s">
        <v>155</v>
      </c>
      <c r="D2" s="30" t="s">
        <v>156</v>
      </c>
      <c r="E2" s="31" t="s">
        <v>85</v>
      </c>
      <c r="F2" s="30" t="s">
        <v>86</v>
      </c>
      <c r="G2" s="31" t="s">
        <v>87</v>
      </c>
      <c r="H2" s="30" t="s">
        <v>157</v>
      </c>
      <c r="I2" s="30" t="s">
        <v>88</v>
      </c>
      <c r="O2" s="17"/>
      <c r="P2" s="17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 spans="1:45" ht="12.75" x14ac:dyDescent="0.35">
      <c r="A3" s="185" t="s">
        <v>13</v>
      </c>
      <c r="B3" s="186"/>
      <c r="C3" s="32">
        <v>300</v>
      </c>
      <c r="D3" s="33">
        <v>0.2</v>
      </c>
      <c r="E3" s="17">
        <v>-0.05</v>
      </c>
      <c r="F3" s="33">
        <v>0.153</v>
      </c>
      <c r="G3" s="34">
        <v>6.69</v>
      </c>
      <c r="H3" s="33">
        <v>2.5000000000000001E-2</v>
      </c>
      <c r="I3" s="33">
        <v>0.247</v>
      </c>
      <c r="O3" s="17"/>
      <c r="P3" s="17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 spans="1:45" ht="12.75" x14ac:dyDescent="0.35">
      <c r="A4" s="187"/>
      <c r="B4" s="188"/>
      <c r="C4" s="32">
        <f>549+90</f>
        <v>639</v>
      </c>
      <c r="D4" s="33">
        <v>0.2</v>
      </c>
      <c r="E4" s="17">
        <v>-0.05</v>
      </c>
      <c r="F4" s="33">
        <v>0.36099999999999999</v>
      </c>
      <c r="G4" s="34">
        <v>1.0820000000000001</v>
      </c>
      <c r="H4" s="35">
        <v>2.5000000000000001E-2</v>
      </c>
      <c r="I4" s="33">
        <v>0.17100000000000001</v>
      </c>
      <c r="O4" s="17"/>
      <c r="P4" s="17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</row>
    <row r="5" spans="1:45" ht="12.75" x14ac:dyDescent="0.35">
      <c r="A5" s="152" t="s">
        <v>15</v>
      </c>
      <c r="B5" s="15" t="str">
        <f>Config!B3</f>
        <v>2026_C_PR_B3_CONFIG1</v>
      </c>
      <c r="C5" s="37">
        <v>300</v>
      </c>
      <c r="D5" s="38">
        <v>0.2</v>
      </c>
      <c r="E5" s="37">
        <v>-0.05</v>
      </c>
      <c r="F5" s="38">
        <f>Config!J3</f>
        <v>0.4</v>
      </c>
      <c r="G5" s="39">
        <f>Config!L3/Config!D3</f>
        <v>0</v>
      </c>
      <c r="H5" s="40">
        <v>2.5000000000000001E-2</v>
      </c>
      <c r="I5" s="40">
        <f>Config!K3</f>
        <v>0.2</v>
      </c>
      <c r="O5" s="17"/>
      <c r="P5" s="17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</row>
    <row r="6" spans="1:45" ht="12.75" x14ac:dyDescent="0.35">
      <c r="A6" s="153"/>
      <c r="B6" s="20" t="str">
        <f>Config!B4</f>
        <v>2025_C_PR_B3_CONFIG2</v>
      </c>
      <c r="C6" s="17">
        <v>300</v>
      </c>
      <c r="D6" s="33">
        <v>0.2</v>
      </c>
      <c r="E6" s="17">
        <v>-0.05</v>
      </c>
      <c r="F6" s="32">
        <f>Config!J4</f>
        <v>0.4</v>
      </c>
      <c r="G6" s="39">
        <f>Config!L4/Config!D4</f>
        <v>0</v>
      </c>
      <c r="H6" s="32">
        <v>2.5000000000000001E-2</v>
      </c>
      <c r="I6" s="33">
        <f>Config!K4</f>
        <v>0.2</v>
      </c>
      <c r="O6" s="17"/>
      <c r="P6" s="17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</row>
    <row r="7" spans="1:45" ht="12.75" x14ac:dyDescent="0.35">
      <c r="A7" s="153"/>
      <c r="B7" s="20" t="str">
        <f>Config!B5</f>
        <v>2026_C_PR_B3_CONFIG3</v>
      </c>
      <c r="C7" s="17">
        <v>300</v>
      </c>
      <c r="D7" s="33">
        <v>0.2</v>
      </c>
      <c r="E7" s="17">
        <v>-0.05</v>
      </c>
      <c r="F7" s="32">
        <f>Config!J5</f>
        <v>0.4</v>
      </c>
      <c r="G7" s="39">
        <f>Config!L5/Config!D5</f>
        <v>0</v>
      </c>
      <c r="H7" s="32">
        <v>2.5000000000000001E-2</v>
      </c>
      <c r="I7" s="33">
        <f>Config!K5</f>
        <v>0.2</v>
      </c>
      <c r="O7" s="17"/>
      <c r="P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45" ht="12.75" x14ac:dyDescent="0.35">
      <c r="A8" s="153"/>
      <c r="B8" s="21" t="str">
        <f>Config!B6</f>
        <v>2025_C_PR_B3_CONFIG4</v>
      </c>
      <c r="C8" s="17">
        <v>300</v>
      </c>
      <c r="D8" s="33">
        <v>0.2</v>
      </c>
      <c r="E8" s="17">
        <v>-0.05</v>
      </c>
      <c r="F8" s="32">
        <f>Config!J6</f>
        <v>0.4</v>
      </c>
      <c r="G8" s="39">
        <f>Config!L6/Config!D6</f>
        <v>5.5384615384615383</v>
      </c>
      <c r="H8" s="32">
        <v>2.5000000000000001E-2</v>
      </c>
      <c r="I8" s="33">
        <f>Config!K6</f>
        <v>0.2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45" ht="12.75" x14ac:dyDescent="0.35">
      <c r="A9" s="153"/>
      <c r="B9" s="21" t="str">
        <f>Config!B7</f>
        <v>2026_C_PR_B3_CONFIG5</v>
      </c>
      <c r="C9" s="17">
        <v>300</v>
      </c>
      <c r="D9" s="33">
        <v>0.2</v>
      </c>
      <c r="E9" s="17">
        <v>-0.05</v>
      </c>
      <c r="F9" s="32">
        <f>Config!J7</f>
        <v>0.4</v>
      </c>
      <c r="G9" s="39">
        <f>Config!L7/Config!D7</f>
        <v>5.1428571428571432</v>
      </c>
      <c r="H9" s="32">
        <v>2.5000000000000001E-2</v>
      </c>
      <c r="I9" s="33">
        <f>Config!K7</f>
        <v>0.2</v>
      </c>
      <c r="K9" s="17"/>
      <c r="L9" s="17"/>
      <c r="M9" s="17"/>
      <c r="N9" s="17"/>
      <c r="O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45" ht="12.75" x14ac:dyDescent="0.35">
      <c r="A10" s="153"/>
      <c r="B10" s="20" t="str">
        <f>Config!B8</f>
        <v>2025_C_PR_B3_CONFIG6</v>
      </c>
      <c r="C10" s="17">
        <v>300</v>
      </c>
      <c r="D10" s="33">
        <v>0.2</v>
      </c>
      <c r="E10" s="17">
        <v>-0.05</v>
      </c>
      <c r="F10" s="32">
        <f>Config!J8</f>
        <v>0.4</v>
      </c>
      <c r="G10" s="39">
        <f>Config!L8/Config!D8</f>
        <v>0</v>
      </c>
      <c r="H10" s="32">
        <v>2.5000000000000001E-2</v>
      </c>
      <c r="I10" s="33">
        <f>Config!K8</f>
        <v>0.2</v>
      </c>
      <c r="K10" s="17"/>
      <c r="L10" s="17"/>
      <c r="M10" s="17"/>
      <c r="N10" s="17"/>
      <c r="O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45" ht="12.75" x14ac:dyDescent="0.35">
      <c r="A11" s="153"/>
      <c r="B11" s="20" t="str">
        <f>Config!B9</f>
        <v>2026_C_PR_B3_CONFIG7</v>
      </c>
      <c r="C11" s="17">
        <v>300</v>
      </c>
      <c r="D11" s="33">
        <v>0.2</v>
      </c>
      <c r="E11" s="17">
        <v>-0.05</v>
      </c>
      <c r="F11" s="32">
        <f>Config!J9</f>
        <v>0.4</v>
      </c>
      <c r="G11" s="39">
        <f>Config!L9/Config!D9</f>
        <v>0</v>
      </c>
      <c r="H11" s="32">
        <v>2.5000000000000001E-2</v>
      </c>
      <c r="I11" s="33">
        <f>Config!K9</f>
        <v>0.2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45" ht="12.75" x14ac:dyDescent="0.35">
      <c r="A12" s="153"/>
      <c r="B12" s="20" t="str">
        <f>Config!B10</f>
        <v>2025_C_PR_B3_CONFIG8</v>
      </c>
      <c r="C12" s="17">
        <v>300</v>
      </c>
      <c r="D12" s="33">
        <v>0.2</v>
      </c>
      <c r="E12" s="17">
        <v>-0.05</v>
      </c>
      <c r="F12" s="32">
        <f>Config!J10</f>
        <v>0.4</v>
      </c>
      <c r="G12" s="39">
        <f>Config!L10/Config!D10</f>
        <v>0</v>
      </c>
      <c r="H12" s="32">
        <v>2.5000000000000001E-2</v>
      </c>
      <c r="I12" s="33">
        <f>Config!K10</f>
        <v>0.2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45" ht="12.75" x14ac:dyDescent="0.35">
      <c r="A13" s="153"/>
      <c r="B13" s="20" t="str">
        <f>Config!B11</f>
        <v>2026_C_PR_B3_CONFIG9</v>
      </c>
      <c r="C13" s="17">
        <v>300</v>
      </c>
      <c r="D13" s="33">
        <v>0.2</v>
      </c>
      <c r="E13" s="17">
        <v>-0.05</v>
      </c>
      <c r="F13" s="32">
        <f>Config!J11</f>
        <v>0.4</v>
      </c>
      <c r="G13" s="39">
        <f>Config!L11/Config!D11</f>
        <v>0</v>
      </c>
      <c r="H13" s="32">
        <v>2.5000000000000001E-2</v>
      </c>
      <c r="I13" s="33">
        <f>Config!K11</f>
        <v>0.2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45" ht="12.75" x14ac:dyDescent="0.35">
      <c r="A14" s="153"/>
      <c r="B14" s="20" t="str">
        <f>Config!B12</f>
        <v>2026_C_PR_B3_CONFIG10</v>
      </c>
      <c r="C14" s="17">
        <v>300</v>
      </c>
      <c r="D14" s="33">
        <v>0.2</v>
      </c>
      <c r="E14" s="17">
        <v>-0.05</v>
      </c>
      <c r="F14" s="33">
        <f>Config!J12</f>
        <v>0.4</v>
      </c>
      <c r="G14" s="39">
        <f>Config!L12/Config!D12</f>
        <v>0</v>
      </c>
      <c r="H14" s="18">
        <v>2.5000000000000001E-2</v>
      </c>
      <c r="I14" s="18">
        <f>Config!K12</f>
        <v>0.2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45" ht="12.75" x14ac:dyDescent="0.35">
      <c r="A15" s="153"/>
      <c r="B15" s="20" t="str">
        <f>Config!B13</f>
        <v>2026_C_PR_B3_CONFIG11</v>
      </c>
      <c r="C15" s="17">
        <v>300</v>
      </c>
      <c r="D15" s="33">
        <v>0.2</v>
      </c>
      <c r="E15" s="17">
        <v>-5.00000000000001E-2</v>
      </c>
      <c r="F15" s="33">
        <f>Config!J13</f>
        <v>0.4</v>
      </c>
      <c r="G15" s="39">
        <f>Config!L13/Config!D13</f>
        <v>0</v>
      </c>
      <c r="H15" s="18">
        <v>2.5000000000000001E-2</v>
      </c>
      <c r="I15" s="18">
        <f>Config!K13</f>
        <v>0.2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45" ht="12.75" x14ac:dyDescent="0.35">
      <c r="A16" s="154"/>
      <c r="B16" s="23" t="str">
        <f>Config!B14</f>
        <v>2026_C_PR_B3_CONFIG12</v>
      </c>
      <c r="C16" s="11">
        <v>300</v>
      </c>
      <c r="D16" s="41">
        <v>0.2</v>
      </c>
      <c r="E16" s="11">
        <v>-5.00000000000001E-2</v>
      </c>
      <c r="F16" s="42">
        <f>Config!J14</f>
        <v>0.4</v>
      </c>
      <c r="G16" s="39">
        <f>Config!L14/Config!D14</f>
        <v>0</v>
      </c>
      <c r="H16" s="42">
        <v>2.5000000000000099E-2</v>
      </c>
      <c r="I16" s="41">
        <f>Config!K14</f>
        <v>0.2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12.75" x14ac:dyDescent="0.35">
      <c r="A17" s="152" t="s">
        <v>29</v>
      </c>
      <c r="B17" s="20" t="str">
        <f>Config!B15</f>
        <v>2026_C_PR_B3_CONFIG13</v>
      </c>
      <c r="C17" s="17">
        <v>300</v>
      </c>
      <c r="D17" s="33">
        <v>0.2</v>
      </c>
      <c r="E17" s="17">
        <v>-5.00000000000001E-2</v>
      </c>
      <c r="F17" s="32">
        <f>Config!J15</f>
        <v>0.4</v>
      </c>
      <c r="G17" s="39">
        <f>Config!L15/Config!D15</f>
        <v>0</v>
      </c>
      <c r="H17" s="32">
        <v>2.5000000000000099E-2</v>
      </c>
      <c r="I17" s="33">
        <f>Config!K15</f>
        <v>0.2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12.75" x14ac:dyDescent="0.35">
      <c r="A18" s="153"/>
      <c r="B18" s="20" t="str">
        <f>Config!B16</f>
        <v>2026_C_PR_B3_CONFIG14</v>
      </c>
      <c r="C18" s="17">
        <v>300</v>
      </c>
      <c r="D18" s="33">
        <v>0.2</v>
      </c>
      <c r="E18" s="17">
        <v>-5.00000000000001E-2</v>
      </c>
      <c r="F18" s="32">
        <f>Config!J16</f>
        <v>0.4</v>
      </c>
      <c r="G18" s="39">
        <f>Config!L16/Config!D16</f>
        <v>0</v>
      </c>
      <c r="H18" s="32">
        <v>2.5000000000000099E-2</v>
      </c>
      <c r="I18" s="33">
        <f>Config!K16</f>
        <v>0.2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12.75" x14ac:dyDescent="0.35">
      <c r="A19" s="153"/>
      <c r="B19" s="20" t="str">
        <f>Config!B17</f>
        <v>2026_C_PR_B3_CONFIG15</v>
      </c>
      <c r="C19" s="17">
        <v>300</v>
      </c>
      <c r="D19" s="33">
        <v>0.2</v>
      </c>
      <c r="E19" s="17">
        <v>-5.00000000000001E-2</v>
      </c>
      <c r="F19" s="32">
        <f>Config!J17</f>
        <v>0.4</v>
      </c>
      <c r="G19" s="39">
        <f>Config!L17/Config!D17</f>
        <v>0</v>
      </c>
      <c r="H19" s="32">
        <v>2.5000000000000099E-2</v>
      </c>
      <c r="I19" s="33">
        <f>Config!K17</f>
        <v>0.2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12.75" x14ac:dyDescent="0.35">
      <c r="A20" s="153"/>
      <c r="B20" s="20" t="str">
        <f>Config!B18</f>
        <v>2026_C_PR_B3_CONFIG16</v>
      </c>
      <c r="C20" s="17">
        <v>300</v>
      </c>
      <c r="D20" s="33">
        <v>0.2</v>
      </c>
      <c r="E20" s="17">
        <v>-5.00000000000001E-2</v>
      </c>
      <c r="F20" s="32">
        <f>Config!J18</f>
        <v>0.4</v>
      </c>
      <c r="G20" s="39">
        <f>Config!L18/Config!D18</f>
        <v>0</v>
      </c>
      <c r="H20" s="32">
        <v>2.5000000000000099E-2</v>
      </c>
      <c r="I20" s="33">
        <f>Config!K18</f>
        <v>0.2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12.75" x14ac:dyDescent="0.35">
      <c r="A21" s="153"/>
      <c r="B21" s="20" t="str">
        <f>Config!B19</f>
        <v>2026_C_PR_B3_CONFIG17</v>
      </c>
      <c r="C21" s="17">
        <v>300</v>
      </c>
      <c r="D21" s="33">
        <v>0.2</v>
      </c>
      <c r="E21" s="17">
        <v>-5.00000000000001E-2</v>
      </c>
      <c r="F21" s="32">
        <f>Config!J19</f>
        <v>0.4</v>
      </c>
      <c r="G21" s="39">
        <f>Config!L19/Config!D19</f>
        <v>0</v>
      </c>
      <c r="H21" s="32">
        <v>2.5000000000000099E-2</v>
      </c>
      <c r="I21" s="33">
        <f>Config!K19</f>
        <v>0.2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12.75" x14ac:dyDescent="0.35">
      <c r="A22" s="153"/>
      <c r="B22" s="21" t="str">
        <f>Config!B20</f>
        <v>2026_C_PR_B3_CONFIG18</v>
      </c>
      <c r="C22" s="17">
        <v>300</v>
      </c>
      <c r="D22" s="33">
        <v>0.2</v>
      </c>
      <c r="E22" s="17">
        <v>-5.00000000000001E-2</v>
      </c>
      <c r="F22" s="32">
        <f>Config!J20</f>
        <v>0.4</v>
      </c>
      <c r="G22" s="39">
        <f>Config!L20/Config!D20</f>
        <v>4.8</v>
      </c>
      <c r="H22" s="32">
        <v>2.5000000000000001E-2</v>
      </c>
      <c r="I22" s="33">
        <f>Config!K20</f>
        <v>0.2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12.75" x14ac:dyDescent="0.35">
      <c r="A23" s="153"/>
      <c r="B23" s="21" t="str">
        <f>Config!B21</f>
        <v>2026_C_PR_B3_CONFIG19</v>
      </c>
      <c r="C23" s="17">
        <v>300</v>
      </c>
      <c r="D23" s="33">
        <v>0.2</v>
      </c>
      <c r="E23" s="17">
        <v>-5.0000000000000197E-2</v>
      </c>
      <c r="F23" s="32">
        <f>Config!J21</f>
        <v>0.4</v>
      </c>
      <c r="G23" s="43">
        <f>Config!L21/Config!D21</f>
        <v>4.5</v>
      </c>
      <c r="H23" s="32">
        <v>2.5000000000000099E-2</v>
      </c>
      <c r="I23" s="33">
        <f>Config!K21</f>
        <v>0.2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12.75" x14ac:dyDescent="0.35">
      <c r="A24" s="153"/>
      <c r="B24" s="20" t="str">
        <f>Config!B22</f>
        <v>2026_C_PR_B3_CONFIG20</v>
      </c>
      <c r="C24" s="17">
        <v>300</v>
      </c>
      <c r="D24" s="33">
        <v>0.2</v>
      </c>
      <c r="E24" s="17">
        <v>-5.0000000000000197E-2</v>
      </c>
      <c r="F24" s="33">
        <f>Config!J22</f>
        <v>0.4</v>
      </c>
      <c r="G24" s="44">
        <f>Config!M22/Config!D22</f>
        <v>0</v>
      </c>
      <c r="H24" s="18">
        <v>2.5000000000000099E-2</v>
      </c>
      <c r="I24" s="18">
        <f>Config!K22</f>
        <v>0.2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spans="1:39" ht="12.75" x14ac:dyDescent="0.35">
      <c r="A25" s="153"/>
      <c r="B25" s="20" t="str">
        <f>Config!B23</f>
        <v>2026_C_PR_B3_CONFIG21</v>
      </c>
      <c r="C25" s="17">
        <v>300</v>
      </c>
      <c r="D25" s="33">
        <v>0.2</v>
      </c>
      <c r="E25" s="17">
        <v>-5.0000000000000197E-2</v>
      </c>
      <c r="F25" s="33">
        <f>Config!J23</f>
        <v>0.4</v>
      </c>
      <c r="G25" s="44">
        <f>Config!M23/Config!D23</f>
        <v>0</v>
      </c>
      <c r="H25" s="18">
        <v>2.5000000000000099E-2</v>
      </c>
      <c r="I25" s="18">
        <f>Config!K23</f>
        <v>0.2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12.75" x14ac:dyDescent="0.35">
      <c r="A26" s="153"/>
      <c r="B26" s="20" t="str">
        <f>Config!B24</f>
        <v>2026_C_PR_B3_CONFIG22</v>
      </c>
      <c r="C26" s="17">
        <v>300</v>
      </c>
      <c r="D26" s="33">
        <v>0.2</v>
      </c>
      <c r="E26" s="17">
        <v>-5.0000000000000197E-2</v>
      </c>
      <c r="F26" s="33">
        <f>Config!J24</f>
        <v>0.4</v>
      </c>
      <c r="G26" s="44">
        <f>Config!M24/Config!D24</f>
        <v>0</v>
      </c>
      <c r="H26" s="18">
        <v>2.5000000000000199E-2</v>
      </c>
      <c r="I26" s="18">
        <f>Config!K24</f>
        <v>0.2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12.75" x14ac:dyDescent="0.35">
      <c r="A27" s="153"/>
      <c r="B27" s="20" t="str">
        <f>Config!B25</f>
        <v>2026_C_PR_B3_CONFIG23</v>
      </c>
      <c r="C27" s="17">
        <v>300</v>
      </c>
      <c r="D27" s="33">
        <v>0.2</v>
      </c>
      <c r="E27" s="17">
        <v>-5.0000000000000197E-2</v>
      </c>
      <c r="F27" s="32">
        <f>Config!J25</f>
        <v>0.4</v>
      </c>
      <c r="G27" s="43">
        <f>Config!M25/Config!D25</f>
        <v>0</v>
      </c>
      <c r="H27" s="32">
        <v>2.5000000000000199E-2</v>
      </c>
      <c r="I27" s="33">
        <f>Config!K25</f>
        <v>0.2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ht="12.75" x14ac:dyDescent="0.35">
      <c r="A28" s="154"/>
      <c r="B28" s="23" t="str">
        <f>Config!B26</f>
        <v>2026_C_PR_B3_CONFIG24</v>
      </c>
      <c r="C28" s="11">
        <v>300</v>
      </c>
      <c r="D28" s="41">
        <v>0.2</v>
      </c>
      <c r="E28" s="11">
        <v>-5.0000000000000197E-2</v>
      </c>
      <c r="F28" s="42">
        <f>Config!J26</f>
        <v>0.4</v>
      </c>
      <c r="G28" s="45">
        <f>Config!M26/Config!D26</f>
        <v>0</v>
      </c>
      <c r="H28" s="42">
        <v>2.5000000000000199E-2</v>
      </c>
      <c r="I28" s="41">
        <f>Config!K26</f>
        <v>0.2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ht="12.75" x14ac:dyDescent="0.35">
      <c r="A29" s="152" t="s">
        <v>43</v>
      </c>
      <c r="B29" s="25" t="str">
        <f>Config!B27</f>
        <v>2026_C_PR_B3_CONFIG25</v>
      </c>
      <c r="C29" s="17">
        <v>300</v>
      </c>
      <c r="D29" s="33">
        <v>0.2</v>
      </c>
      <c r="E29" s="17">
        <v>-5.0000000000000301E-2</v>
      </c>
      <c r="F29" s="32">
        <f>Config!J27</f>
        <v>0.4</v>
      </c>
      <c r="G29" s="43">
        <f>Config!L27/Config!D27</f>
        <v>5</v>
      </c>
      <c r="H29" s="32">
        <v>2.5000000000000199E-2</v>
      </c>
      <c r="I29" s="33">
        <f>Config!K27</f>
        <v>0.2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ht="12.75" x14ac:dyDescent="0.35">
      <c r="A30" s="153"/>
      <c r="B30" s="25" t="str">
        <f>Config!B28</f>
        <v>2026_C_PR_B3_CONFIG26</v>
      </c>
      <c r="C30" s="17">
        <v>300</v>
      </c>
      <c r="D30" s="33">
        <v>0.2</v>
      </c>
      <c r="E30" s="17">
        <v>-5.0000000000000301E-2</v>
      </c>
      <c r="F30" s="32">
        <f>Config!J28</f>
        <v>0.4</v>
      </c>
      <c r="G30" s="43">
        <f>Config!L28/Config!D28</f>
        <v>5.3571428571428568</v>
      </c>
      <c r="H30" s="32">
        <v>2.5000000000000199E-2</v>
      </c>
      <c r="I30" s="33">
        <f>Config!K28</f>
        <v>0.2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ht="12.75" x14ac:dyDescent="0.35">
      <c r="A31" s="153"/>
      <c r="B31" s="25" t="str">
        <f>Config!B29</f>
        <v>2026_C_PR_B3_CONFIG27</v>
      </c>
      <c r="C31" s="17">
        <v>300</v>
      </c>
      <c r="D31" s="33">
        <v>0.2</v>
      </c>
      <c r="E31" s="17">
        <v>-5.0000000000000301E-2</v>
      </c>
      <c r="F31" s="32">
        <f>Config!J29</f>
        <v>0.4</v>
      </c>
      <c r="G31" s="43">
        <f>Config!L29/Config!D29</f>
        <v>5.1428571428571432</v>
      </c>
      <c r="H31" s="32">
        <v>2.5000000000000199E-2</v>
      </c>
      <c r="I31" s="33">
        <f>Config!K29</f>
        <v>0.2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ht="12.75" x14ac:dyDescent="0.35">
      <c r="A32" s="153"/>
      <c r="B32" s="25" t="str">
        <f>Config!B30</f>
        <v>2026_C_PR_B3_CONFIG28</v>
      </c>
      <c r="C32" s="17">
        <v>300</v>
      </c>
      <c r="D32" s="33">
        <v>0.2</v>
      </c>
      <c r="E32" s="17">
        <v>-5.0000000000000301E-2</v>
      </c>
      <c r="F32" s="32">
        <f>Config!J30</f>
        <v>0.4</v>
      </c>
      <c r="G32" s="43">
        <f>Config!L30/Config!D30</f>
        <v>5.2142857142857144</v>
      </c>
      <c r="H32" s="32">
        <v>2.5000000000000199E-2</v>
      </c>
      <c r="I32" s="33">
        <f>Config!K30</f>
        <v>0.2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ht="12.75" x14ac:dyDescent="0.35">
      <c r="A33" s="153"/>
      <c r="B33" s="25" t="str">
        <f>Config!B31</f>
        <v>2026_C_PR_B3_CONFIG29</v>
      </c>
      <c r="C33" s="17">
        <v>300</v>
      </c>
      <c r="D33" s="33">
        <v>0.2</v>
      </c>
      <c r="E33" s="17">
        <v>-5.0000000000000301E-2</v>
      </c>
      <c r="F33" s="32">
        <f>Config!J31</f>
        <v>0.4</v>
      </c>
      <c r="G33" s="43">
        <f>Config!L31/Config!D31</f>
        <v>5.25</v>
      </c>
      <c r="H33" s="32">
        <v>2.5000000000000199E-2</v>
      </c>
      <c r="I33" s="33">
        <f>Config!K31</f>
        <v>0.2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ht="12.75" x14ac:dyDescent="0.35">
      <c r="A34" s="154"/>
      <c r="B34" s="23" t="str">
        <f>Config!B32</f>
        <v>2026_C_PR_B3_CONFIG30</v>
      </c>
      <c r="C34" s="11">
        <v>300</v>
      </c>
      <c r="D34" s="41">
        <v>0.2</v>
      </c>
      <c r="E34" s="11">
        <v>-5.0000000000000301E-2</v>
      </c>
      <c r="F34" s="42">
        <f>Config!J32</f>
        <v>0.4</v>
      </c>
      <c r="G34" s="43">
        <f>Config!L32/Config!D32</f>
        <v>1</v>
      </c>
      <c r="H34" s="42">
        <v>2.5000000000000199E-2</v>
      </c>
      <c r="I34" s="41">
        <f>Config!K32</f>
        <v>0.2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ht="12.75" x14ac:dyDescent="0.35">
      <c r="A35" s="152" t="s">
        <v>51</v>
      </c>
      <c r="B35" s="21" t="str">
        <f>Config!B33</f>
        <v>2026_C_PR_B3_CONFIG31</v>
      </c>
      <c r="C35" s="17">
        <v>300</v>
      </c>
      <c r="D35" s="33">
        <v>0.2</v>
      </c>
      <c r="E35" s="17">
        <v>-5.0000000000000301E-2</v>
      </c>
      <c r="F35" s="33">
        <f>Config!J33</f>
        <v>0.4</v>
      </c>
      <c r="G35" s="44">
        <f>Config!M33/Config!D33</f>
        <v>4.9249999999999998</v>
      </c>
      <c r="H35" s="18">
        <v>2.5000000000000199E-2</v>
      </c>
      <c r="I35" s="18">
        <f>Config!K33</f>
        <v>0.2</v>
      </c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</row>
    <row r="36" spans="1:39" ht="12.75" x14ac:dyDescent="0.35">
      <c r="A36" s="153"/>
      <c r="B36" s="21" t="str">
        <f>Config!B34</f>
        <v>2026_C_PR_B3_CONFIG32</v>
      </c>
      <c r="C36" s="17">
        <v>300</v>
      </c>
      <c r="D36" s="33">
        <v>0.2</v>
      </c>
      <c r="E36" s="17">
        <v>-5.0000000000000301E-2</v>
      </c>
      <c r="F36" s="33">
        <f>Config!J34</f>
        <v>0.4</v>
      </c>
      <c r="G36" s="44">
        <f>Config!M34/Config!D34</f>
        <v>4.9874999999999998</v>
      </c>
      <c r="H36" s="18">
        <v>2.5000000000000199E-2</v>
      </c>
      <c r="I36" s="18">
        <f>Config!K34</f>
        <v>0.2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1:39" ht="12.75" x14ac:dyDescent="0.35">
      <c r="A37" s="153"/>
      <c r="B37" s="20" t="str">
        <f>Config!B35</f>
        <v>2026_C_PR_B3_CONFIG33</v>
      </c>
      <c r="C37" s="17">
        <v>300</v>
      </c>
      <c r="D37" s="33">
        <v>0.2</v>
      </c>
      <c r="E37" s="17">
        <v>-5.0000000000000301E-2</v>
      </c>
      <c r="F37" s="33">
        <f>Config!J35</f>
        <v>0.4</v>
      </c>
      <c r="G37" s="44">
        <f>Config!M35/Config!D35</f>
        <v>0.30012499999999998</v>
      </c>
      <c r="H37" s="18">
        <v>2.5000000000000199E-2</v>
      </c>
      <c r="I37" s="18">
        <f>Config!K35</f>
        <v>0.2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ht="12.75" x14ac:dyDescent="0.35">
      <c r="A38" s="153"/>
      <c r="B38" s="20" t="str">
        <f>Config!B36</f>
        <v>2026_C_PR_B3_CONFIG34</v>
      </c>
      <c r="C38" s="17">
        <v>300</v>
      </c>
      <c r="D38" s="33">
        <v>0.2</v>
      </c>
      <c r="E38" s="17">
        <v>-5.0000000000000301E-2</v>
      </c>
      <c r="F38" s="33">
        <f>Config!J36</f>
        <v>0.4</v>
      </c>
      <c r="G38" s="44">
        <f>Config!M36/Config!D36</f>
        <v>0.30012499999999998</v>
      </c>
      <c r="H38" s="18">
        <v>2.5000000000000199E-2</v>
      </c>
      <c r="I38" s="18">
        <f>Config!K36</f>
        <v>0.2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39" ht="12.75" x14ac:dyDescent="0.35">
      <c r="A39" s="153"/>
      <c r="B39" s="20" t="str">
        <f>Config!B37</f>
        <v>2026_C_PR_B1_CONFIG35</v>
      </c>
      <c r="C39" s="17">
        <v>639</v>
      </c>
      <c r="D39" s="33">
        <v>0.2</v>
      </c>
      <c r="E39" s="17">
        <v>-5.0000000000000301E-2</v>
      </c>
      <c r="F39" s="33">
        <f>Config!J37</f>
        <v>0.4</v>
      </c>
      <c r="G39" s="44">
        <f>Config!M37/Config!D37</f>
        <v>1.3</v>
      </c>
      <c r="H39" s="18">
        <v>2.5000000000000199E-2</v>
      </c>
      <c r="I39" s="18">
        <f>Config!K37</f>
        <v>0.2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39" ht="12.75" x14ac:dyDescent="0.35">
      <c r="A40" s="154"/>
      <c r="B40" s="23" t="str">
        <f>Config!B38</f>
        <v>2026_C_PR_B1_CONFIG36</v>
      </c>
      <c r="C40" s="11">
        <v>639</v>
      </c>
      <c r="D40" s="41">
        <v>0.2</v>
      </c>
      <c r="E40" s="11">
        <v>-5.0000000000000301E-2</v>
      </c>
      <c r="F40" s="41">
        <f>Config!J38</f>
        <v>0.4</v>
      </c>
      <c r="G40" s="46">
        <f>Config!M38/Config!D38</f>
        <v>1.3</v>
      </c>
      <c r="H40" s="12">
        <v>2.5000000000000199E-2</v>
      </c>
      <c r="I40" s="12">
        <f>Config!K38</f>
        <v>0.2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ht="12.75" x14ac:dyDescent="0.35">
      <c r="A41" s="152" t="s">
        <v>59</v>
      </c>
      <c r="B41" s="25" t="str">
        <f>Config!B39</f>
        <v>2026_C_PR_B1_CONFIG37</v>
      </c>
      <c r="C41" s="17">
        <v>639</v>
      </c>
      <c r="D41" s="33">
        <v>0.2</v>
      </c>
      <c r="E41" s="17">
        <v>-5.0000000000000301E-2</v>
      </c>
      <c r="F41" s="33">
        <f>Config!J39</f>
        <v>0.4</v>
      </c>
      <c r="G41" s="44">
        <f>Config!L39/Config!D39</f>
        <v>5.25</v>
      </c>
      <c r="H41" s="18">
        <v>2.5000000000000199E-2</v>
      </c>
      <c r="I41" s="18">
        <f>Config!K39</f>
        <v>0.2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spans="1:39" ht="12.75" x14ac:dyDescent="0.35">
      <c r="A42" s="153"/>
      <c r="B42" s="25" t="str">
        <f>Config!B40</f>
        <v>2026_C_PR_B1_CONFIG38</v>
      </c>
      <c r="C42" s="17">
        <v>639</v>
      </c>
      <c r="D42" s="33">
        <v>0.2</v>
      </c>
      <c r="E42" s="17">
        <v>-5.0000000000000301E-2</v>
      </c>
      <c r="F42" s="33">
        <f>Config!J40</f>
        <v>0.4</v>
      </c>
      <c r="G42" s="44">
        <f>Config!L40/Config!D40</f>
        <v>5.25</v>
      </c>
      <c r="H42" s="18">
        <v>2.5000000000000199E-2</v>
      </c>
      <c r="I42" s="18">
        <f>Config!K40</f>
        <v>0.2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1:39" ht="12.75" x14ac:dyDescent="0.35">
      <c r="A43" s="153"/>
      <c r="B43" s="25" t="str">
        <f>Config!B41</f>
        <v>2026_C_PR_B1_CONFIG39</v>
      </c>
      <c r="C43" s="17">
        <v>639</v>
      </c>
      <c r="D43" s="33">
        <v>0.2</v>
      </c>
      <c r="E43" s="17">
        <v>-5.0000000000000301E-2</v>
      </c>
      <c r="F43" s="33">
        <f>Config!J41</f>
        <v>0.4</v>
      </c>
      <c r="G43" s="44">
        <f>Config!L41/Config!D41</f>
        <v>5.25</v>
      </c>
      <c r="H43" s="18">
        <v>2.5000000000000199E-2</v>
      </c>
      <c r="I43" s="18">
        <f>Config!K41</f>
        <v>0.2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spans="1:39" ht="12.75" x14ac:dyDescent="0.35">
      <c r="A44" s="153"/>
      <c r="B44" s="25" t="str">
        <f>Config!B42</f>
        <v>2026_C_PR_B1_CONFIG40</v>
      </c>
      <c r="C44" s="17">
        <v>639</v>
      </c>
      <c r="D44" s="33">
        <v>0.2</v>
      </c>
      <c r="E44" s="17">
        <v>-5.0000000000000301E-2</v>
      </c>
      <c r="F44" s="33">
        <f>Config!J42</f>
        <v>0.4</v>
      </c>
      <c r="G44" s="44">
        <f>Config!L42/Config!D42</f>
        <v>5.25</v>
      </c>
      <c r="H44" s="18">
        <v>2.5000000000000199E-2</v>
      </c>
      <c r="I44" s="18">
        <f>Config!K42</f>
        <v>0.2</v>
      </c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1:39" ht="12.75" x14ac:dyDescent="0.35">
      <c r="A45" s="153"/>
      <c r="B45" s="25" t="str">
        <f>Config!B43</f>
        <v>2026_C_PR_B1_CONFIG41</v>
      </c>
      <c r="C45" s="17">
        <v>639</v>
      </c>
      <c r="D45" s="33">
        <v>0.2</v>
      </c>
      <c r="E45" s="17">
        <v>-5.0000000000000301E-2</v>
      </c>
      <c r="F45" s="33">
        <f>Config!J43</f>
        <v>0.4</v>
      </c>
      <c r="G45" s="44">
        <f>Config!L43/Config!D43</f>
        <v>5.25</v>
      </c>
      <c r="H45" s="18">
        <v>2.5000000000000199E-2</v>
      </c>
      <c r="I45" s="18">
        <f>Config!K43</f>
        <v>0.2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1:39" ht="12.75" x14ac:dyDescent="0.35">
      <c r="A46" s="153"/>
      <c r="B46" s="25" t="str">
        <f>Config!B44</f>
        <v>2026_C_PR_B1_CONFIG42</v>
      </c>
      <c r="C46" s="17">
        <v>639</v>
      </c>
      <c r="D46" s="33">
        <v>0.2</v>
      </c>
      <c r="E46" s="17">
        <v>-5.0000000000000301E-2</v>
      </c>
      <c r="F46" s="33">
        <f>Config!J44</f>
        <v>0.4</v>
      </c>
      <c r="G46" s="44">
        <f>Config!L44/Config!D44</f>
        <v>5.25</v>
      </c>
      <c r="H46" s="18">
        <v>2.5000000000000199E-2</v>
      </c>
      <c r="I46" s="18">
        <f>Config!K44</f>
        <v>0.2</v>
      </c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ht="12.75" x14ac:dyDescent="0.35">
      <c r="A47" s="153"/>
      <c r="B47" s="25" t="str">
        <f>Config!B45</f>
        <v>2026_C_PR_B1_CONFIG43</v>
      </c>
      <c r="C47" s="17">
        <v>639</v>
      </c>
      <c r="D47" s="33">
        <v>0.2</v>
      </c>
      <c r="E47" s="17">
        <v>-5.0000000000000301E-2</v>
      </c>
      <c r="F47" s="33">
        <f>Config!J45</f>
        <v>0.4</v>
      </c>
      <c r="G47" s="44">
        <f>Config!L45/Config!D45</f>
        <v>5.25</v>
      </c>
      <c r="H47" s="18">
        <v>2.5000000000000199E-2</v>
      </c>
      <c r="I47" s="18">
        <f>Config!K45</f>
        <v>0.2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39" ht="12.75" x14ac:dyDescent="0.35">
      <c r="A48" s="154"/>
      <c r="B48" s="47" t="str">
        <f>Config!B46</f>
        <v>2026_C_PR_B1_CONFIG44</v>
      </c>
      <c r="C48" s="11">
        <v>639</v>
      </c>
      <c r="D48" s="41">
        <v>0.2</v>
      </c>
      <c r="E48" s="11">
        <v>-5.0000000000000301E-2</v>
      </c>
      <c r="F48" s="41">
        <f>Config!J46</f>
        <v>0.4</v>
      </c>
      <c r="G48" s="44">
        <f>Config!L46/Config!D46</f>
        <v>5.25</v>
      </c>
      <c r="H48" s="12">
        <v>2.5000000000000199E-2</v>
      </c>
      <c r="I48" s="12">
        <f>Config!K46</f>
        <v>0.2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1:45" ht="12.75" x14ac:dyDescent="0.35">
      <c r="A49" s="152"/>
      <c r="B49" s="20" t="str">
        <f>Config!B47</f>
        <v>2026_C_PR_B1_CONFIG45</v>
      </c>
      <c r="C49" s="17"/>
      <c r="D49" s="33"/>
      <c r="E49" s="17"/>
      <c r="F49" s="33"/>
      <c r="G49" s="44"/>
      <c r="H49" s="18"/>
      <c r="I49" s="18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1:45" ht="12.75" x14ac:dyDescent="0.35">
      <c r="A50" s="153"/>
      <c r="B50" s="20" t="str">
        <f>Config!B48</f>
        <v>2026_C_PR_B1_CONFIG46</v>
      </c>
      <c r="C50" s="17"/>
      <c r="D50" s="33"/>
      <c r="E50" s="17"/>
      <c r="F50" s="33"/>
      <c r="G50" s="44"/>
      <c r="H50" s="18"/>
      <c r="I50" s="18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1:45" ht="12.75" x14ac:dyDescent="0.35">
      <c r="A51" s="153"/>
      <c r="B51" s="20" t="str">
        <f>Config!B49</f>
        <v>2026_C_PR_B1_CONFIG47</v>
      </c>
      <c r="C51" s="17"/>
      <c r="D51" s="33"/>
      <c r="E51" s="17"/>
      <c r="F51" s="33"/>
      <c r="G51" s="44"/>
      <c r="H51" s="18"/>
      <c r="I51" s="18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1:45" ht="12.75" x14ac:dyDescent="0.35">
      <c r="A52" s="154"/>
      <c r="B52" s="23" t="str">
        <f>Config!B50</f>
        <v>2026_C_PR_B1_CONFIG48</v>
      </c>
      <c r="C52" s="11"/>
      <c r="D52" s="41"/>
      <c r="E52" s="11"/>
      <c r="F52" s="41"/>
      <c r="G52" s="46"/>
      <c r="H52" s="12"/>
      <c r="I52" s="1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45" ht="12.75" x14ac:dyDescent="0.35"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1:45" ht="25.5" x14ac:dyDescent="0.35">
      <c r="A54" s="135"/>
      <c r="B54" s="136" t="s">
        <v>162</v>
      </c>
      <c r="C54" s="48" t="s">
        <v>89</v>
      </c>
      <c r="D54" s="48" t="s">
        <v>90</v>
      </c>
      <c r="E54" s="49" t="s">
        <v>91</v>
      </c>
      <c r="F54" s="48" t="s">
        <v>92</v>
      </c>
      <c r="G54" s="17"/>
      <c r="H54" s="17"/>
      <c r="K54" s="17"/>
      <c r="L54" s="17"/>
      <c r="M54" s="17"/>
      <c r="N54" s="17"/>
      <c r="O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1:45" ht="12.75" x14ac:dyDescent="0.35">
      <c r="A55" s="137"/>
      <c r="B55" s="51" t="s">
        <v>161</v>
      </c>
      <c r="C55" s="50" t="s">
        <v>163</v>
      </c>
      <c r="D55" s="50" t="s">
        <v>93</v>
      </c>
      <c r="E55" s="50" t="s">
        <v>94</v>
      </c>
      <c r="F55" s="51" t="s">
        <v>95</v>
      </c>
      <c r="G55" s="17"/>
      <c r="H55" s="17"/>
      <c r="K55" s="17"/>
      <c r="L55" s="17"/>
      <c r="M55" s="17"/>
      <c r="N55" s="17"/>
      <c r="O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1:45" ht="12.75" x14ac:dyDescent="0.35">
      <c r="A56" s="161" t="s">
        <v>13</v>
      </c>
      <c r="B56" s="159"/>
      <c r="C56" s="38">
        <v>289.46499999999997</v>
      </c>
      <c r="D56" s="52">
        <v>300</v>
      </c>
      <c r="E56" s="38">
        <v>2.605</v>
      </c>
      <c r="F56" s="39">
        <v>9</v>
      </c>
      <c r="G56" s="17"/>
      <c r="H56" s="17"/>
      <c r="K56" s="34"/>
      <c r="L56" s="17"/>
      <c r="M56" s="17"/>
      <c r="N56" s="17"/>
      <c r="O56" s="17"/>
      <c r="P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1:45" ht="12.75" x14ac:dyDescent="0.35">
      <c r="A57" s="153"/>
      <c r="B57" s="157"/>
      <c r="C57" s="35">
        <f>(G57*100000 * 0.0280134) / (8.314 * D57)</f>
        <v>0</v>
      </c>
      <c r="D57" s="53">
        <v>300</v>
      </c>
      <c r="E57" s="35">
        <f t="shared" ref="E57:E101" si="0">C57*F57/1000</f>
        <v>0</v>
      </c>
      <c r="F57" s="44">
        <v>9</v>
      </c>
      <c r="G57" s="17"/>
      <c r="H57" s="17"/>
      <c r="K57" s="54"/>
      <c r="L57" s="54"/>
      <c r="M57" s="54"/>
      <c r="N57" s="34"/>
      <c r="O57" s="17"/>
      <c r="P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1:45" ht="12.75" x14ac:dyDescent="0.35">
      <c r="A58" s="152" t="s">
        <v>15</v>
      </c>
      <c r="B58" s="15" t="str">
        <f>Config!B3</f>
        <v>2026_C_PR_B3_CONFIG1</v>
      </c>
      <c r="C58" s="37">
        <v>289.46499999999997</v>
      </c>
      <c r="D58" s="38">
        <v>300</v>
      </c>
      <c r="E58" s="40">
        <f t="shared" si="0"/>
        <v>5.2103700000000002</v>
      </c>
      <c r="F58" s="39">
        <v>18</v>
      </c>
      <c r="G58" s="17"/>
      <c r="H58" s="17"/>
      <c r="K58" s="54"/>
      <c r="L58" s="54"/>
      <c r="M58" s="54"/>
      <c r="N58" s="34"/>
      <c r="O58" s="17"/>
      <c r="P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1:45" ht="12.75" x14ac:dyDescent="0.35">
      <c r="A59" s="153"/>
      <c r="B59" s="20" t="str">
        <f>Config!B4</f>
        <v>2025_C_PR_B3_CONFIG2</v>
      </c>
      <c r="C59" s="17">
        <v>289.46499999999997</v>
      </c>
      <c r="D59" s="32">
        <v>300</v>
      </c>
      <c r="E59" s="33">
        <f t="shared" si="0"/>
        <v>5.2103700000000002</v>
      </c>
      <c r="F59" s="44">
        <v>18</v>
      </c>
      <c r="G59" s="17"/>
      <c r="H59" s="17"/>
      <c r="K59" s="54"/>
      <c r="L59" s="54"/>
      <c r="M59" s="54"/>
      <c r="N59" s="34"/>
      <c r="O59" s="17"/>
      <c r="P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1:45" ht="12.75" x14ac:dyDescent="0.35">
      <c r="A60" s="153"/>
      <c r="B60" s="20" t="str">
        <f>Config!B5</f>
        <v>2026_C_PR_B3_CONFIG3</v>
      </c>
      <c r="C60" s="17">
        <v>289.46499999999997</v>
      </c>
      <c r="D60" s="32">
        <v>300</v>
      </c>
      <c r="E60" s="33">
        <f t="shared" si="0"/>
        <v>5.2103700000000002</v>
      </c>
      <c r="F60" s="44">
        <v>18</v>
      </c>
      <c r="G60" s="17"/>
      <c r="H60" s="17"/>
      <c r="K60" s="54"/>
      <c r="L60" s="54"/>
      <c r="M60" s="54"/>
      <c r="N60" s="34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1:45" ht="12.75" x14ac:dyDescent="0.35">
      <c r="A61" s="153"/>
      <c r="B61" s="20" t="str">
        <f>Config!B6</f>
        <v>2025_C_PR_B3_CONFIG4</v>
      </c>
      <c r="C61" s="17">
        <v>289.46499999999997</v>
      </c>
      <c r="D61" s="32">
        <v>300</v>
      </c>
      <c r="E61" s="33">
        <f t="shared" si="0"/>
        <v>5.2103700000000002</v>
      </c>
      <c r="F61" s="44">
        <v>18</v>
      </c>
      <c r="G61" s="17"/>
      <c r="H61" s="17"/>
      <c r="K61" s="54"/>
      <c r="L61" s="54"/>
      <c r="M61" s="54"/>
      <c r="N61" s="34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1:45" ht="12.75" x14ac:dyDescent="0.35">
      <c r="A62" s="153"/>
      <c r="B62" s="20" t="str">
        <f>Config!B7</f>
        <v>2026_C_PR_B3_CONFIG5</v>
      </c>
      <c r="C62" s="17">
        <v>289.46499999999997</v>
      </c>
      <c r="D62" s="32">
        <v>300</v>
      </c>
      <c r="E62" s="33">
        <f t="shared" si="0"/>
        <v>5.2103700000000002</v>
      </c>
      <c r="F62" s="44">
        <v>18</v>
      </c>
      <c r="G62" s="17"/>
      <c r="H62" s="17"/>
      <c r="K62" s="54"/>
      <c r="L62" s="54"/>
      <c r="M62" s="54"/>
      <c r="N62" s="34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1:45" ht="12.75" x14ac:dyDescent="0.35">
      <c r="A63" s="153"/>
      <c r="B63" s="20" t="str">
        <f>Config!B8</f>
        <v>2025_C_PR_B3_CONFIG6</v>
      </c>
      <c r="C63" s="17">
        <v>289.46499999999997</v>
      </c>
      <c r="D63" s="32">
        <v>300</v>
      </c>
      <c r="E63" s="33">
        <f t="shared" si="0"/>
        <v>5.2103700000000002</v>
      </c>
      <c r="F63" s="44">
        <v>18</v>
      </c>
      <c r="G63" s="17"/>
      <c r="H63" s="17"/>
      <c r="K63" s="54"/>
      <c r="L63" s="54"/>
      <c r="M63" s="54"/>
      <c r="N63" s="34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1:45" ht="12.75" x14ac:dyDescent="0.35">
      <c r="A64" s="153"/>
      <c r="B64" s="20" t="str">
        <f>Config!B9</f>
        <v>2026_C_PR_B3_CONFIG7</v>
      </c>
      <c r="C64" s="17">
        <v>289.46499999999997</v>
      </c>
      <c r="D64" s="32">
        <v>300</v>
      </c>
      <c r="E64" s="33">
        <f t="shared" si="0"/>
        <v>5.2103700000000002</v>
      </c>
      <c r="F64" s="44">
        <v>18</v>
      </c>
      <c r="G64" s="17"/>
      <c r="H64" s="17"/>
      <c r="K64" s="54"/>
      <c r="L64" s="54"/>
      <c r="M64" s="54"/>
      <c r="N64" s="34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1:45" ht="12.75" x14ac:dyDescent="0.35">
      <c r="A65" s="153"/>
      <c r="B65" s="20" t="str">
        <f>Config!B10</f>
        <v>2025_C_PR_B3_CONFIG8</v>
      </c>
      <c r="C65" s="17">
        <v>289.46499999999997</v>
      </c>
      <c r="D65" s="32">
        <v>300</v>
      </c>
      <c r="E65" s="33">
        <f t="shared" si="0"/>
        <v>5.2103700000000002</v>
      </c>
      <c r="F65" s="44">
        <v>18</v>
      </c>
      <c r="G65" s="17"/>
      <c r="H65" s="17"/>
      <c r="K65" s="54"/>
      <c r="L65" s="54"/>
      <c r="M65" s="54"/>
      <c r="N65" s="34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1:45" ht="12.75" x14ac:dyDescent="0.35">
      <c r="A66" s="153"/>
      <c r="B66" s="20" t="str">
        <f>Config!B11</f>
        <v>2026_C_PR_B3_CONFIG9</v>
      </c>
      <c r="C66" s="17">
        <v>289.46499999999997</v>
      </c>
      <c r="D66" s="32">
        <v>300</v>
      </c>
      <c r="E66" s="33">
        <f t="shared" si="0"/>
        <v>5.2103700000000002</v>
      </c>
      <c r="F66" s="44">
        <v>18</v>
      </c>
      <c r="G66" s="17"/>
      <c r="H66" s="17"/>
      <c r="K66" s="54"/>
      <c r="L66" s="54"/>
      <c r="M66" s="54"/>
      <c r="N66" s="34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1:45" ht="12.75" x14ac:dyDescent="0.35">
      <c r="A67" s="153"/>
      <c r="B67" s="20" t="str">
        <f>Config!B12</f>
        <v>2026_C_PR_B3_CONFIG10</v>
      </c>
      <c r="C67" s="17">
        <v>289.46499999999997</v>
      </c>
      <c r="D67" s="33">
        <v>300</v>
      </c>
      <c r="E67" s="18">
        <f t="shared" si="0"/>
        <v>5.2103700000000002</v>
      </c>
      <c r="F67" s="44">
        <v>18</v>
      </c>
      <c r="G67" s="17"/>
      <c r="H67" s="17"/>
      <c r="K67" s="54"/>
      <c r="L67" s="54"/>
      <c r="M67" s="54"/>
      <c r="N67" s="34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1:45" ht="12.75" x14ac:dyDescent="0.35">
      <c r="A68" s="153"/>
      <c r="B68" s="20" t="str">
        <f>Config!B13</f>
        <v>2026_C_PR_B3_CONFIG11</v>
      </c>
      <c r="C68" s="17">
        <v>289.46499999999997</v>
      </c>
      <c r="D68" s="33">
        <v>300</v>
      </c>
      <c r="E68" s="18">
        <f t="shared" si="0"/>
        <v>5.2103700000000002</v>
      </c>
      <c r="F68" s="44">
        <v>18</v>
      </c>
      <c r="G68" s="17"/>
      <c r="H68" s="17"/>
      <c r="K68" s="54"/>
      <c r="L68" s="54"/>
      <c r="M68" s="54"/>
      <c r="N68" s="34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1:45" ht="12.75" x14ac:dyDescent="0.35">
      <c r="A69" s="154"/>
      <c r="B69" s="23" t="str">
        <f>Config!B14</f>
        <v>2026_C_PR_B3_CONFIG12</v>
      </c>
      <c r="C69" s="11">
        <v>289.46499999999997</v>
      </c>
      <c r="D69" s="42">
        <v>300</v>
      </c>
      <c r="E69" s="41">
        <f t="shared" si="0"/>
        <v>5.2103700000000002</v>
      </c>
      <c r="F69" s="46">
        <v>18</v>
      </c>
      <c r="G69" s="17"/>
      <c r="H69" s="17"/>
      <c r="K69" s="54"/>
      <c r="L69" s="54"/>
      <c r="M69" s="54"/>
      <c r="N69" s="34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1:45" ht="12.75" x14ac:dyDescent="0.35">
      <c r="A70" s="152" t="s">
        <v>29</v>
      </c>
      <c r="B70" s="20" t="str">
        <f>Config!B15</f>
        <v>2026_C_PR_B3_CONFIG13</v>
      </c>
      <c r="C70" s="17">
        <v>289.46499999999997</v>
      </c>
      <c r="D70" s="32">
        <v>300</v>
      </c>
      <c r="E70" s="33">
        <f t="shared" si="0"/>
        <v>5.2103700000000002</v>
      </c>
      <c r="F70" s="44">
        <v>18</v>
      </c>
      <c r="G70" s="17"/>
      <c r="H70" s="17"/>
      <c r="K70" s="54"/>
      <c r="L70" s="54"/>
      <c r="M70" s="54"/>
      <c r="N70" s="34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1:45" ht="12.75" x14ac:dyDescent="0.35">
      <c r="A71" s="153"/>
      <c r="B71" s="20" t="str">
        <f>Config!B16</f>
        <v>2026_C_PR_B3_CONFIG14</v>
      </c>
      <c r="C71" s="17">
        <v>289.46499999999997</v>
      </c>
      <c r="D71" s="32">
        <v>300</v>
      </c>
      <c r="E71" s="33">
        <f t="shared" si="0"/>
        <v>5.2103700000000002</v>
      </c>
      <c r="F71" s="44">
        <v>18</v>
      </c>
      <c r="G71" s="17"/>
      <c r="H71" s="17"/>
      <c r="K71" s="54"/>
      <c r="L71" s="54"/>
      <c r="M71" s="54"/>
      <c r="N71" s="34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1:45" ht="12.75" x14ac:dyDescent="0.35">
      <c r="A72" s="153"/>
      <c r="B72" s="20" t="str">
        <f>Config!B17</f>
        <v>2026_C_PR_B3_CONFIG15</v>
      </c>
      <c r="C72" s="17">
        <v>289.46499999999997</v>
      </c>
      <c r="D72" s="32">
        <v>300</v>
      </c>
      <c r="E72" s="33">
        <f t="shared" si="0"/>
        <v>5.2103700000000002</v>
      </c>
      <c r="F72" s="44">
        <v>18</v>
      </c>
      <c r="G72" s="17"/>
      <c r="H72" s="17"/>
      <c r="K72" s="54"/>
      <c r="L72" s="54"/>
      <c r="M72" s="54"/>
      <c r="N72" s="34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1:45" ht="12.75" x14ac:dyDescent="0.35">
      <c r="A73" s="153"/>
      <c r="B73" s="20" t="str">
        <f>Config!B18</f>
        <v>2026_C_PR_B3_CONFIG16</v>
      </c>
      <c r="C73" s="17">
        <v>289.46499999999997</v>
      </c>
      <c r="D73" s="32">
        <v>300</v>
      </c>
      <c r="E73" s="33">
        <f t="shared" si="0"/>
        <v>5.2103700000000002</v>
      </c>
      <c r="F73" s="44">
        <v>18</v>
      </c>
      <c r="G73" s="17"/>
      <c r="H73" s="17"/>
      <c r="K73" s="54"/>
      <c r="L73" s="54"/>
      <c r="M73" s="54"/>
      <c r="N73" s="34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1:45" ht="12.75" x14ac:dyDescent="0.35">
      <c r="A74" s="153"/>
      <c r="B74" s="20" t="str">
        <f>Config!B19</f>
        <v>2026_C_PR_B3_CONFIG17</v>
      </c>
      <c r="C74" s="17">
        <v>289.46499999999997</v>
      </c>
      <c r="D74" s="32">
        <v>300</v>
      </c>
      <c r="E74" s="33">
        <f t="shared" si="0"/>
        <v>5.2103700000000002</v>
      </c>
      <c r="F74" s="44">
        <v>18</v>
      </c>
      <c r="G74" s="17"/>
      <c r="H74" s="17"/>
      <c r="K74" s="54"/>
      <c r="L74" s="54"/>
      <c r="M74" s="54"/>
      <c r="N74" s="34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1:45" ht="12.75" x14ac:dyDescent="0.35">
      <c r="A75" s="153"/>
      <c r="B75" s="20" t="str">
        <f>Config!B20</f>
        <v>2026_C_PR_B3_CONFIG18</v>
      </c>
      <c r="C75" s="17">
        <v>289.46499999999997</v>
      </c>
      <c r="D75" s="32">
        <v>300</v>
      </c>
      <c r="E75" s="33">
        <f t="shared" si="0"/>
        <v>5.2103700000000002</v>
      </c>
      <c r="F75" s="44">
        <v>18</v>
      </c>
      <c r="G75" s="17"/>
      <c r="H75" s="17"/>
      <c r="K75" s="54"/>
      <c r="L75" s="54"/>
      <c r="M75" s="54"/>
      <c r="N75" s="34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1:45" ht="12.75" x14ac:dyDescent="0.35">
      <c r="A76" s="153"/>
      <c r="B76" s="20" t="str">
        <f>Config!B21</f>
        <v>2026_C_PR_B3_CONFIG19</v>
      </c>
      <c r="C76" s="17">
        <v>289.46499999999997</v>
      </c>
      <c r="D76" s="32">
        <v>300</v>
      </c>
      <c r="E76" s="33">
        <f t="shared" si="0"/>
        <v>5.2103700000000002</v>
      </c>
      <c r="F76" s="44">
        <v>18</v>
      </c>
      <c r="G76" s="17"/>
      <c r="H76" s="17"/>
      <c r="K76" s="54"/>
      <c r="L76" s="54"/>
      <c r="M76" s="54"/>
      <c r="N76" s="34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1:45" ht="12.75" x14ac:dyDescent="0.35">
      <c r="A77" s="153"/>
      <c r="B77" s="20" t="str">
        <f>Config!B22</f>
        <v>2026_C_PR_B3_CONFIG20</v>
      </c>
      <c r="C77" s="17">
        <v>289.46499999999997</v>
      </c>
      <c r="D77" s="33">
        <v>300</v>
      </c>
      <c r="E77" s="18">
        <f t="shared" si="0"/>
        <v>5.2103700000000002</v>
      </c>
      <c r="F77" s="44">
        <v>18</v>
      </c>
      <c r="G77" s="17"/>
      <c r="H77" s="17"/>
      <c r="K77" s="54"/>
      <c r="L77" s="54"/>
      <c r="M77" s="54"/>
      <c r="N77" s="34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1:45" ht="12.75" x14ac:dyDescent="0.35">
      <c r="A78" s="153"/>
      <c r="B78" s="20" t="str">
        <f>Config!B23</f>
        <v>2026_C_PR_B3_CONFIG21</v>
      </c>
      <c r="C78" s="17">
        <v>289.46499999999997</v>
      </c>
      <c r="D78" s="33">
        <v>300</v>
      </c>
      <c r="E78" s="18">
        <f t="shared" si="0"/>
        <v>5.2103700000000002</v>
      </c>
      <c r="F78" s="44">
        <v>18</v>
      </c>
      <c r="G78" s="17"/>
      <c r="H78" s="17"/>
      <c r="K78" s="54"/>
      <c r="L78" s="54"/>
      <c r="M78" s="54"/>
      <c r="N78" s="34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1:45" ht="12.75" x14ac:dyDescent="0.35">
      <c r="A79" s="153"/>
      <c r="B79" s="20" t="str">
        <f>Config!B24</f>
        <v>2026_C_PR_B3_CONFIG22</v>
      </c>
      <c r="C79" s="17">
        <v>289.46499999999997</v>
      </c>
      <c r="D79" s="33">
        <v>300</v>
      </c>
      <c r="E79" s="18">
        <f t="shared" si="0"/>
        <v>5.2103700000000002</v>
      </c>
      <c r="F79" s="44">
        <v>18</v>
      </c>
      <c r="G79" s="17"/>
      <c r="H79" s="17"/>
      <c r="K79" s="54"/>
      <c r="L79" s="54"/>
      <c r="M79" s="54"/>
      <c r="N79" s="34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1:45" ht="12.75" x14ac:dyDescent="0.35">
      <c r="A80" s="153"/>
      <c r="B80" s="20" t="str">
        <f>Config!B25</f>
        <v>2026_C_PR_B3_CONFIG23</v>
      </c>
      <c r="C80" s="17">
        <v>289.46499999999997</v>
      </c>
      <c r="D80" s="32">
        <v>300</v>
      </c>
      <c r="E80" s="33">
        <f t="shared" si="0"/>
        <v>5.2103700000000002</v>
      </c>
      <c r="F80" s="44">
        <v>18</v>
      </c>
      <c r="G80" s="17"/>
      <c r="H80" s="17"/>
      <c r="K80" s="54"/>
      <c r="L80" s="54"/>
      <c r="M80" s="54"/>
      <c r="N80" s="34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1:45" ht="12.75" x14ac:dyDescent="0.35">
      <c r="A81" s="154"/>
      <c r="B81" s="23" t="str">
        <f>Config!B26</f>
        <v>2026_C_PR_B3_CONFIG24</v>
      </c>
      <c r="C81" s="11">
        <v>289.46499999999997</v>
      </c>
      <c r="D81" s="42">
        <v>300</v>
      </c>
      <c r="E81" s="41">
        <f t="shared" si="0"/>
        <v>5.2103700000000002</v>
      </c>
      <c r="F81" s="46">
        <v>18</v>
      </c>
      <c r="G81" s="17"/>
      <c r="H81" s="17"/>
      <c r="K81" s="54"/>
      <c r="L81" s="54"/>
      <c r="M81" s="54"/>
      <c r="N81" s="34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1:45" ht="12.75" x14ac:dyDescent="0.35">
      <c r="A82" s="152" t="s">
        <v>43</v>
      </c>
      <c r="B82" s="20" t="str">
        <f>Config!B27</f>
        <v>2026_C_PR_B3_CONFIG25</v>
      </c>
      <c r="C82" s="17">
        <v>289.46499999999997</v>
      </c>
      <c r="D82" s="32">
        <v>300</v>
      </c>
      <c r="E82" s="33">
        <f t="shared" si="0"/>
        <v>5.2103700000000002</v>
      </c>
      <c r="F82" s="44">
        <v>18</v>
      </c>
      <c r="G82" s="17"/>
      <c r="H82" s="17"/>
      <c r="K82" s="54"/>
      <c r="L82" s="54"/>
      <c r="M82" s="54"/>
      <c r="N82" s="34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1:45" ht="12.75" x14ac:dyDescent="0.35">
      <c r="A83" s="153"/>
      <c r="B83" s="20" t="str">
        <f>Config!B28</f>
        <v>2026_C_PR_B3_CONFIG26</v>
      </c>
      <c r="C83" s="17">
        <v>289.46499999999997</v>
      </c>
      <c r="D83" s="32">
        <v>300</v>
      </c>
      <c r="E83" s="33">
        <f t="shared" si="0"/>
        <v>5.2103700000000002</v>
      </c>
      <c r="F83" s="44">
        <v>18</v>
      </c>
      <c r="G83" s="17"/>
      <c r="H83" s="17"/>
      <c r="K83" s="54"/>
      <c r="L83" s="54"/>
      <c r="M83" s="54"/>
      <c r="N83" s="34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1:45" ht="12.75" x14ac:dyDescent="0.35">
      <c r="A84" s="153"/>
      <c r="B84" s="20" t="str">
        <f>Config!B29</f>
        <v>2026_C_PR_B3_CONFIG27</v>
      </c>
      <c r="C84" s="17">
        <v>289.46499999999997</v>
      </c>
      <c r="D84" s="32">
        <v>300</v>
      </c>
      <c r="E84" s="33">
        <f t="shared" si="0"/>
        <v>5.2103700000000002</v>
      </c>
      <c r="F84" s="44">
        <v>18</v>
      </c>
      <c r="G84" s="17"/>
      <c r="H84" s="17"/>
      <c r="K84" s="54"/>
      <c r="L84" s="54"/>
      <c r="M84" s="54"/>
      <c r="N84" s="34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1:45" ht="12.75" x14ac:dyDescent="0.35">
      <c r="A85" s="153"/>
      <c r="B85" s="20" t="str">
        <f>Config!B30</f>
        <v>2026_C_PR_B3_CONFIG28</v>
      </c>
      <c r="C85" s="17">
        <v>289.46499999999997</v>
      </c>
      <c r="D85" s="32">
        <v>300</v>
      </c>
      <c r="E85" s="33">
        <f t="shared" si="0"/>
        <v>5.2103700000000002</v>
      </c>
      <c r="F85" s="44">
        <v>18</v>
      </c>
      <c r="G85" s="17"/>
      <c r="H85" s="17"/>
      <c r="K85" s="54"/>
      <c r="L85" s="54"/>
      <c r="M85" s="54"/>
      <c r="N85" s="34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  <row r="86" spans="1:45" ht="12.75" x14ac:dyDescent="0.35">
      <c r="A86" s="153"/>
      <c r="B86" s="20" t="str">
        <f>Config!B31</f>
        <v>2026_C_PR_B3_CONFIG29</v>
      </c>
      <c r="C86" s="17">
        <v>289.46499999999997</v>
      </c>
      <c r="D86" s="32">
        <v>300</v>
      </c>
      <c r="E86" s="33">
        <f t="shared" si="0"/>
        <v>5.2103700000000002</v>
      </c>
      <c r="F86" s="44">
        <v>18</v>
      </c>
      <c r="G86" s="17"/>
      <c r="H86" s="17"/>
      <c r="K86" s="54"/>
      <c r="L86" s="54"/>
      <c r="M86" s="54"/>
      <c r="N86" s="34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</row>
    <row r="87" spans="1:45" ht="12.75" x14ac:dyDescent="0.35">
      <c r="A87" s="154"/>
      <c r="B87" s="23" t="str">
        <f>Config!B32</f>
        <v>2026_C_PR_B3_CONFIG30</v>
      </c>
      <c r="C87" s="11">
        <v>289.46499999999997</v>
      </c>
      <c r="D87" s="42">
        <v>300</v>
      </c>
      <c r="E87" s="41">
        <f t="shared" si="0"/>
        <v>5.2103700000000002</v>
      </c>
      <c r="F87" s="46">
        <v>18</v>
      </c>
      <c r="G87" s="17"/>
      <c r="H87" s="17"/>
      <c r="K87" s="54"/>
      <c r="L87" s="54"/>
      <c r="M87" s="54"/>
      <c r="N87" s="34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</row>
    <row r="88" spans="1:45" ht="12.75" x14ac:dyDescent="0.35">
      <c r="A88" s="152" t="s">
        <v>51</v>
      </c>
      <c r="B88" s="20" t="str">
        <f>Config!B33</f>
        <v>2026_C_PR_B3_CONFIG31</v>
      </c>
      <c r="C88" s="17">
        <v>289.46499999999997</v>
      </c>
      <c r="D88" s="33">
        <v>300</v>
      </c>
      <c r="E88" s="18">
        <f t="shared" si="0"/>
        <v>5.2103700000000002</v>
      </c>
      <c r="F88" s="44">
        <v>18</v>
      </c>
      <c r="G88" s="17"/>
      <c r="H88" s="17"/>
      <c r="K88" s="54"/>
      <c r="L88" s="54"/>
      <c r="M88" s="54"/>
      <c r="N88" s="34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</row>
    <row r="89" spans="1:45" ht="12.75" x14ac:dyDescent="0.35">
      <c r="A89" s="153"/>
      <c r="B89" s="20" t="str">
        <f>Config!B34</f>
        <v>2026_C_PR_B3_CONFIG32</v>
      </c>
      <c r="C89" s="17">
        <v>289.46499999999901</v>
      </c>
      <c r="D89" s="33">
        <v>300</v>
      </c>
      <c r="E89" s="18">
        <f t="shared" si="0"/>
        <v>5.2103699999999824</v>
      </c>
      <c r="F89" s="44">
        <v>18</v>
      </c>
      <c r="G89" s="17"/>
      <c r="H89" s="17"/>
      <c r="K89" s="54"/>
      <c r="L89" s="54"/>
      <c r="M89" s="54"/>
      <c r="N89" s="34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</row>
    <row r="90" spans="1:45" ht="12.75" x14ac:dyDescent="0.35">
      <c r="A90" s="153"/>
      <c r="B90" s="20" t="str">
        <f>Config!B35</f>
        <v>2026_C_PR_B3_CONFIG33</v>
      </c>
      <c r="C90" s="17">
        <v>289.46499999999997</v>
      </c>
      <c r="D90" s="33">
        <v>300</v>
      </c>
      <c r="E90" s="18">
        <f t="shared" si="0"/>
        <v>5.2103700000000002</v>
      </c>
      <c r="F90" s="44">
        <v>18</v>
      </c>
      <c r="G90" s="17"/>
      <c r="H90" s="17"/>
      <c r="K90" s="54"/>
      <c r="L90" s="54"/>
      <c r="M90" s="54"/>
      <c r="N90" s="34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</row>
    <row r="91" spans="1:45" ht="12.75" x14ac:dyDescent="0.35">
      <c r="A91" s="153"/>
      <c r="B91" s="20" t="str">
        <f>Config!B36</f>
        <v>2026_C_PR_B3_CONFIG34</v>
      </c>
      <c r="C91" s="17">
        <v>289.46499999999997</v>
      </c>
      <c r="D91" s="33">
        <v>300</v>
      </c>
      <c r="E91" s="18">
        <f t="shared" si="0"/>
        <v>5.2103700000000002</v>
      </c>
      <c r="F91" s="44">
        <v>18</v>
      </c>
      <c r="G91" s="17"/>
      <c r="H91" s="17"/>
      <c r="K91" s="54"/>
      <c r="L91" s="54"/>
      <c r="M91" s="54"/>
      <c r="N91" s="34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</row>
    <row r="92" spans="1:45" ht="12.75" x14ac:dyDescent="0.35">
      <c r="A92" s="153"/>
      <c r="B92" s="20" t="str">
        <f>Config!B37</f>
        <v>2026_C_PR_B1_CONFIG35</v>
      </c>
      <c r="C92" s="17">
        <v>289.46499999999997</v>
      </c>
      <c r="D92" s="33">
        <v>300</v>
      </c>
      <c r="E92" s="18">
        <f t="shared" si="0"/>
        <v>5.2103700000000002</v>
      </c>
      <c r="F92" s="44">
        <v>18</v>
      </c>
      <c r="G92" s="17"/>
      <c r="H92" s="17"/>
      <c r="K92" s="54"/>
      <c r="L92" s="54"/>
      <c r="M92" s="54"/>
      <c r="N92" s="34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</row>
    <row r="93" spans="1:45" ht="12.75" x14ac:dyDescent="0.35">
      <c r="A93" s="154"/>
      <c r="B93" s="23" t="str">
        <f>Config!B38</f>
        <v>2026_C_PR_B1_CONFIG36</v>
      </c>
      <c r="C93" s="11">
        <v>289.46499999999997</v>
      </c>
      <c r="D93" s="41">
        <v>300</v>
      </c>
      <c r="E93" s="18">
        <f t="shared" si="0"/>
        <v>5.2103700000000002</v>
      </c>
      <c r="F93" s="44">
        <v>18</v>
      </c>
      <c r="G93" s="17"/>
      <c r="H93" s="17"/>
      <c r="K93" s="54"/>
      <c r="L93" s="54"/>
      <c r="M93" s="54"/>
      <c r="N93" s="34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</row>
    <row r="94" spans="1:45" ht="12.75" x14ac:dyDescent="0.35">
      <c r="A94" s="152" t="s">
        <v>59</v>
      </c>
      <c r="B94" s="20" t="str">
        <f>Config!B39</f>
        <v>2026_C_PR_B1_CONFIG37</v>
      </c>
      <c r="C94" s="17">
        <v>289.46499999999997</v>
      </c>
      <c r="D94" s="33">
        <v>300</v>
      </c>
      <c r="E94" s="18">
        <f t="shared" si="0"/>
        <v>5.2103700000000002</v>
      </c>
      <c r="F94" s="44">
        <v>18</v>
      </c>
      <c r="G94" s="17"/>
      <c r="H94" s="17"/>
      <c r="K94" s="54"/>
      <c r="L94" s="54"/>
      <c r="M94" s="54"/>
      <c r="N94" s="34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</row>
    <row r="95" spans="1:45" ht="12.75" x14ac:dyDescent="0.35">
      <c r="A95" s="153"/>
      <c r="B95" s="20" t="str">
        <f>Config!B40</f>
        <v>2026_C_PR_B1_CONFIG38</v>
      </c>
      <c r="C95" s="17">
        <v>289.46499999999997</v>
      </c>
      <c r="D95" s="33">
        <v>300</v>
      </c>
      <c r="E95" s="18">
        <f t="shared" si="0"/>
        <v>5.2103700000000002</v>
      </c>
      <c r="F95" s="44">
        <v>18</v>
      </c>
      <c r="G95" s="17"/>
      <c r="H95" s="17"/>
      <c r="K95" s="54"/>
      <c r="L95" s="54"/>
      <c r="M95" s="54"/>
      <c r="N95" s="34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</row>
    <row r="96" spans="1:45" ht="12.75" x14ac:dyDescent="0.35">
      <c r="A96" s="153"/>
      <c r="B96" s="20" t="str">
        <f>Config!B41</f>
        <v>2026_C_PR_B1_CONFIG39</v>
      </c>
      <c r="C96" s="17">
        <v>289.46499999999997</v>
      </c>
      <c r="D96" s="33">
        <v>300</v>
      </c>
      <c r="E96" s="18">
        <f t="shared" si="0"/>
        <v>5.2103700000000002</v>
      </c>
      <c r="F96" s="44">
        <v>18</v>
      </c>
      <c r="G96" s="17"/>
      <c r="H96" s="17"/>
      <c r="K96" s="54"/>
      <c r="L96" s="54"/>
      <c r="M96" s="54"/>
      <c r="N96" s="34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</row>
    <row r="97" spans="1:45" ht="12.75" x14ac:dyDescent="0.35">
      <c r="A97" s="153"/>
      <c r="B97" s="20" t="str">
        <f>Config!B42</f>
        <v>2026_C_PR_B1_CONFIG40</v>
      </c>
      <c r="C97" s="17">
        <v>289.46499999999997</v>
      </c>
      <c r="D97" s="33">
        <v>300</v>
      </c>
      <c r="E97" s="18">
        <f t="shared" si="0"/>
        <v>5.2103700000000002</v>
      </c>
      <c r="F97" s="44">
        <v>18</v>
      </c>
      <c r="G97" s="17"/>
      <c r="H97" s="17"/>
      <c r="K97" s="54"/>
      <c r="L97" s="54"/>
      <c r="M97" s="54"/>
      <c r="N97" s="34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</row>
    <row r="98" spans="1:45" ht="12.75" x14ac:dyDescent="0.35">
      <c r="A98" s="153"/>
      <c r="B98" s="20" t="str">
        <f>Config!B43</f>
        <v>2026_C_PR_B1_CONFIG41</v>
      </c>
      <c r="C98" s="17">
        <v>289.46499999999997</v>
      </c>
      <c r="D98" s="33">
        <v>300</v>
      </c>
      <c r="E98" s="18">
        <f t="shared" si="0"/>
        <v>5.2103700000000002</v>
      </c>
      <c r="F98" s="44">
        <v>18</v>
      </c>
      <c r="G98" s="17"/>
      <c r="H98" s="17"/>
      <c r="K98" s="54"/>
      <c r="L98" s="54"/>
      <c r="M98" s="54"/>
      <c r="N98" s="34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</row>
    <row r="99" spans="1:45" ht="12.75" x14ac:dyDescent="0.35">
      <c r="A99" s="153"/>
      <c r="B99" s="20" t="str">
        <f>Config!B44</f>
        <v>2026_C_PR_B1_CONFIG42</v>
      </c>
      <c r="C99" s="17">
        <v>289.46499999999997</v>
      </c>
      <c r="D99" s="33">
        <v>300</v>
      </c>
      <c r="E99" s="18">
        <f t="shared" si="0"/>
        <v>5.2103700000000002</v>
      </c>
      <c r="F99" s="44">
        <v>18</v>
      </c>
      <c r="G99" s="17"/>
      <c r="H99" s="17"/>
      <c r="K99" s="54"/>
      <c r="L99" s="54"/>
      <c r="M99" s="54"/>
      <c r="N99" s="34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</row>
    <row r="100" spans="1:45" ht="12.75" x14ac:dyDescent="0.35">
      <c r="A100" s="153"/>
      <c r="B100" s="20" t="str">
        <f>Config!B45</f>
        <v>2026_C_PR_B1_CONFIG43</v>
      </c>
      <c r="C100" s="17">
        <v>289.46499999999997</v>
      </c>
      <c r="D100" s="33">
        <v>300</v>
      </c>
      <c r="E100" s="18">
        <f t="shared" si="0"/>
        <v>5.2103700000000002</v>
      </c>
      <c r="F100" s="44">
        <v>18</v>
      </c>
      <c r="G100" s="17"/>
      <c r="H100" s="17"/>
      <c r="K100" s="54"/>
      <c r="L100" s="54"/>
      <c r="M100" s="54"/>
      <c r="N100" s="34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</row>
    <row r="101" spans="1:45" ht="12.75" x14ac:dyDescent="0.35">
      <c r="A101" s="154"/>
      <c r="B101" s="23" t="str">
        <f>Config!B46</f>
        <v>2026_C_PR_B1_CONFIG44</v>
      </c>
      <c r="C101" s="11">
        <v>289.46499999999997</v>
      </c>
      <c r="D101" s="41">
        <v>300</v>
      </c>
      <c r="E101" s="18">
        <f t="shared" si="0"/>
        <v>5.2103700000000002</v>
      </c>
      <c r="F101" s="44">
        <v>18</v>
      </c>
      <c r="G101" s="17"/>
      <c r="H101" s="17"/>
      <c r="K101" s="54"/>
      <c r="L101" s="54"/>
      <c r="M101" s="54"/>
      <c r="N101" s="34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</row>
    <row r="102" spans="1:45" ht="12.75" x14ac:dyDescent="0.35">
      <c r="A102" s="152"/>
      <c r="B102" s="20" t="str">
        <f>Config!B47</f>
        <v>2026_C_PR_B1_CONFIG45</v>
      </c>
      <c r="C102" s="17"/>
      <c r="D102" s="33"/>
      <c r="E102" s="18"/>
      <c r="F102" s="44"/>
      <c r="G102" s="17"/>
      <c r="H102" s="17"/>
      <c r="K102" s="54"/>
      <c r="L102" s="54"/>
      <c r="M102" s="54"/>
      <c r="N102" s="34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</row>
    <row r="103" spans="1:45" ht="12.75" x14ac:dyDescent="0.35">
      <c r="A103" s="153"/>
      <c r="B103" s="20" t="str">
        <f>Config!B48</f>
        <v>2026_C_PR_B1_CONFIG46</v>
      </c>
      <c r="C103" s="17"/>
      <c r="D103" s="33"/>
      <c r="E103" s="18"/>
      <c r="F103" s="44"/>
      <c r="G103" s="17"/>
      <c r="H103" s="17"/>
      <c r="K103" s="54"/>
      <c r="L103" s="54"/>
      <c r="M103" s="54"/>
      <c r="N103" s="34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</row>
    <row r="104" spans="1:45" ht="12.75" x14ac:dyDescent="0.35">
      <c r="A104" s="153"/>
      <c r="B104" s="20" t="str">
        <f>Config!B49</f>
        <v>2026_C_PR_B1_CONFIG47</v>
      </c>
      <c r="C104" s="17"/>
      <c r="D104" s="33"/>
      <c r="E104" s="18"/>
      <c r="F104" s="44"/>
      <c r="G104" s="17"/>
      <c r="H104" s="17"/>
      <c r="K104" s="54"/>
      <c r="L104" s="54"/>
      <c r="M104" s="54"/>
      <c r="N104" s="34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</row>
    <row r="105" spans="1:45" ht="12.75" x14ac:dyDescent="0.35">
      <c r="A105" s="154"/>
      <c r="B105" s="23" t="str">
        <f>Config!B50</f>
        <v>2026_C_PR_B1_CONFIG48</v>
      </c>
      <c r="C105" s="11"/>
      <c r="D105" s="41"/>
      <c r="E105" s="12"/>
      <c r="F105" s="46"/>
      <c r="G105" s="17"/>
      <c r="H105" s="17"/>
      <c r="K105" s="54"/>
      <c r="L105" s="54"/>
      <c r="M105" s="54"/>
      <c r="N105" s="34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</row>
    <row r="106" spans="1:45" ht="12.75" x14ac:dyDescent="0.35">
      <c r="G106" s="17"/>
      <c r="H106" s="17"/>
      <c r="K106" s="54"/>
      <c r="L106" s="54"/>
      <c r="M106" s="54"/>
      <c r="N106" s="34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</row>
    <row r="107" spans="1:45" ht="25.5" x14ac:dyDescent="0.35">
      <c r="A107" s="140"/>
      <c r="B107" s="145" t="s">
        <v>164</v>
      </c>
      <c r="C107" s="56" t="s">
        <v>89</v>
      </c>
      <c r="D107" s="55" t="s">
        <v>90</v>
      </c>
      <c r="E107" s="56"/>
      <c r="F107" s="56"/>
      <c r="G107" s="158" t="s">
        <v>97</v>
      </c>
      <c r="H107" s="159"/>
      <c r="I107" s="159"/>
      <c r="J107" s="159"/>
      <c r="K107" s="159"/>
      <c r="L107" s="158" t="s">
        <v>91</v>
      </c>
      <c r="M107" s="159"/>
      <c r="N107" s="159"/>
      <c r="O107" s="159"/>
      <c r="P107" s="159"/>
      <c r="Q107" s="159"/>
      <c r="R107" s="159"/>
      <c r="S107" s="158" t="s">
        <v>92</v>
      </c>
      <c r="T107" s="159"/>
      <c r="U107" s="159"/>
      <c r="V107" s="160"/>
      <c r="AQ107" s="17"/>
      <c r="AR107" s="17"/>
      <c r="AS107" s="17"/>
    </row>
    <row r="108" spans="1:45" ht="12.75" x14ac:dyDescent="0.35">
      <c r="A108" s="141"/>
      <c r="B108" s="146" t="s">
        <v>161</v>
      </c>
      <c r="C108" s="58" t="s">
        <v>158</v>
      </c>
      <c r="D108" s="57" t="s">
        <v>98</v>
      </c>
      <c r="E108" s="58"/>
      <c r="F108" s="58"/>
      <c r="G108" s="57" t="s">
        <v>166</v>
      </c>
      <c r="H108" s="59" t="s">
        <v>167</v>
      </c>
      <c r="I108" s="59" t="s">
        <v>168</v>
      </c>
      <c r="J108" s="59"/>
      <c r="K108" s="58" t="s">
        <v>169</v>
      </c>
      <c r="L108" s="59" t="s">
        <v>99</v>
      </c>
      <c r="M108" s="59" t="s">
        <v>100</v>
      </c>
      <c r="N108" s="59" t="s">
        <v>101</v>
      </c>
      <c r="O108" s="59" t="s">
        <v>102</v>
      </c>
      <c r="P108" s="59"/>
      <c r="Q108" s="59" t="s">
        <v>103</v>
      </c>
      <c r="R108" s="58" t="s">
        <v>104</v>
      </c>
      <c r="S108" s="59" t="s">
        <v>105</v>
      </c>
      <c r="T108" s="59" t="s">
        <v>106</v>
      </c>
      <c r="U108" s="59" t="s">
        <v>107</v>
      </c>
      <c r="V108" s="58" t="s">
        <v>108</v>
      </c>
      <c r="AQ108" s="17"/>
      <c r="AR108" s="17"/>
      <c r="AS108" s="17"/>
    </row>
    <row r="109" spans="1:45" ht="12.75" x14ac:dyDescent="0.35">
      <c r="A109" s="155" t="s">
        <v>13</v>
      </c>
      <c r="B109" s="156"/>
      <c r="C109" s="52">
        <v>1154</v>
      </c>
      <c r="D109" s="60">
        <v>90</v>
      </c>
      <c r="E109" s="39" t="s">
        <v>109</v>
      </c>
      <c r="F109" s="39" t="s">
        <v>109</v>
      </c>
      <c r="G109" s="60">
        <v>1E-3</v>
      </c>
      <c r="H109" s="37">
        <v>4.3129999999999997</v>
      </c>
      <c r="I109" s="37">
        <v>4.3129999999999997</v>
      </c>
      <c r="J109" s="37" t="s">
        <v>109</v>
      </c>
      <c r="K109" s="40">
        <v>1.879</v>
      </c>
      <c r="L109" s="61">
        <v>0.3</v>
      </c>
      <c r="M109" s="37">
        <v>0.86299999999999999</v>
      </c>
      <c r="N109" s="37">
        <v>0.216</v>
      </c>
      <c r="O109" s="62">
        <v>12.569000000000001</v>
      </c>
      <c r="P109" s="17" t="s">
        <v>109</v>
      </c>
      <c r="Q109" s="37">
        <v>2.67</v>
      </c>
      <c r="R109" s="40">
        <v>13.647</v>
      </c>
      <c r="S109" s="37">
        <v>0.26</v>
      </c>
      <c r="T109" s="37">
        <v>14.14</v>
      </c>
      <c r="U109" s="37">
        <v>2.3140000000000001</v>
      </c>
      <c r="V109" s="40">
        <v>11.826000000000001</v>
      </c>
      <c r="AB109" s="63"/>
      <c r="AC109" s="63"/>
      <c r="AQ109" s="17"/>
      <c r="AR109" s="17"/>
      <c r="AS109" s="17"/>
    </row>
    <row r="110" spans="1:45" ht="12.75" x14ac:dyDescent="0.35">
      <c r="A110" s="154"/>
      <c r="B110" s="163"/>
      <c r="C110" s="64">
        <v>1154</v>
      </c>
      <c r="D110" s="65">
        <f>273-152</f>
        <v>121</v>
      </c>
      <c r="E110" s="46" t="s">
        <v>109</v>
      </c>
      <c r="F110" s="46" t="s">
        <v>109</v>
      </c>
      <c r="G110" s="65">
        <v>1E-3</v>
      </c>
      <c r="H110" s="66"/>
      <c r="I110" s="66"/>
      <c r="J110" s="66" t="s">
        <v>109</v>
      </c>
      <c r="K110" s="67"/>
      <c r="L110" s="68">
        <f t="shared" ref="L110:L154" si="1">G110*C4</f>
        <v>0.63900000000000001</v>
      </c>
      <c r="M110" s="66">
        <f t="shared" ref="M110:M154" si="2">D4*I110</f>
        <v>0</v>
      </c>
      <c r="N110" s="66">
        <f t="shared" ref="N110:N154" si="3">H110*ABS(E4)</f>
        <v>0</v>
      </c>
      <c r="O110" s="69">
        <f t="shared" ref="O110:O154" si="4">G4*K110</f>
        <v>0</v>
      </c>
      <c r="P110" s="11" t="s">
        <v>109</v>
      </c>
      <c r="Q110" s="66"/>
      <c r="R110" s="67"/>
      <c r="S110" s="66">
        <f t="shared" ref="S110:S154" si="5">1000*L110/C110</f>
        <v>0.55372616984402079</v>
      </c>
      <c r="T110" s="66"/>
      <c r="U110" s="66">
        <f t="shared" ref="U110:U154" si="6">1000*Q110/C110</f>
        <v>0</v>
      </c>
      <c r="V110" s="67">
        <f t="shared" ref="V110:V154" si="7">1000*R110/C110</f>
        <v>0</v>
      </c>
      <c r="AB110" s="70"/>
      <c r="AC110" s="70"/>
      <c r="AQ110" s="17"/>
      <c r="AR110" s="17"/>
      <c r="AS110" s="17"/>
    </row>
    <row r="111" spans="1:45" ht="12.75" x14ac:dyDescent="0.35">
      <c r="A111" s="152" t="s">
        <v>15</v>
      </c>
      <c r="B111" s="15" t="str">
        <f>Config!B3</f>
        <v>2026_C_PR_B3_CONFIG1</v>
      </c>
      <c r="C111" s="44">
        <v>1154</v>
      </c>
      <c r="D111" s="33">
        <v>90</v>
      </c>
      <c r="E111" s="71"/>
      <c r="F111" s="71"/>
      <c r="G111" s="72">
        <v>1E-3</v>
      </c>
      <c r="H111" s="73">
        <v>4.3620000000000001</v>
      </c>
      <c r="I111" s="17">
        <v>4.3620000000000001</v>
      </c>
      <c r="J111" s="74"/>
      <c r="K111" s="18">
        <f>Config!H3</f>
        <v>1.2742099898063202</v>
      </c>
      <c r="L111" s="75">
        <f t="shared" si="1"/>
        <v>0.3</v>
      </c>
      <c r="M111" s="17">
        <f t="shared" si="2"/>
        <v>0.87240000000000006</v>
      </c>
      <c r="N111" s="73">
        <f t="shared" si="3"/>
        <v>0.21810000000000002</v>
      </c>
      <c r="O111" s="34">
        <f t="shared" si="4"/>
        <v>0</v>
      </c>
      <c r="P111" s="74"/>
      <c r="Q111" s="73">
        <v>0.57699999999999996</v>
      </c>
      <c r="R111" s="18">
        <f t="shared" ref="R111:R154" si="8">L111+M111+N111+O111+Q111</f>
        <v>1.9675</v>
      </c>
      <c r="S111" s="73">
        <f t="shared" si="5"/>
        <v>0.25996533795493937</v>
      </c>
      <c r="T111" s="73">
        <f t="shared" ref="T111:T154" si="9">V111-S111</f>
        <v>1.4449740034662044</v>
      </c>
      <c r="U111" s="73">
        <f t="shared" si="6"/>
        <v>0.5</v>
      </c>
      <c r="V111" s="76">
        <f t="shared" si="7"/>
        <v>1.7049393414211438</v>
      </c>
      <c r="AB111" s="63"/>
      <c r="AC111" s="63"/>
      <c r="AQ111" s="17"/>
      <c r="AR111" s="17"/>
      <c r="AS111" s="17"/>
    </row>
    <row r="112" spans="1:45" ht="12.75" x14ac:dyDescent="0.35">
      <c r="A112" s="153"/>
      <c r="B112" s="20" t="str">
        <f>Config!B4</f>
        <v>2025_C_PR_B3_CONFIG2</v>
      </c>
      <c r="C112" s="44">
        <v>1154</v>
      </c>
      <c r="D112" s="33">
        <v>90</v>
      </c>
      <c r="E112" s="77"/>
      <c r="F112" s="77"/>
      <c r="G112" s="72">
        <v>1E-3</v>
      </c>
      <c r="H112" s="73">
        <v>4.3620000000000001</v>
      </c>
      <c r="I112" s="17">
        <v>4.3620000000000001</v>
      </c>
      <c r="J112" s="74"/>
      <c r="K112" s="18">
        <f>Config!H4</f>
        <v>1.4016309887869522</v>
      </c>
      <c r="L112" s="75">
        <f t="shared" si="1"/>
        <v>0.3</v>
      </c>
      <c r="M112" s="17">
        <f t="shared" si="2"/>
        <v>0.87240000000000006</v>
      </c>
      <c r="N112" s="73">
        <f t="shared" si="3"/>
        <v>0.21810000000000002</v>
      </c>
      <c r="O112" s="34">
        <f t="shared" si="4"/>
        <v>0</v>
      </c>
      <c r="P112" s="74"/>
      <c r="Q112" s="73">
        <v>0.57699999999999996</v>
      </c>
      <c r="R112" s="18">
        <f t="shared" si="8"/>
        <v>1.9675</v>
      </c>
      <c r="S112" s="73">
        <f t="shared" si="5"/>
        <v>0.25996533795493937</v>
      </c>
      <c r="T112" s="73">
        <f t="shared" si="9"/>
        <v>1.4449740034662044</v>
      </c>
      <c r="U112" s="73">
        <f t="shared" si="6"/>
        <v>0.5</v>
      </c>
      <c r="V112" s="76">
        <f t="shared" si="7"/>
        <v>1.7049393414211438</v>
      </c>
      <c r="AB112" s="63"/>
      <c r="AC112" s="63"/>
      <c r="AQ112" s="17"/>
      <c r="AR112" s="17"/>
      <c r="AS112" s="17"/>
    </row>
    <row r="113" spans="1:45" ht="12.75" x14ac:dyDescent="0.35">
      <c r="A113" s="153"/>
      <c r="B113" s="20" t="str">
        <f>Config!B5</f>
        <v>2026_C_PR_B3_CONFIG3</v>
      </c>
      <c r="C113" s="44">
        <v>1154</v>
      </c>
      <c r="D113" s="33">
        <v>90</v>
      </c>
      <c r="E113" s="77"/>
      <c r="F113" s="77"/>
      <c r="G113" s="72">
        <v>1E-3</v>
      </c>
      <c r="H113" s="73">
        <v>4.3620000000000001</v>
      </c>
      <c r="I113" s="17">
        <v>4.3620000000000001</v>
      </c>
      <c r="J113" s="74"/>
      <c r="K113" s="18">
        <f>Config!H5</f>
        <v>1.5290519877675841</v>
      </c>
      <c r="L113" s="75">
        <f t="shared" si="1"/>
        <v>0.3</v>
      </c>
      <c r="M113" s="17">
        <f t="shared" si="2"/>
        <v>0.87240000000000006</v>
      </c>
      <c r="N113" s="73">
        <f t="shared" si="3"/>
        <v>0.21810000000000002</v>
      </c>
      <c r="O113" s="34">
        <f t="shared" si="4"/>
        <v>0</v>
      </c>
      <c r="P113" s="74"/>
      <c r="Q113" s="73">
        <v>0.57699999999999996</v>
      </c>
      <c r="R113" s="18">
        <f t="shared" si="8"/>
        <v>1.9675</v>
      </c>
      <c r="S113" s="73">
        <f t="shared" si="5"/>
        <v>0.25996533795493937</v>
      </c>
      <c r="T113" s="73">
        <f t="shared" si="9"/>
        <v>1.4449740034662044</v>
      </c>
      <c r="U113" s="73">
        <f t="shared" si="6"/>
        <v>0.5</v>
      </c>
      <c r="V113" s="76">
        <f t="shared" si="7"/>
        <v>1.7049393414211438</v>
      </c>
      <c r="AB113" s="63"/>
      <c r="AC113" s="63"/>
      <c r="AQ113" s="17"/>
      <c r="AR113" s="17"/>
      <c r="AS113" s="17"/>
    </row>
    <row r="114" spans="1:45" ht="12.75" x14ac:dyDescent="0.35">
      <c r="A114" s="153"/>
      <c r="B114" s="20" t="str">
        <f>Config!B6</f>
        <v>2025_C_PR_B3_CONFIG4</v>
      </c>
      <c r="C114" s="44">
        <v>1154</v>
      </c>
      <c r="D114" s="33">
        <v>90</v>
      </c>
      <c r="E114" s="77"/>
      <c r="F114" s="77"/>
      <c r="G114" s="72">
        <v>1E-3</v>
      </c>
      <c r="H114" s="73">
        <v>4.3620000000000001</v>
      </c>
      <c r="I114" s="17">
        <v>4.3620000000000001</v>
      </c>
      <c r="J114" s="74"/>
      <c r="K114" s="18">
        <f>Config!H6</f>
        <v>1.6564729867482162</v>
      </c>
      <c r="L114" s="75">
        <f t="shared" si="1"/>
        <v>0.3</v>
      </c>
      <c r="M114" s="17">
        <f t="shared" si="2"/>
        <v>0.87240000000000006</v>
      </c>
      <c r="N114" s="73">
        <f t="shared" si="3"/>
        <v>0.21810000000000002</v>
      </c>
      <c r="O114" s="34">
        <f t="shared" si="4"/>
        <v>9.1743119266055047</v>
      </c>
      <c r="P114" s="74"/>
      <c r="Q114" s="73">
        <v>0.57699999999999996</v>
      </c>
      <c r="R114" s="18">
        <f t="shared" si="8"/>
        <v>11.141811926605504</v>
      </c>
      <c r="S114" s="73">
        <f t="shared" si="5"/>
        <v>0.25996533795493937</v>
      </c>
      <c r="T114" s="73">
        <f t="shared" si="9"/>
        <v>9.3949843384796381</v>
      </c>
      <c r="U114" s="73">
        <f t="shared" si="6"/>
        <v>0.5</v>
      </c>
      <c r="V114" s="76">
        <f t="shared" si="7"/>
        <v>9.6549496764345779</v>
      </c>
      <c r="AB114" s="63"/>
      <c r="AC114" s="63"/>
      <c r="AQ114" s="17"/>
      <c r="AR114" s="17"/>
      <c r="AS114" s="17"/>
    </row>
    <row r="115" spans="1:45" ht="12.75" x14ac:dyDescent="0.35">
      <c r="A115" s="153"/>
      <c r="B115" s="20" t="str">
        <f>Config!B7</f>
        <v>2026_C_PR_B3_CONFIG5</v>
      </c>
      <c r="C115" s="44">
        <v>1154</v>
      </c>
      <c r="D115" s="33">
        <v>90</v>
      </c>
      <c r="E115" s="77"/>
      <c r="F115" s="77"/>
      <c r="G115" s="72">
        <v>1E-3</v>
      </c>
      <c r="H115" s="73">
        <v>4.3620000000000001</v>
      </c>
      <c r="I115" s="17">
        <v>4.3620000000000001</v>
      </c>
      <c r="J115" s="74"/>
      <c r="K115" s="18">
        <f>Config!H7</f>
        <v>1.7838939857288483</v>
      </c>
      <c r="L115" s="75">
        <f t="shared" si="1"/>
        <v>0.3</v>
      </c>
      <c r="M115" s="17">
        <f t="shared" si="2"/>
        <v>0.87240000000000006</v>
      </c>
      <c r="N115" s="73">
        <f t="shared" si="3"/>
        <v>0.21810000000000002</v>
      </c>
      <c r="O115" s="34">
        <f t="shared" si="4"/>
        <v>9.1743119266055064</v>
      </c>
      <c r="P115" s="74"/>
      <c r="Q115" s="73">
        <v>0.57699999999999996</v>
      </c>
      <c r="R115" s="18">
        <f t="shared" si="8"/>
        <v>11.141811926605506</v>
      </c>
      <c r="S115" s="73">
        <f t="shared" si="5"/>
        <v>0.25996533795493937</v>
      </c>
      <c r="T115" s="73">
        <f t="shared" si="9"/>
        <v>9.3949843384796399</v>
      </c>
      <c r="U115" s="73">
        <f t="shared" si="6"/>
        <v>0.5</v>
      </c>
      <c r="V115" s="76">
        <f t="shared" si="7"/>
        <v>9.6549496764345797</v>
      </c>
      <c r="AB115" s="63"/>
      <c r="AC115" s="63"/>
      <c r="AQ115" s="17"/>
      <c r="AR115" s="17"/>
      <c r="AS115" s="17"/>
    </row>
    <row r="116" spans="1:45" ht="12.75" x14ac:dyDescent="0.35">
      <c r="A116" s="153"/>
      <c r="B116" s="20" t="str">
        <f>Config!B8</f>
        <v>2025_C_PR_B3_CONFIG6</v>
      </c>
      <c r="C116" s="44">
        <v>1154</v>
      </c>
      <c r="D116" s="33">
        <v>90</v>
      </c>
      <c r="E116" s="77"/>
      <c r="F116" s="77"/>
      <c r="G116" s="72">
        <v>1E-3</v>
      </c>
      <c r="H116" s="73">
        <v>4.3620000000000001</v>
      </c>
      <c r="I116" s="17">
        <v>4.3620000000000001</v>
      </c>
      <c r="J116" s="74"/>
      <c r="K116" s="18">
        <f>Config!H8</f>
        <v>1.9113149847094801</v>
      </c>
      <c r="L116" s="75">
        <f t="shared" si="1"/>
        <v>0.3</v>
      </c>
      <c r="M116" s="17">
        <f t="shared" si="2"/>
        <v>0.87240000000000006</v>
      </c>
      <c r="N116" s="73">
        <f t="shared" si="3"/>
        <v>0.21810000000000002</v>
      </c>
      <c r="O116" s="34">
        <f t="shared" si="4"/>
        <v>0</v>
      </c>
      <c r="P116" s="74"/>
      <c r="Q116" s="73">
        <v>0.57699999999999996</v>
      </c>
      <c r="R116" s="18">
        <f t="shared" si="8"/>
        <v>1.9675</v>
      </c>
      <c r="S116" s="73">
        <f t="shared" si="5"/>
        <v>0.25996533795493937</v>
      </c>
      <c r="T116" s="73">
        <f t="shared" si="9"/>
        <v>1.4449740034662044</v>
      </c>
      <c r="U116" s="73">
        <f t="shared" si="6"/>
        <v>0.5</v>
      </c>
      <c r="V116" s="76">
        <f t="shared" si="7"/>
        <v>1.7049393414211438</v>
      </c>
      <c r="AB116" s="63"/>
      <c r="AC116" s="63"/>
      <c r="AQ116" s="17"/>
      <c r="AR116" s="17"/>
      <c r="AS116" s="17"/>
    </row>
    <row r="117" spans="1:45" ht="12.75" x14ac:dyDescent="0.35">
      <c r="A117" s="153"/>
      <c r="B117" s="20" t="str">
        <f>Config!B9</f>
        <v>2026_C_PR_B3_CONFIG7</v>
      </c>
      <c r="C117" s="44">
        <v>1154</v>
      </c>
      <c r="D117" s="33">
        <v>90</v>
      </c>
      <c r="E117" s="77"/>
      <c r="F117" s="77"/>
      <c r="G117" s="72">
        <v>1E-3</v>
      </c>
      <c r="H117" s="73">
        <v>4.3620000000000001</v>
      </c>
      <c r="I117" s="17">
        <v>4.3620000000000001</v>
      </c>
      <c r="J117" s="74"/>
      <c r="K117" s="18">
        <f>Config!H9</f>
        <v>2.5484199796126404E-4</v>
      </c>
      <c r="L117" s="75">
        <f t="shared" si="1"/>
        <v>0.3</v>
      </c>
      <c r="M117" s="17">
        <f t="shared" si="2"/>
        <v>0.87240000000000006</v>
      </c>
      <c r="N117" s="73">
        <f t="shared" si="3"/>
        <v>0.21810000000000002</v>
      </c>
      <c r="O117" s="34">
        <f t="shared" si="4"/>
        <v>0</v>
      </c>
      <c r="P117" s="74"/>
      <c r="Q117" s="73">
        <v>0.57699999999999996</v>
      </c>
      <c r="R117" s="18">
        <f t="shared" si="8"/>
        <v>1.9675</v>
      </c>
      <c r="S117" s="73">
        <f t="shared" si="5"/>
        <v>0.25996533795493937</v>
      </c>
      <c r="T117" s="73">
        <f t="shared" si="9"/>
        <v>1.4449740034662044</v>
      </c>
      <c r="U117" s="73">
        <f t="shared" si="6"/>
        <v>0.5</v>
      </c>
      <c r="V117" s="76">
        <f t="shared" si="7"/>
        <v>1.7049393414211438</v>
      </c>
      <c r="AB117" s="63"/>
      <c r="AC117" s="63"/>
      <c r="AQ117" s="17"/>
      <c r="AR117" s="17"/>
      <c r="AS117" s="17"/>
    </row>
    <row r="118" spans="1:45" ht="12.75" x14ac:dyDescent="0.35">
      <c r="A118" s="153"/>
      <c r="B118" s="20" t="str">
        <f>Config!B10</f>
        <v>2025_C_PR_B3_CONFIG8</v>
      </c>
      <c r="C118" s="44">
        <v>1154</v>
      </c>
      <c r="D118" s="33">
        <v>90</v>
      </c>
      <c r="E118" s="77"/>
      <c r="F118" s="77"/>
      <c r="G118" s="72">
        <v>1E-3</v>
      </c>
      <c r="H118" s="73">
        <v>4.3620000000000001</v>
      </c>
      <c r="I118" s="17">
        <v>4.3620000000000001</v>
      </c>
      <c r="J118" s="74"/>
      <c r="K118" s="18">
        <f>Config!H10</f>
        <v>2.5484199796126404E-4</v>
      </c>
      <c r="L118" s="75">
        <f t="shared" si="1"/>
        <v>0.3</v>
      </c>
      <c r="M118" s="17">
        <f t="shared" si="2"/>
        <v>0.87240000000000006</v>
      </c>
      <c r="N118" s="73">
        <f t="shared" si="3"/>
        <v>0.21810000000000002</v>
      </c>
      <c r="O118" s="34">
        <f t="shared" si="4"/>
        <v>0</v>
      </c>
      <c r="P118" s="74"/>
      <c r="Q118" s="73">
        <v>0.57699999999999996</v>
      </c>
      <c r="R118" s="18">
        <f t="shared" si="8"/>
        <v>1.9675</v>
      </c>
      <c r="S118" s="73">
        <f t="shared" si="5"/>
        <v>0.25996533795493937</v>
      </c>
      <c r="T118" s="73">
        <f t="shared" si="9"/>
        <v>1.4449740034662044</v>
      </c>
      <c r="U118" s="73">
        <f t="shared" si="6"/>
        <v>0.5</v>
      </c>
      <c r="V118" s="76">
        <f t="shared" si="7"/>
        <v>1.7049393414211438</v>
      </c>
      <c r="AB118" s="63"/>
      <c r="AC118" s="63"/>
      <c r="AQ118" s="17"/>
      <c r="AR118" s="17"/>
      <c r="AS118" s="17"/>
    </row>
    <row r="119" spans="1:45" ht="12.75" x14ac:dyDescent="0.35">
      <c r="A119" s="153"/>
      <c r="B119" s="20" t="str">
        <f>Config!B11</f>
        <v>2026_C_PR_B3_CONFIG9</v>
      </c>
      <c r="C119" s="44">
        <v>1154</v>
      </c>
      <c r="D119" s="33">
        <v>90</v>
      </c>
      <c r="E119" s="77"/>
      <c r="F119" s="77"/>
      <c r="G119" s="72">
        <v>1E-3</v>
      </c>
      <c r="H119" s="73">
        <v>4.3620000000000001</v>
      </c>
      <c r="I119" s="17">
        <v>4.3620000000000001</v>
      </c>
      <c r="J119" s="74"/>
      <c r="K119" s="18">
        <f>Config!H11</f>
        <v>2.5484199796126404E-4</v>
      </c>
      <c r="L119" s="75">
        <f t="shared" si="1"/>
        <v>0.3</v>
      </c>
      <c r="M119" s="17">
        <f t="shared" si="2"/>
        <v>0.87240000000000006</v>
      </c>
      <c r="N119" s="73">
        <f t="shared" si="3"/>
        <v>0.21810000000000002</v>
      </c>
      <c r="O119" s="34">
        <f t="shared" si="4"/>
        <v>0</v>
      </c>
      <c r="P119" s="74"/>
      <c r="Q119" s="73">
        <v>0.57699999999999996</v>
      </c>
      <c r="R119" s="18">
        <f t="shared" si="8"/>
        <v>1.9675</v>
      </c>
      <c r="S119" s="73">
        <f t="shared" si="5"/>
        <v>0.25996533795493937</v>
      </c>
      <c r="T119" s="73">
        <f t="shared" si="9"/>
        <v>1.4449740034662044</v>
      </c>
      <c r="U119" s="73">
        <f t="shared" si="6"/>
        <v>0.5</v>
      </c>
      <c r="V119" s="76">
        <f t="shared" si="7"/>
        <v>1.7049393414211438</v>
      </c>
      <c r="AB119" s="63"/>
      <c r="AC119" s="63"/>
      <c r="AQ119" s="17"/>
      <c r="AR119" s="17"/>
      <c r="AS119" s="17"/>
    </row>
    <row r="120" spans="1:45" ht="12.75" x14ac:dyDescent="0.35">
      <c r="A120" s="153"/>
      <c r="B120" s="20" t="str">
        <f>Config!B12</f>
        <v>2026_C_PR_B3_CONFIG10</v>
      </c>
      <c r="C120" s="44">
        <v>1154</v>
      </c>
      <c r="D120" s="33">
        <v>90</v>
      </c>
      <c r="E120" s="77"/>
      <c r="F120" s="77"/>
      <c r="G120" s="72">
        <v>1E-3</v>
      </c>
      <c r="H120" s="73">
        <v>4.3620000000000001</v>
      </c>
      <c r="I120" s="17">
        <v>4.3620000000000001</v>
      </c>
      <c r="J120" s="74"/>
      <c r="K120" s="18">
        <f>Config!H12</f>
        <v>2.5484199796126404E-4</v>
      </c>
      <c r="L120" s="75">
        <f t="shared" si="1"/>
        <v>0.3</v>
      </c>
      <c r="M120" s="17">
        <f t="shared" si="2"/>
        <v>0.87240000000000006</v>
      </c>
      <c r="N120" s="73">
        <f t="shared" si="3"/>
        <v>0.21810000000000002</v>
      </c>
      <c r="O120" s="34">
        <f t="shared" si="4"/>
        <v>0</v>
      </c>
      <c r="P120" s="74"/>
      <c r="Q120" s="73">
        <v>0.57699999999999996</v>
      </c>
      <c r="R120" s="18">
        <f t="shared" si="8"/>
        <v>1.9675</v>
      </c>
      <c r="S120" s="73">
        <f t="shared" si="5"/>
        <v>0.25996533795493937</v>
      </c>
      <c r="T120" s="73">
        <f t="shared" si="9"/>
        <v>1.4449740034662044</v>
      </c>
      <c r="U120" s="73">
        <f t="shared" si="6"/>
        <v>0.5</v>
      </c>
      <c r="V120" s="76">
        <f t="shared" si="7"/>
        <v>1.7049393414211438</v>
      </c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</row>
    <row r="121" spans="1:45" ht="12.75" x14ac:dyDescent="0.35">
      <c r="A121" s="153"/>
      <c r="B121" s="20" t="str">
        <f>Config!B13</f>
        <v>2026_C_PR_B3_CONFIG11</v>
      </c>
      <c r="C121" s="44">
        <v>1154</v>
      </c>
      <c r="D121" s="33">
        <v>90</v>
      </c>
      <c r="E121" s="71"/>
      <c r="F121" s="71"/>
      <c r="G121" s="72">
        <v>9.9999999999999894E-4</v>
      </c>
      <c r="H121" s="73">
        <v>4.3619999999999903</v>
      </c>
      <c r="I121" s="17">
        <v>4.3619999999999903</v>
      </c>
      <c r="J121" s="74"/>
      <c r="K121" s="18">
        <f>Config!H13</f>
        <v>2.5484199796126404E-4</v>
      </c>
      <c r="L121" s="75">
        <f t="shared" si="1"/>
        <v>0.29999999999999966</v>
      </c>
      <c r="M121" s="17">
        <f t="shared" si="2"/>
        <v>0.87239999999999807</v>
      </c>
      <c r="N121" s="73">
        <f t="shared" si="3"/>
        <v>0.21809999999999996</v>
      </c>
      <c r="O121" s="34">
        <f t="shared" si="4"/>
        <v>0</v>
      </c>
      <c r="P121" s="74"/>
      <c r="Q121" s="73">
        <v>0.57699999999999996</v>
      </c>
      <c r="R121" s="18">
        <f t="shared" si="8"/>
        <v>1.9674999999999976</v>
      </c>
      <c r="S121" s="73">
        <f t="shared" si="5"/>
        <v>0.25996533795493904</v>
      </c>
      <c r="T121" s="73">
        <f t="shared" si="9"/>
        <v>1.4449740034662026</v>
      </c>
      <c r="U121" s="73">
        <f t="shared" si="6"/>
        <v>0.5</v>
      </c>
      <c r="V121" s="76">
        <f t="shared" si="7"/>
        <v>1.7049393414211418</v>
      </c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</row>
    <row r="122" spans="1:45" ht="12.75" x14ac:dyDescent="0.35">
      <c r="A122" s="154"/>
      <c r="B122" s="23" t="str">
        <f>Config!B14</f>
        <v>2026_C_PR_B3_CONFIG12</v>
      </c>
      <c r="C122" s="46">
        <v>1154</v>
      </c>
      <c r="D122" s="41">
        <v>90</v>
      </c>
      <c r="E122" s="78"/>
      <c r="F122" s="78"/>
      <c r="G122" s="79">
        <v>9.9999999999999894E-4</v>
      </c>
      <c r="H122" s="80">
        <v>4.3619999999999903</v>
      </c>
      <c r="I122" s="11">
        <v>4.3619999999999903</v>
      </c>
      <c r="J122" s="81"/>
      <c r="K122" s="12">
        <f>Config!H14</f>
        <v>2.5484199796126404E-4</v>
      </c>
      <c r="L122" s="82">
        <f t="shared" si="1"/>
        <v>0.29999999999999966</v>
      </c>
      <c r="M122" s="11">
        <f t="shared" si="2"/>
        <v>0.87239999999999807</v>
      </c>
      <c r="N122" s="80">
        <f t="shared" si="3"/>
        <v>0.21809999999999996</v>
      </c>
      <c r="O122" s="83">
        <f t="shared" si="4"/>
        <v>0</v>
      </c>
      <c r="P122" s="81"/>
      <c r="Q122" s="80">
        <v>0.57699999999999996</v>
      </c>
      <c r="R122" s="12">
        <f t="shared" si="8"/>
        <v>1.9674999999999976</v>
      </c>
      <c r="S122" s="80">
        <f t="shared" si="5"/>
        <v>0.25996533795493904</v>
      </c>
      <c r="T122" s="80">
        <f t="shared" si="9"/>
        <v>1.4449740034662026</v>
      </c>
      <c r="U122" s="80">
        <f t="shared" si="6"/>
        <v>0.5</v>
      </c>
      <c r="V122" s="84">
        <f t="shared" si="7"/>
        <v>1.7049393414211418</v>
      </c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</row>
    <row r="123" spans="1:45" ht="12.75" x14ac:dyDescent="0.35">
      <c r="A123" s="152" t="s">
        <v>29</v>
      </c>
      <c r="B123" s="20" t="str">
        <f>Config!B15</f>
        <v>2026_C_PR_B3_CONFIG13</v>
      </c>
      <c r="C123" s="44">
        <v>1154</v>
      </c>
      <c r="D123" s="33">
        <v>90</v>
      </c>
      <c r="E123" s="77"/>
      <c r="F123" s="77"/>
      <c r="G123" s="72">
        <v>9.9999999999999894E-4</v>
      </c>
      <c r="H123" s="73">
        <v>4.3619999999999903</v>
      </c>
      <c r="I123" s="17">
        <v>4.3619999999999903</v>
      </c>
      <c r="J123" s="74"/>
      <c r="K123" s="18">
        <f>Config!H15</f>
        <v>1.2742099898063202</v>
      </c>
      <c r="L123" s="75">
        <f t="shared" si="1"/>
        <v>0.29999999999999966</v>
      </c>
      <c r="M123" s="17">
        <f t="shared" si="2"/>
        <v>0.87239999999999807</v>
      </c>
      <c r="N123" s="73">
        <f t="shared" si="3"/>
        <v>0.21809999999999996</v>
      </c>
      <c r="O123" s="34">
        <f t="shared" si="4"/>
        <v>0</v>
      </c>
      <c r="P123" s="74"/>
      <c r="Q123" s="73">
        <v>0.57699999999999996</v>
      </c>
      <c r="R123" s="18">
        <f t="shared" si="8"/>
        <v>1.9674999999999976</v>
      </c>
      <c r="S123" s="73">
        <f t="shared" si="5"/>
        <v>0.25996533795493904</v>
      </c>
      <c r="T123" s="73">
        <f t="shared" si="9"/>
        <v>1.4449740034662026</v>
      </c>
      <c r="U123" s="73">
        <f t="shared" si="6"/>
        <v>0.5</v>
      </c>
      <c r="V123" s="76">
        <f t="shared" si="7"/>
        <v>1.7049393414211418</v>
      </c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</row>
    <row r="124" spans="1:45" ht="12.75" x14ac:dyDescent="0.35">
      <c r="A124" s="153"/>
      <c r="B124" s="20" t="str">
        <f>Config!B16</f>
        <v>2026_C_PR_B3_CONFIG14</v>
      </c>
      <c r="C124" s="44">
        <v>1154</v>
      </c>
      <c r="D124" s="33">
        <v>90</v>
      </c>
      <c r="E124" s="77"/>
      <c r="F124" s="77"/>
      <c r="G124" s="72">
        <v>9.9999999999999807E-4</v>
      </c>
      <c r="H124" s="73">
        <v>4.3619999999999903</v>
      </c>
      <c r="I124" s="17">
        <v>4.3619999999999903</v>
      </c>
      <c r="J124" s="74"/>
      <c r="K124" s="18">
        <f>Config!H16</f>
        <v>1.4016309887869522</v>
      </c>
      <c r="L124" s="75">
        <f t="shared" si="1"/>
        <v>0.29999999999999943</v>
      </c>
      <c r="M124" s="17">
        <f t="shared" si="2"/>
        <v>0.87239999999999807</v>
      </c>
      <c r="N124" s="73">
        <f t="shared" si="3"/>
        <v>0.21809999999999996</v>
      </c>
      <c r="O124" s="34">
        <f t="shared" si="4"/>
        <v>0</v>
      </c>
      <c r="P124" s="74"/>
      <c r="Q124" s="73">
        <v>0.57699999999999996</v>
      </c>
      <c r="R124" s="18">
        <f t="shared" si="8"/>
        <v>1.9674999999999974</v>
      </c>
      <c r="S124" s="73">
        <f t="shared" si="5"/>
        <v>0.25996533795493887</v>
      </c>
      <c r="T124" s="73">
        <f t="shared" si="9"/>
        <v>1.4449740034662026</v>
      </c>
      <c r="U124" s="73">
        <f t="shared" si="6"/>
        <v>0.5</v>
      </c>
      <c r="V124" s="76">
        <f t="shared" si="7"/>
        <v>1.7049393414211416</v>
      </c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</row>
    <row r="125" spans="1:45" ht="12.75" x14ac:dyDescent="0.35">
      <c r="A125" s="153"/>
      <c r="B125" s="20" t="str">
        <f>Config!B17</f>
        <v>2026_C_PR_B3_CONFIG15</v>
      </c>
      <c r="C125" s="44">
        <v>1154</v>
      </c>
      <c r="D125" s="33">
        <v>90</v>
      </c>
      <c r="E125" s="77"/>
      <c r="F125" s="77"/>
      <c r="G125" s="72">
        <v>9.9999999999999807E-4</v>
      </c>
      <c r="H125" s="73">
        <v>4.3619999999999903</v>
      </c>
      <c r="I125" s="17">
        <v>4.3619999999999903</v>
      </c>
      <c r="J125" s="74"/>
      <c r="K125" s="18">
        <f>Config!H17</f>
        <v>1.5290519877675841</v>
      </c>
      <c r="L125" s="75">
        <f t="shared" si="1"/>
        <v>0.29999999999999943</v>
      </c>
      <c r="M125" s="17">
        <f t="shared" si="2"/>
        <v>0.87239999999999807</v>
      </c>
      <c r="N125" s="73">
        <f t="shared" si="3"/>
        <v>0.21809999999999996</v>
      </c>
      <c r="O125" s="34">
        <f t="shared" si="4"/>
        <v>0</v>
      </c>
      <c r="P125" s="74"/>
      <c r="Q125" s="73">
        <v>0.57699999999999996</v>
      </c>
      <c r="R125" s="18">
        <f t="shared" si="8"/>
        <v>1.9674999999999974</v>
      </c>
      <c r="S125" s="73">
        <f t="shared" si="5"/>
        <v>0.25996533795493887</v>
      </c>
      <c r="T125" s="73">
        <f t="shared" si="9"/>
        <v>1.4449740034662026</v>
      </c>
      <c r="U125" s="73">
        <f t="shared" si="6"/>
        <v>0.5</v>
      </c>
      <c r="V125" s="76">
        <f t="shared" si="7"/>
        <v>1.7049393414211416</v>
      </c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</row>
    <row r="126" spans="1:45" ht="12.75" x14ac:dyDescent="0.35">
      <c r="A126" s="153"/>
      <c r="B126" s="20" t="str">
        <f>Config!B18</f>
        <v>2026_C_PR_B3_CONFIG16</v>
      </c>
      <c r="C126" s="44">
        <v>1154</v>
      </c>
      <c r="D126" s="33">
        <v>90</v>
      </c>
      <c r="E126" s="77"/>
      <c r="F126" s="77"/>
      <c r="G126" s="72">
        <v>9.9999999999999807E-4</v>
      </c>
      <c r="H126" s="73">
        <v>4.3619999999999903</v>
      </c>
      <c r="I126" s="17">
        <v>4.3619999999999903</v>
      </c>
      <c r="J126" s="74"/>
      <c r="K126" s="18">
        <f>Config!H18</f>
        <v>1.6564729867482162</v>
      </c>
      <c r="L126" s="75">
        <f t="shared" si="1"/>
        <v>0.29999999999999943</v>
      </c>
      <c r="M126" s="17">
        <f t="shared" si="2"/>
        <v>0.87239999999999807</v>
      </c>
      <c r="N126" s="73">
        <f t="shared" si="3"/>
        <v>0.21809999999999996</v>
      </c>
      <c r="O126" s="34">
        <f t="shared" si="4"/>
        <v>0</v>
      </c>
      <c r="P126" s="74"/>
      <c r="Q126" s="73">
        <v>0.57699999999999996</v>
      </c>
      <c r="R126" s="18">
        <f t="shared" si="8"/>
        <v>1.9674999999999974</v>
      </c>
      <c r="S126" s="73">
        <f t="shared" si="5"/>
        <v>0.25996533795493887</v>
      </c>
      <c r="T126" s="73">
        <f t="shared" si="9"/>
        <v>1.4449740034662026</v>
      </c>
      <c r="U126" s="73">
        <f t="shared" si="6"/>
        <v>0.5</v>
      </c>
      <c r="V126" s="76">
        <f t="shared" si="7"/>
        <v>1.7049393414211416</v>
      </c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</row>
    <row r="127" spans="1:45" ht="12.75" x14ac:dyDescent="0.35">
      <c r="A127" s="153"/>
      <c r="B127" s="20" t="str">
        <f>Config!B19</f>
        <v>2026_C_PR_B3_CONFIG17</v>
      </c>
      <c r="C127" s="44">
        <v>1154</v>
      </c>
      <c r="D127" s="33">
        <v>90</v>
      </c>
      <c r="E127" s="77"/>
      <c r="F127" s="77"/>
      <c r="G127" s="72">
        <v>9.9999999999999807E-4</v>
      </c>
      <c r="H127" s="73">
        <v>4.3619999999999903</v>
      </c>
      <c r="I127" s="17">
        <v>4.3619999999999903</v>
      </c>
      <c r="J127" s="74"/>
      <c r="K127" s="18">
        <f>Config!H19</f>
        <v>1.7838939857288483</v>
      </c>
      <c r="L127" s="75">
        <f t="shared" si="1"/>
        <v>0.29999999999999943</v>
      </c>
      <c r="M127" s="17">
        <f t="shared" si="2"/>
        <v>0.87239999999999807</v>
      </c>
      <c r="N127" s="73">
        <f t="shared" si="3"/>
        <v>0.21809999999999996</v>
      </c>
      <c r="O127" s="34">
        <f t="shared" si="4"/>
        <v>0</v>
      </c>
      <c r="P127" s="74"/>
      <c r="Q127" s="73">
        <v>0.57699999999999996</v>
      </c>
      <c r="R127" s="18">
        <f t="shared" si="8"/>
        <v>1.9674999999999974</v>
      </c>
      <c r="S127" s="73">
        <f t="shared" si="5"/>
        <v>0.25996533795493887</v>
      </c>
      <c r="T127" s="73">
        <f t="shared" si="9"/>
        <v>1.4449740034662026</v>
      </c>
      <c r="U127" s="73">
        <f t="shared" si="6"/>
        <v>0.5</v>
      </c>
      <c r="V127" s="76">
        <f t="shared" si="7"/>
        <v>1.7049393414211416</v>
      </c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</row>
    <row r="128" spans="1:45" ht="12.75" x14ac:dyDescent="0.35">
      <c r="A128" s="153"/>
      <c r="B128" s="20" t="str">
        <f>Config!B20</f>
        <v>2026_C_PR_B3_CONFIG18</v>
      </c>
      <c r="C128" s="44">
        <v>1154</v>
      </c>
      <c r="D128" s="33">
        <v>90</v>
      </c>
      <c r="E128" s="77"/>
      <c r="F128" s="77"/>
      <c r="G128" s="32">
        <v>9.9999999999999807E-4</v>
      </c>
      <c r="H128" s="17">
        <v>4.3619999999999903</v>
      </c>
      <c r="I128" s="17">
        <v>4.3619999999999903</v>
      </c>
      <c r="J128" s="74"/>
      <c r="K128" s="18">
        <f>Config!H20</f>
        <v>1.9113149847094801</v>
      </c>
      <c r="L128" s="75">
        <f t="shared" si="1"/>
        <v>0.29999999999999943</v>
      </c>
      <c r="M128" s="17">
        <f t="shared" si="2"/>
        <v>0.87239999999999807</v>
      </c>
      <c r="N128" s="17">
        <f t="shared" si="3"/>
        <v>0.21809999999999996</v>
      </c>
      <c r="O128" s="34">
        <f t="shared" si="4"/>
        <v>9.1743119266055047</v>
      </c>
      <c r="P128" s="74"/>
      <c r="Q128" s="17">
        <v>0.57699999999999996</v>
      </c>
      <c r="R128" s="18">
        <f t="shared" si="8"/>
        <v>11.141811926605502</v>
      </c>
      <c r="S128" s="17">
        <f t="shared" si="5"/>
        <v>0.25996533795493887</v>
      </c>
      <c r="T128" s="17">
        <f t="shared" si="9"/>
        <v>9.3949843384796381</v>
      </c>
      <c r="U128" s="17">
        <f t="shared" si="6"/>
        <v>0.5</v>
      </c>
      <c r="V128" s="18">
        <f t="shared" si="7"/>
        <v>9.6549496764345761</v>
      </c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</row>
    <row r="129" spans="1:45" ht="12.75" x14ac:dyDescent="0.35">
      <c r="A129" s="153"/>
      <c r="B129" s="20" t="str">
        <f>Config!B21</f>
        <v>2026_C_PR_B3_CONFIG19</v>
      </c>
      <c r="C129" s="44">
        <v>1154</v>
      </c>
      <c r="D129" s="33">
        <v>90</v>
      </c>
      <c r="E129" s="77"/>
      <c r="F129" s="77"/>
      <c r="G129" s="72">
        <v>9.9999999999999807E-4</v>
      </c>
      <c r="H129" s="73">
        <v>4.3619999999999903</v>
      </c>
      <c r="I129" s="17">
        <v>4.3619999999999903</v>
      </c>
      <c r="J129" s="74"/>
      <c r="K129" s="18">
        <f>Config!H21</f>
        <v>2.0387359836901124</v>
      </c>
      <c r="L129" s="75">
        <f t="shared" si="1"/>
        <v>0.29999999999999943</v>
      </c>
      <c r="M129" s="17">
        <f t="shared" si="2"/>
        <v>0.87239999999999807</v>
      </c>
      <c r="N129" s="73">
        <f t="shared" si="3"/>
        <v>0.21810000000000038</v>
      </c>
      <c r="O129" s="34">
        <f t="shared" si="4"/>
        <v>9.1743119266055064</v>
      </c>
      <c r="P129" s="74"/>
      <c r="Q129" s="73">
        <v>0.57699999999999996</v>
      </c>
      <c r="R129" s="18">
        <f t="shared" si="8"/>
        <v>11.141811926605504</v>
      </c>
      <c r="S129" s="73">
        <f t="shared" si="5"/>
        <v>0.25996533795493887</v>
      </c>
      <c r="T129" s="73">
        <f t="shared" si="9"/>
        <v>9.3949843384796399</v>
      </c>
      <c r="U129" s="73">
        <f t="shared" si="6"/>
        <v>0.5</v>
      </c>
      <c r="V129" s="76">
        <f t="shared" si="7"/>
        <v>9.6549496764345779</v>
      </c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</row>
    <row r="130" spans="1:45" ht="12.75" x14ac:dyDescent="0.35">
      <c r="A130" s="153"/>
      <c r="B130" s="20" t="str">
        <f>Config!B22</f>
        <v>2026_C_PR_B3_CONFIG20</v>
      </c>
      <c r="C130" s="44">
        <v>1154</v>
      </c>
      <c r="D130" s="33">
        <v>90</v>
      </c>
      <c r="E130" s="77"/>
      <c r="F130" s="77"/>
      <c r="G130" s="72">
        <v>9.9999999999999699E-4</v>
      </c>
      <c r="H130" s="73">
        <v>4.3619999999999797</v>
      </c>
      <c r="I130" s="17">
        <v>4.3619999999999797</v>
      </c>
      <c r="J130" s="74"/>
      <c r="K130" s="18">
        <f>Config!H22</f>
        <v>2.5484199796126404E-4</v>
      </c>
      <c r="L130" s="75">
        <f t="shared" si="1"/>
        <v>0.2999999999999991</v>
      </c>
      <c r="M130" s="17">
        <f t="shared" si="2"/>
        <v>0.87239999999999596</v>
      </c>
      <c r="N130" s="73">
        <f t="shared" si="3"/>
        <v>0.21809999999999985</v>
      </c>
      <c r="O130" s="34">
        <f t="shared" si="4"/>
        <v>0</v>
      </c>
      <c r="P130" s="74"/>
      <c r="Q130" s="73">
        <v>0.57699999999999996</v>
      </c>
      <c r="R130" s="18">
        <f t="shared" si="8"/>
        <v>1.9674999999999949</v>
      </c>
      <c r="S130" s="73">
        <f t="shared" si="5"/>
        <v>0.25996533795493854</v>
      </c>
      <c r="T130" s="73">
        <f t="shared" si="9"/>
        <v>1.4449740034662011</v>
      </c>
      <c r="U130" s="73">
        <f t="shared" si="6"/>
        <v>0.5</v>
      </c>
      <c r="V130" s="76">
        <f t="shared" si="7"/>
        <v>1.7049393414211396</v>
      </c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</row>
    <row r="131" spans="1:45" ht="12.75" x14ac:dyDescent="0.35">
      <c r="A131" s="153"/>
      <c r="B131" s="20" t="str">
        <f>Config!B23</f>
        <v>2026_C_PR_B3_CONFIG21</v>
      </c>
      <c r="C131" s="44">
        <v>1154</v>
      </c>
      <c r="D131" s="33">
        <v>90</v>
      </c>
      <c r="E131" s="77"/>
      <c r="F131" s="77"/>
      <c r="G131" s="72">
        <v>9.9999999999999699E-4</v>
      </c>
      <c r="H131" s="73">
        <v>4.3619999999999797</v>
      </c>
      <c r="I131" s="17">
        <v>4.3619999999999797</v>
      </c>
      <c r="J131" s="74"/>
      <c r="K131" s="18">
        <f>Config!H23</f>
        <v>2.5484199796126404E-4</v>
      </c>
      <c r="L131" s="75">
        <f t="shared" si="1"/>
        <v>0.2999999999999991</v>
      </c>
      <c r="M131" s="17">
        <f t="shared" si="2"/>
        <v>0.87239999999999596</v>
      </c>
      <c r="N131" s="73">
        <f t="shared" si="3"/>
        <v>0.21809999999999985</v>
      </c>
      <c r="O131" s="34">
        <f t="shared" si="4"/>
        <v>0</v>
      </c>
      <c r="P131" s="74"/>
      <c r="Q131" s="73">
        <v>0.57699999999999996</v>
      </c>
      <c r="R131" s="18">
        <f t="shared" si="8"/>
        <v>1.9674999999999949</v>
      </c>
      <c r="S131" s="73">
        <f t="shared" si="5"/>
        <v>0.25996533795493854</v>
      </c>
      <c r="T131" s="73">
        <f t="shared" si="9"/>
        <v>1.4449740034662011</v>
      </c>
      <c r="U131" s="73">
        <f t="shared" si="6"/>
        <v>0.5</v>
      </c>
      <c r="V131" s="76">
        <f t="shared" si="7"/>
        <v>1.7049393414211396</v>
      </c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</row>
    <row r="132" spans="1:45" ht="12.75" x14ac:dyDescent="0.35">
      <c r="A132" s="153"/>
      <c r="B132" s="20" t="str">
        <f>Config!B24</f>
        <v>2026_C_PR_B3_CONFIG22</v>
      </c>
      <c r="C132" s="44">
        <v>1154</v>
      </c>
      <c r="D132" s="33">
        <v>90</v>
      </c>
      <c r="E132" s="71"/>
      <c r="F132" s="71"/>
      <c r="G132" s="72">
        <v>9.9999999999999894E-4</v>
      </c>
      <c r="H132" s="73">
        <v>4.3619999999999903</v>
      </c>
      <c r="I132" s="17">
        <v>4.3619999999999903</v>
      </c>
      <c r="J132" s="74"/>
      <c r="K132" s="18">
        <f>Config!H24</f>
        <v>2.5484199796126404E-4</v>
      </c>
      <c r="L132" s="75">
        <f t="shared" si="1"/>
        <v>0.29999999999999966</v>
      </c>
      <c r="M132" s="17">
        <f t="shared" si="2"/>
        <v>0.87239999999999807</v>
      </c>
      <c r="N132" s="73">
        <f t="shared" si="3"/>
        <v>0.21810000000000038</v>
      </c>
      <c r="O132" s="34">
        <f t="shared" si="4"/>
        <v>0</v>
      </c>
      <c r="P132" s="74"/>
      <c r="Q132" s="73">
        <v>0.57699999999999996</v>
      </c>
      <c r="R132" s="18">
        <f t="shared" si="8"/>
        <v>1.967499999999998</v>
      </c>
      <c r="S132" s="73">
        <f t="shared" si="5"/>
        <v>0.25996533795493904</v>
      </c>
      <c r="T132" s="73">
        <f t="shared" si="9"/>
        <v>1.4449740034662031</v>
      </c>
      <c r="U132" s="73">
        <f t="shared" si="6"/>
        <v>0.5</v>
      </c>
      <c r="V132" s="76">
        <f t="shared" si="7"/>
        <v>1.704939341421142</v>
      </c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</row>
    <row r="133" spans="1:45" ht="12.75" x14ac:dyDescent="0.35">
      <c r="A133" s="153"/>
      <c r="B133" s="20" t="str">
        <f>Config!B25</f>
        <v>2026_C_PR_B3_CONFIG23</v>
      </c>
      <c r="C133" s="44">
        <v>1154</v>
      </c>
      <c r="D133" s="33">
        <v>90</v>
      </c>
      <c r="E133" s="77"/>
      <c r="F133" s="77"/>
      <c r="G133" s="72">
        <v>9.9999999999999894E-4</v>
      </c>
      <c r="H133" s="73">
        <v>4.3619999999999903</v>
      </c>
      <c r="I133" s="17">
        <v>4.3619999999999903</v>
      </c>
      <c r="J133" s="74"/>
      <c r="K133" s="18">
        <f>Config!H25</f>
        <v>2.5484199796126404E-4</v>
      </c>
      <c r="L133" s="75">
        <f t="shared" si="1"/>
        <v>0.29999999999999966</v>
      </c>
      <c r="M133" s="17">
        <f t="shared" si="2"/>
        <v>0.87239999999999807</v>
      </c>
      <c r="N133" s="73">
        <f t="shared" si="3"/>
        <v>0.21810000000000038</v>
      </c>
      <c r="O133" s="34">
        <f t="shared" si="4"/>
        <v>0</v>
      </c>
      <c r="P133" s="74"/>
      <c r="Q133" s="73">
        <v>0.57699999999999996</v>
      </c>
      <c r="R133" s="18">
        <f t="shared" si="8"/>
        <v>1.967499999999998</v>
      </c>
      <c r="S133" s="73">
        <f t="shared" si="5"/>
        <v>0.25996533795493904</v>
      </c>
      <c r="T133" s="73">
        <f t="shared" si="9"/>
        <v>1.4449740034662031</v>
      </c>
      <c r="U133" s="73">
        <f t="shared" si="6"/>
        <v>0.5</v>
      </c>
      <c r="V133" s="76">
        <f t="shared" si="7"/>
        <v>1.704939341421142</v>
      </c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</row>
    <row r="134" spans="1:45" ht="12.75" x14ac:dyDescent="0.35">
      <c r="A134" s="154"/>
      <c r="B134" s="23" t="str">
        <f>Config!B26</f>
        <v>2026_C_PR_B3_CONFIG24</v>
      </c>
      <c r="C134" s="46">
        <v>1154</v>
      </c>
      <c r="D134" s="41">
        <v>90</v>
      </c>
      <c r="E134" s="78"/>
      <c r="F134" s="78"/>
      <c r="G134" s="79">
        <v>9.9999999999999894E-4</v>
      </c>
      <c r="H134" s="80">
        <v>4.3619999999999903</v>
      </c>
      <c r="I134" s="11">
        <v>4.3619999999999903</v>
      </c>
      <c r="J134" s="81"/>
      <c r="K134" s="12">
        <f>Config!H26</f>
        <v>2.5484199796126404E-4</v>
      </c>
      <c r="L134" s="82">
        <f t="shared" si="1"/>
        <v>0.29999999999999966</v>
      </c>
      <c r="M134" s="11">
        <f t="shared" si="2"/>
        <v>0.87239999999999807</v>
      </c>
      <c r="N134" s="80">
        <f t="shared" si="3"/>
        <v>0.21810000000000038</v>
      </c>
      <c r="O134" s="83">
        <f t="shared" si="4"/>
        <v>0</v>
      </c>
      <c r="P134" s="81"/>
      <c r="Q134" s="80">
        <v>0.57699999999999996</v>
      </c>
      <c r="R134" s="12">
        <f t="shared" si="8"/>
        <v>1.967499999999998</v>
      </c>
      <c r="S134" s="80">
        <f t="shared" si="5"/>
        <v>0.25996533795493904</v>
      </c>
      <c r="T134" s="80">
        <f t="shared" si="9"/>
        <v>1.4449740034662031</v>
      </c>
      <c r="U134" s="80">
        <f t="shared" si="6"/>
        <v>0.5</v>
      </c>
      <c r="V134" s="84">
        <f t="shared" si="7"/>
        <v>1.704939341421142</v>
      </c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</row>
    <row r="135" spans="1:45" ht="12.75" x14ac:dyDescent="0.35">
      <c r="A135" s="152" t="s">
        <v>43</v>
      </c>
      <c r="B135" s="20" t="str">
        <f>Config!B27</f>
        <v>2026_C_PR_B3_CONFIG25</v>
      </c>
      <c r="C135" s="44">
        <v>1154</v>
      </c>
      <c r="D135" s="33">
        <v>90</v>
      </c>
      <c r="E135" s="77"/>
      <c r="F135" s="77"/>
      <c r="G135" s="72">
        <v>9.9999999999999807E-4</v>
      </c>
      <c r="H135" s="73">
        <v>4.3619999999999903</v>
      </c>
      <c r="I135" s="17">
        <v>4.3619999999999903</v>
      </c>
      <c r="J135" s="74"/>
      <c r="K135" s="18">
        <f>Config!H27</f>
        <v>1.7838939857288483</v>
      </c>
      <c r="L135" s="75">
        <f t="shared" si="1"/>
        <v>0.29999999999999943</v>
      </c>
      <c r="M135" s="17">
        <f t="shared" si="2"/>
        <v>0.87239999999999807</v>
      </c>
      <c r="N135" s="73">
        <f t="shared" si="3"/>
        <v>0.21810000000000082</v>
      </c>
      <c r="O135" s="34">
        <f t="shared" si="4"/>
        <v>8.9194699286442418</v>
      </c>
      <c r="P135" s="74"/>
      <c r="Q135" s="73">
        <v>0.57699999999999996</v>
      </c>
      <c r="R135" s="18">
        <f t="shared" si="8"/>
        <v>10.886969928644239</v>
      </c>
      <c r="S135" s="73">
        <f t="shared" si="5"/>
        <v>0.25996533795493887</v>
      </c>
      <c r="T135" s="73">
        <f t="shared" si="9"/>
        <v>9.1741507180626005</v>
      </c>
      <c r="U135" s="73">
        <f t="shared" si="6"/>
        <v>0.5</v>
      </c>
      <c r="V135" s="76">
        <f t="shared" si="7"/>
        <v>9.4341160560175386</v>
      </c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</row>
    <row r="136" spans="1:45" ht="12.75" x14ac:dyDescent="0.35">
      <c r="A136" s="153"/>
      <c r="B136" s="20" t="str">
        <f>Config!B28</f>
        <v>2026_C_PR_B3_CONFIG26</v>
      </c>
      <c r="C136" s="44">
        <v>1154</v>
      </c>
      <c r="D136" s="33">
        <v>90</v>
      </c>
      <c r="E136" s="77"/>
      <c r="F136" s="77"/>
      <c r="G136" s="72">
        <v>9.9999999999999807E-4</v>
      </c>
      <c r="H136" s="73">
        <v>4.3619999999999903</v>
      </c>
      <c r="I136" s="17">
        <v>4.3619999999999903</v>
      </c>
      <c r="J136" s="74"/>
      <c r="K136" s="18">
        <f>Config!H28</f>
        <v>1.7838939857288483</v>
      </c>
      <c r="L136" s="75">
        <f t="shared" si="1"/>
        <v>0.29999999999999943</v>
      </c>
      <c r="M136" s="17">
        <f t="shared" si="2"/>
        <v>0.87239999999999807</v>
      </c>
      <c r="N136" s="73">
        <f t="shared" si="3"/>
        <v>0.21810000000000082</v>
      </c>
      <c r="O136" s="34">
        <f t="shared" si="4"/>
        <v>9.5565749235474016</v>
      </c>
      <c r="P136" s="74"/>
      <c r="Q136" s="73">
        <v>0.57699999999999996</v>
      </c>
      <c r="R136" s="18">
        <f t="shared" si="8"/>
        <v>11.524074923547399</v>
      </c>
      <c r="S136" s="73">
        <f t="shared" si="5"/>
        <v>0.25996533795493887</v>
      </c>
      <c r="T136" s="73">
        <f t="shared" si="9"/>
        <v>9.7262347691052007</v>
      </c>
      <c r="U136" s="73">
        <f t="shared" si="6"/>
        <v>0.5</v>
      </c>
      <c r="V136" s="76">
        <f t="shared" si="7"/>
        <v>9.9862001070601387</v>
      </c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</row>
    <row r="137" spans="1:45" ht="12.75" x14ac:dyDescent="0.35">
      <c r="A137" s="153"/>
      <c r="B137" s="20" t="str">
        <f>Config!B29</f>
        <v>2026_C_PR_B3_CONFIG27</v>
      </c>
      <c r="C137" s="44">
        <v>1154</v>
      </c>
      <c r="D137" s="33">
        <v>90</v>
      </c>
      <c r="E137" s="77"/>
      <c r="F137" s="77"/>
      <c r="G137" s="72">
        <v>9.9999999999999807E-4</v>
      </c>
      <c r="H137" s="73">
        <v>4.3619999999999903</v>
      </c>
      <c r="I137" s="17">
        <v>4.3619999999999903</v>
      </c>
      <c r="J137" s="74"/>
      <c r="K137" s="18">
        <f>Config!H29</f>
        <v>1.7838939857288483</v>
      </c>
      <c r="L137" s="75">
        <f t="shared" si="1"/>
        <v>0.29999999999999943</v>
      </c>
      <c r="M137" s="17">
        <f t="shared" si="2"/>
        <v>0.87239999999999807</v>
      </c>
      <c r="N137" s="73">
        <f t="shared" si="3"/>
        <v>0.21810000000000082</v>
      </c>
      <c r="O137" s="34">
        <f t="shared" si="4"/>
        <v>9.1743119266055064</v>
      </c>
      <c r="P137" s="74"/>
      <c r="Q137" s="73">
        <v>0.57699999999999996</v>
      </c>
      <c r="R137" s="18">
        <f t="shared" si="8"/>
        <v>11.141811926605504</v>
      </c>
      <c r="S137" s="73">
        <f t="shared" si="5"/>
        <v>0.25996533795493887</v>
      </c>
      <c r="T137" s="73">
        <f t="shared" si="9"/>
        <v>9.3949843384796399</v>
      </c>
      <c r="U137" s="73">
        <f t="shared" si="6"/>
        <v>0.5</v>
      </c>
      <c r="V137" s="76">
        <f t="shared" si="7"/>
        <v>9.6549496764345779</v>
      </c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</row>
    <row r="138" spans="1:45" ht="12.75" x14ac:dyDescent="0.35">
      <c r="A138" s="153"/>
      <c r="B138" s="20" t="str">
        <f>Config!B30</f>
        <v>2026_C_PR_B3_CONFIG28</v>
      </c>
      <c r="C138" s="44">
        <v>1154</v>
      </c>
      <c r="D138" s="33">
        <v>90</v>
      </c>
      <c r="E138" s="77"/>
      <c r="F138" s="77"/>
      <c r="G138" s="72">
        <v>9.9999999999999807E-4</v>
      </c>
      <c r="H138" s="73">
        <v>4.3619999999999903</v>
      </c>
      <c r="I138" s="17">
        <v>4.3619999999999903</v>
      </c>
      <c r="J138" s="74"/>
      <c r="K138" s="18">
        <f>Config!H30</f>
        <v>1.7838939857288483</v>
      </c>
      <c r="L138" s="75">
        <f t="shared" si="1"/>
        <v>0.29999999999999943</v>
      </c>
      <c r="M138" s="17">
        <f t="shared" si="2"/>
        <v>0.87239999999999807</v>
      </c>
      <c r="N138" s="73">
        <f t="shared" si="3"/>
        <v>0.21810000000000082</v>
      </c>
      <c r="O138" s="34">
        <f t="shared" si="4"/>
        <v>9.301732925586137</v>
      </c>
      <c r="P138" s="74"/>
      <c r="Q138" s="73">
        <v>0.57699999999999996</v>
      </c>
      <c r="R138" s="18">
        <f t="shared" si="8"/>
        <v>11.269232925586135</v>
      </c>
      <c r="S138" s="73">
        <f t="shared" si="5"/>
        <v>0.25996533795493887</v>
      </c>
      <c r="T138" s="73">
        <f t="shared" si="9"/>
        <v>9.5054011486881596</v>
      </c>
      <c r="U138" s="73">
        <f t="shared" si="6"/>
        <v>0.5</v>
      </c>
      <c r="V138" s="76">
        <f t="shared" si="7"/>
        <v>9.7653664866430976</v>
      </c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</row>
    <row r="139" spans="1:45" ht="12.75" x14ac:dyDescent="0.35">
      <c r="A139" s="153"/>
      <c r="B139" s="20" t="str">
        <f>Config!B31</f>
        <v>2026_C_PR_B3_CONFIG29</v>
      </c>
      <c r="C139" s="44">
        <v>1154</v>
      </c>
      <c r="D139" s="33">
        <v>90</v>
      </c>
      <c r="E139" s="77"/>
      <c r="F139" s="77"/>
      <c r="G139" s="32">
        <v>9.9999999999999807E-4</v>
      </c>
      <c r="H139" s="17">
        <v>4.3619999999999903</v>
      </c>
      <c r="I139" s="17">
        <v>4.3619999999999903</v>
      </c>
      <c r="J139" s="74"/>
      <c r="K139" s="18">
        <f>Config!H31</f>
        <v>1.7838939857288483</v>
      </c>
      <c r="L139" s="75">
        <f t="shared" si="1"/>
        <v>0.29999999999999943</v>
      </c>
      <c r="M139" s="17">
        <f t="shared" si="2"/>
        <v>0.87239999999999807</v>
      </c>
      <c r="N139" s="17">
        <f t="shared" si="3"/>
        <v>0.21810000000000082</v>
      </c>
      <c r="O139" s="34">
        <f t="shared" si="4"/>
        <v>9.3654434250764531</v>
      </c>
      <c r="P139" s="74"/>
      <c r="Q139" s="17">
        <v>0.57699999999999996</v>
      </c>
      <c r="R139" s="18">
        <f t="shared" si="8"/>
        <v>11.332943425076451</v>
      </c>
      <c r="S139" s="17">
        <f t="shared" si="5"/>
        <v>0.25996533795493887</v>
      </c>
      <c r="T139" s="17">
        <f t="shared" si="9"/>
        <v>9.5606095537924194</v>
      </c>
      <c r="U139" s="17">
        <f t="shared" si="6"/>
        <v>0.5</v>
      </c>
      <c r="V139" s="18">
        <f t="shared" si="7"/>
        <v>9.8205748917473574</v>
      </c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</row>
    <row r="140" spans="1:45" ht="12.75" x14ac:dyDescent="0.35">
      <c r="A140" s="154"/>
      <c r="B140" s="23" t="str">
        <f>Config!B32</f>
        <v>2026_C_PR_B3_CONFIG30</v>
      </c>
      <c r="C140" s="46">
        <v>1154</v>
      </c>
      <c r="D140" s="41">
        <v>90</v>
      </c>
      <c r="E140" s="78"/>
      <c r="F140" s="78"/>
      <c r="G140" s="79">
        <v>9.9999999999999807E-4</v>
      </c>
      <c r="H140" s="80">
        <v>4.3619999999999903</v>
      </c>
      <c r="I140" s="11">
        <v>4.3619999999999903</v>
      </c>
      <c r="J140" s="81"/>
      <c r="K140" s="12">
        <f>Config!H32</f>
        <v>2.5484199796126404E-4</v>
      </c>
      <c r="L140" s="82">
        <f t="shared" si="1"/>
        <v>0.29999999999999943</v>
      </c>
      <c r="M140" s="11">
        <f t="shared" si="2"/>
        <v>0.87239999999999807</v>
      </c>
      <c r="N140" s="80">
        <f t="shared" si="3"/>
        <v>0.21810000000000082</v>
      </c>
      <c r="O140" s="83">
        <f t="shared" si="4"/>
        <v>2.5484199796126404E-4</v>
      </c>
      <c r="P140" s="81"/>
      <c r="Q140" s="80">
        <v>0.57699999999999996</v>
      </c>
      <c r="R140" s="12">
        <f t="shared" si="8"/>
        <v>1.9677548419979596</v>
      </c>
      <c r="S140" s="80">
        <f t="shared" si="5"/>
        <v>0.25996533795493887</v>
      </c>
      <c r="T140" s="80">
        <f t="shared" si="9"/>
        <v>1.4451948370866206</v>
      </c>
      <c r="U140" s="80">
        <f t="shared" si="6"/>
        <v>0.5</v>
      </c>
      <c r="V140" s="84">
        <f t="shared" si="7"/>
        <v>1.7051601750415595</v>
      </c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</row>
    <row r="141" spans="1:45" ht="12.75" x14ac:dyDescent="0.35">
      <c r="A141" s="152" t="s">
        <v>51</v>
      </c>
      <c r="B141" s="20" t="str">
        <f>Config!B33</f>
        <v>2026_C_PR_B3_CONFIG31</v>
      </c>
      <c r="C141" s="44">
        <v>1154</v>
      </c>
      <c r="D141" s="33">
        <v>90</v>
      </c>
      <c r="E141" s="77"/>
      <c r="F141" s="77"/>
      <c r="G141" s="72">
        <v>9.9999999999999699E-4</v>
      </c>
      <c r="H141" s="73">
        <v>4.3619999999999797</v>
      </c>
      <c r="I141" s="17">
        <v>4.3619999999999797</v>
      </c>
      <c r="J141" s="74"/>
      <c r="K141" s="18">
        <f>Config!H33</f>
        <v>2.0387359836901124</v>
      </c>
      <c r="L141" s="75">
        <f t="shared" si="1"/>
        <v>0.2999999999999991</v>
      </c>
      <c r="M141" s="17">
        <f t="shared" si="2"/>
        <v>0.87239999999999596</v>
      </c>
      <c r="N141" s="73">
        <f t="shared" si="3"/>
        <v>0.21810000000000029</v>
      </c>
      <c r="O141" s="34">
        <f t="shared" si="4"/>
        <v>10.040774719673804</v>
      </c>
      <c r="P141" s="74"/>
      <c r="Q141" s="73">
        <v>0.57699999999999996</v>
      </c>
      <c r="R141" s="18">
        <f t="shared" si="8"/>
        <v>12.0082747196738</v>
      </c>
      <c r="S141" s="73">
        <f t="shared" si="5"/>
        <v>0.25996533795493854</v>
      </c>
      <c r="T141" s="73">
        <f t="shared" si="9"/>
        <v>10.145818647897576</v>
      </c>
      <c r="U141" s="73">
        <f t="shared" si="6"/>
        <v>0.5</v>
      </c>
      <c r="V141" s="76">
        <f t="shared" si="7"/>
        <v>10.405783985852514</v>
      </c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</row>
    <row r="142" spans="1:45" ht="12.75" x14ac:dyDescent="0.35">
      <c r="A142" s="153"/>
      <c r="B142" s="20" t="str">
        <f>Config!B34</f>
        <v>2026_C_PR_B3_CONFIG32</v>
      </c>
      <c r="C142" s="44">
        <v>1154</v>
      </c>
      <c r="D142" s="33">
        <v>90</v>
      </c>
      <c r="E142" s="77"/>
      <c r="F142" s="77"/>
      <c r="G142" s="72">
        <v>9.9999999999999699E-4</v>
      </c>
      <c r="H142" s="73">
        <v>4.3619999999999797</v>
      </c>
      <c r="I142" s="17">
        <v>4.3619999999999797</v>
      </c>
      <c r="J142" s="74"/>
      <c r="K142" s="18">
        <f>Config!H34</f>
        <v>2.0387359836901124</v>
      </c>
      <c r="L142" s="75">
        <f t="shared" si="1"/>
        <v>0.2999999999999991</v>
      </c>
      <c r="M142" s="17">
        <f t="shared" si="2"/>
        <v>0.87239999999999596</v>
      </c>
      <c r="N142" s="73">
        <f t="shared" si="3"/>
        <v>0.21810000000000029</v>
      </c>
      <c r="O142" s="34">
        <f t="shared" si="4"/>
        <v>10.168195718654436</v>
      </c>
      <c r="P142" s="74"/>
      <c r="Q142" s="73">
        <v>0.57699999999999996</v>
      </c>
      <c r="R142" s="18">
        <f t="shared" si="8"/>
        <v>12.135695718654432</v>
      </c>
      <c r="S142" s="73">
        <f t="shared" si="5"/>
        <v>0.25996533795493854</v>
      </c>
      <c r="T142" s="73">
        <f t="shared" si="9"/>
        <v>10.256235458106094</v>
      </c>
      <c r="U142" s="73">
        <f t="shared" si="6"/>
        <v>0.5</v>
      </c>
      <c r="V142" s="76">
        <f t="shared" si="7"/>
        <v>10.516200796061032</v>
      </c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</row>
    <row r="143" spans="1:45" ht="12.75" x14ac:dyDescent="0.35">
      <c r="A143" s="153"/>
      <c r="B143" s="20" t="str">
        <f>Config!B35</f>
        <v>2026_C_PR_B3_CONFIG33</v>
      </c>
      <c r="C143" s="44">
        <v>1154</v>
      </c>
      <c r="D143" s="33">
        <v>90</v>
      </c>
      <c r="E143" s="77"/>
      <c r="F143" s="77"/>
      <c r="G143" s="32">
        <v>9.9999999999999699E-4</v>
      </c>
      <c r="H143" s="17">
        <v>4.3619999999999797</v>
      </c>
      <c r="I143" s="17">
        <v>4.3619999999999797</v>
      </c>
      <c r="J143" s="74"/>
      <c r="K143" s="18">
        <f>Config!H35</f>
        <v>2.0387359836901124</v>
      </c>
      <c r="L143" s="75">
        <f t="shared" si="1"/>
        <v>0.2999999999999991</v>
      </c>
      <c r="M143" s="17">
        <f t="shared" si="2"/>
        <v>0.87239999999999596</v>
      </c>
      <c r="N143" s="17">
        <f t="shared" si="3"/>
        <v>0.21810000000000029</v>
      </c>
      <c r="O143" s="34">
        <f t="shared" si="4"/>
        <v>0.61187563710499493</v>
      </c>
      <c r="P143" s="74"/>
      <c r="Q143" s="17">
        <v>0.57699999999999996</v>
      </c>
      <c r="R143" s="18">
        <f t="shared" si="8"/>
        <v>2.5793756371049903</v>
      </c>
      <c r="S143" s="17">
        <f t="shared" si="5"/>
        <v>0.25996533795493854</v>
      </c>
      <c r="T143" s="17">
        <f t="shared" si="9"/>
        <v>1.9751955260875143</v>
      </c>
      <c r="U143" s="17">
        <f t="shared" si="6"/>
        <v>0.5</v>
      </c>
      <c r="V143" s="18">
        <f t="shared" si="7"/>
        <v>2.2351608640424527</v>
      </c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</row>
    <row r="144" spans="1:45" ht="12.75" x14ac:dyDescent="0.35">
      <c r="A144" s="153"/>
      <c r="B144" s="20" t="str">
        <f>Config!B36</f>
        <v>2026_C_PR_B3_CONFIG34</v>
      </c>
      <c r="C144" s="44">
        <v>1154</v>
      </c>
      <c r="D144" s="33">
        <v>90</v>
      </c>
      <c r="E144" s="77"/>
      <c r="F144" s="77"/>
      <c r="G144" s="72">
        <v>9.9999999999999699E-4</v>
      </c>
      <c r="H144" s="73">
        <v>4.3619999999999797</v>
      </c>
      <c r="I144" s="17">
        <v>4.3619999999999797</v>
      </c>
      <c r="J144" s="74"/>
      <c r="K144" s="18">
        <f>Config!H36</f>
        <v>2.0387359836901124</v>
      </c>
      <c r="L144" s="75">
        <f t="shared" si="1"/>
        <v>0.2999999999999991</v>
      </c>
      <c r="M144" s="17">
        <f t="shared" si="2"/>
        <v>0.87239999999999596</v>
      </c>
      <c r="N144" s="73">
        <f t="shared" si="3"/>
        <v>0.21810000000000029</v>
      </c>
      <c r="O144" s="34">
        <f t="shared" si="4"/>
        <v>0.61187563710499493</v>
      </c>
      <c r="P144" s="74"/>
      <c r="Q144" s="73">
        <v>0.57699999999999996</v>
      </c>
      <c r="R144" s="18">
        <f t="shared" si="8"/>
        <v>2.5793756371049903</v>
      </c>
      <c r="S144" s="73">
        <f t="shared" si="5"/>
        <v>0.25996533795493854</v>
      </c>
      <c r="T144" s="73">
        <f t="shared" si="9"/>
        <v>1.9751955260875143</v>
      </c>
      <c r="U144" s="73">
        <f t="shared" si="6"/>
        <v>0.5</v>
      </c>
      <c r="V144" s="76">
        <f t="shared" si="7"/>
        <v>2.2351608640424527</v>
      </c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</row>
    <row r="145" spans="1:45" ht="12.75" x14ac:dyDescent="0.35">
      <c r="A145" s="153"/>
      <c r="B145" s="20" t="str">
        <f>Config!B37</f>
        <v>2026_C_PR_B1_CONFIG35</v>
      </c>
      <c r="C145" s="44">
        <v>1154</v>
      </c>
      <c r="D145" s="33">
        <v>90</v>
      </c>
      <c r="E145" s="77"/>
      <c r="F145" s="77"/>
      <c r="G145" s="72">
        <v>9.9999999999999699E-4</v>
      </c>
      <c r="H145" s="73">
        <v>4.3619999999999797</v>
      </c>
      <c r="I145" s="17">
        <v>4.3619999999999797</v>
      </c>
      <c r="J145" s="74"/>
      <c r="K145" s="18">
        <f>Config!H37</f>
        <v>2.5484199796126404E-4</v>
      </c>
      <c r="L145" s="75">
        <f t="shared" si="1"/>
        <v>0.63899999999999813</v>
      </c>
      <c r="M145" s="17">
        <f t="shared" si="2"/>
        <v>0.87239999999999596</v>
      </c>
      <c r="N145" s="73">
        <f t="shared" si="3"/>
        <v>0.21810000000000029</v>
      </c>
      <c r="O145" s="34">
        <f t="shared" si="4"/>
        <v>3.3129459734964326E-4</v>
      </c>
      <c r="P145" s="74"/>
      <c r="Q145" s="73">
        <v>0.57699999999999996</v>
      </c>
      <c r="R145" s="18">
        <f t="shared" si="8"/>
        <v>2.3068312945973442</v>
      </c>
      <c r="S145" s="73">
        <f t="shared" si="5"/>
        <v>0.55372616984401923</v>
      </c>
      <c r="T145" s="73">
        <f t="shared" si="9"/>
        <v>1.4452610871727436</v>
      </c>
      <c r="U145" s="73">
        <f t="shared" si="6"/>
        <v>0.5</v>
      </c>
      <c r="V145" s="76">
        <f t="shared" si="7"/>
        <v>1.9989872570167628</v>
      </c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</row>
    <row r="146" spans="1:45" ht="12.75" x14ac:dyDescent="0.35">
      <c r="A146" s="154"/>
      <c r="B146" s="23" t="str">
        <f>Config!B38</f>
        <v>2026_C_PR_B1_CONFIG36</v>
      </c>
      <c r="C146" s="46">
        <v>1154</v>
      </c>
      <c r="D146" s="41">
        <v>90</v>
      </c>
      <c r="E146" s="78"/>
      <c r="F146" s="78"/>
      <c r="G146" s="79">
        <v>9.9999999999999699E-4</v>
      </c>
      <c r="H146" s="80">
        <v>4.3619999999999797</v>
      </c>
      <c r="I146" s="11">
        <v>4.3619999999999797</v>
      </c>
      <c r="J146" s="81"/>
      <c r="K146" s="12">
        <f>Config!H38</f>
        <v>2.5484199796126404E-4</v>
      </c>
      <c r="L146" s="82">
        <f t="shared" si="1"/>
        <v>0.63899999999999813</v>
      </c>
      <c r="M146" s="11">
        <f t="shared" si="2"/>
        <v>0.87239999999999596</v>
      </c>
      <c r="N146" s="80">
        <f t="shared" si="3"/>
        <v>0.21810000000000029</v>
      </c>
      <c r="O146" s="83">
        <f t="shared" si="4"/>
        <v>3.3129459734964326E-4</v>
      </c>
      <c r="P146" s="81"/>
      <c r="Q146" s="73">
        <v>0.57699999999999996</v>
      </c>
      <c r="R146" s="12">
        <f t="shared" si="8"/>
        <v>2.3068312945973442</v>
      </c>
      <c r="S146" s="80">
        <f t="shared" si="5"/>
        <v>0.55372616984401923</v>
      </c>
      <c r="T146" s="80">
        <f t="shared" si="9"/>
        <v>1.4452610871727436</v>
      </c>
      <c r="U146" s="80">
        <f t="shared" si="6"/>
        <v>0.5</v>
      </c>
      <c r="V146" s="84">
        <f t="shared" si="7"/>
        <v>1.9989872570167628</v>
      </c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</row>
    <row r="147" spans="1:45" ht="12.75" x14ac:dyDescent="0.35">
      <c r="A147" s="152" t="s">
        <v>59</v>
      </c>
      <c r="B147" s="20" t="str">
        <f>Config!B39</f>
        <v>2026_C_PR_B1_CONFIG37</v>
      </c>
      <c r="C147" s="44">
        <v>1154</v>
      </c>
      <c r="D147" s="33">
        <v>90</v>
      </c>
      <c r="E147" s="77"/>
      <c r="F147" s="77"/>
      <c r="G147" s="72">
        <v>9.9999999999999699E-4</v>
      </c>
      <c r="H147" s="73">
        <v>4.3619999999999797</v>
      </c>
      <c r="I147" s="17">
        <v>4.3619999999999797</v>
      </c>
      <c r="J147" s="74"/>
      <c r="K147" s="18">
        <f>Config!H39</f>
        <v>2.1406727828746179</v>
      </c>
      <c r="L147" s="75">
        <f t="shared" si="1"/>
        <v>0.63899999999999813</v>
      </c>
      <c r="M147" s="17">
        <f t="shared" si="2"/>
        <v>0.87239999999999596</v>
      </c>
      <c r="N147" s="73">
        <f t="shared" si="3"/>
        <v>0.21810000000000029</v>
      </c>
      <c r="O147" s="34">
        <f t="shared" si="4"/>
        <v>11.238532110091745</v>
      </c>
      <c r="P147" s="74"/>
      <c r="Q147" s="73">
        <v>0.57699999999999996</v>
      </c>
      <c r="R147" s="18">
        <f t="shared" si="8"/>
        <v>13.545032110091739</v>
      </c>
      <c r="S147" s="73">
        <f t="shared" si="5"/>
        <v>0.55372616984401923</v>
      </c>
      <c r="T147" s="73">
        <f t="shared" si="9"/>
        <v>11.183736663857662</v>
      </c>
      <c r="U147" s="73">
        <f t="shared" si="6"/>
        <v>0.5</v>
      </c>
      <c r="V147" s="76">
        <f t="shared" si="7"/>
        <v>11.737462833701681</v>
      </c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</row>
    <row r="148" spans="1:45" ht="12.75" x14ac:dyDescent="0.35">
      <c r="A148" s="153"/>
      <c r="B148" s="20" t="str">
        <f>Config!B40</f>
        <v>2026_C_PR_B1_CONFIG38</v>
      </c>
      <c r="C148" s="44">
        <v>1154</v>
      </c>
      <c r="D148" s="33">
        <v>90</v>
      </c>
      <c r="E148" s="77"/>
      <c r="F148" s="77"/>
      <c r="G148" s="72">
        <v>9.9999999999999699E-4</v>
      </c>
      <c r="H148" s="73">
        <v>4.3619999999999797</v>
      </c>
      <c r="I148" s="17">
        <v>4.3619999999999797</v>
      </c>
      <c r="J148" s="74"/>
      <c r="K148" s="18">
        <f>Config!H40</f>
        <v>2.088461251584993</v>
      </c>
      <c r="L148" s="75">
        <f t="shared" si="1"/>
        <v>0.63899999999999813</v>
      </c>
      <c r="M148" s="17">
        <f t="shared" si="2"/>
        <v>0.87239999999999596</v>
      </c>
      <c r="N148" s="73">
        <f t="shared" si="3"/>
        <v>0.21810000000000029</v>
      </c>
      <c r="O148" s="34">
        <f t="shared" si="4"/>
        <v>10.964421570821212</v>
      </c>
      <c r="P148" s="74"/>
      <c r="Q148" s="73">
        <v>0.57699999999999996</v>
      </c>
      <c r="R148" s="18">
        <f t="shared" si="8"/>
        <v>13.270921570821207</v>
      </c>
      <c r="S148" s="73">
        <f t="shared" si="5"/>
        <v>0.55372616984401923</v>
      </c>
      <c r="T148" s="73">
        <f t="shared" si="9"/>
        <v>10.946205867262746</v>
      </c>
      <c r="U148" s="73">
        <f t="shared" si="6"/>
        <v>0.5</v>
      </c>
      <c r="V148" s="76">
        <f t="shared" si="7"/>
        <v>11.499932037106765</v>
      </c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</row>
    <row r="149" spans="1:45" ht="12.75" x14ac:dyDescent="0.35">
      <c r="A149" s="153"/>
      <c r="B149" s="20" t="str">
        <f>Config!B41</f>
        <v>2026_C_PR_B1_CONFIG39</v>
      </c>
      <c r="C149" s="44">
        <v>1154</v>
      </c>
      <c r="D149" s="33">
        <v>90</v>
      </c>
      <c r="E149" s="77"/>
      <c r="F149" s="77"/>
      <c r="G149" s="72">
        <v>9.9999999999999699E-4</v>
      </c>
      <c r="H149" s="73">
        <v>4.3619999999999797</v>
      </c>
      <c r="I149" s="17">
        <v>4.3619999999999797</v>
      </c>
      <c r="J149" s="74"/>
      <c r="K149" s="18">
        <f>Config!H41</f>
        <v>2.0387359836901124</v>
      </c>
      <c r="L149" s="75">
        <f t="shared" si="1"/>
        <v>0.63899999999999813</v>
      </c>
      <c r="M149" s="17">
        <f t="shared" si="2"/>
        <v>0.87239999999999596</v>
      </c>
      <c r="N149" s="73">
        <f t="shared" si="3"/>
        <v>0.21810000000000029</v>
      </c>
      <c r="O149" s="34">
        <f t="shared" si="4"/>
        <v>10.703363914373091</v>
      </c>
      <c r="P149" s="74"/>
      <c r="Q149" s="73">
        <v>0.57699999999999996</v>
      </c>
      <c r="R149" s="18">
        <f t="shared" si="8"/>
        <v>13.009863914373085</v>
      </c>
      <c r="S149" s="73">
        <f t="shared" si="5"/>
        <v>0.55372616984401923</v>
      </c>
      <c r="T149" s="73">
        <f t="shared" si="9"/>
        <v>10.719986060981878</v>
      </c>
      <c r="U149" s="73">
        <f t="shared" si="6"/>
        <v>0.5</v>
      </c>
      <c r="V149" s="76">
        <f t="shared" si="7"/>
        <v>11.273712230825897</v>
      </c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</row>
    <row r="150" spans="1:45" ht="12.75" x14ac:dyDescent="0.35">
      <c r="A150" s="153"/>
      <c r="B150" s="20" t="str">
        <f>Config!B42</f>
        <v>2026_C_PR_B1_CONFIG40</v>
      </c>
      <c r="C150" s="44">
        <v>1154</v>
      </c>
      <c r="D150" s="33">
        <v>90</v>
      </c>
      <c r="E150" s="77"/>
      <c r="F150" s="77"/>
      <c r="G150" s="72">
        <v>9.9999999999999699E-4</v>
      </c>
      <c r="H150" s="73">
        <v>4.3619999999999797</v>
      </c>
      <c r="I150" s="17">
        <v>4.3619999999999797</v>
      </c>
      <c r="J150" s="74"/>
      <c r="K150" s="18">
        <f>Config!H42</f>
        <v>1.9913235189531329</v>
      </c>
      <c r="L150" s="75">
        <f t="shared" si="1"/>
        <v>0.63899999999999813</v>
      </c>
      <c r="M150" s="17">
        <f t="shared" si="2"/>
        <v>0.87239999999999596</v>
      </c>
      <c r="N150" s="73">
        <f t="shared" si="3"/>
        <v>0.21810000000000029</v>
      </c>
      <c r="O150" s="34">
        <f t="shared" si="4"/>
        <v>10.454448474503948</v>
      </c>
      <c r="P150" s="74"/>
      <c r="Q150" s="73">
        <v>0.57699999999999996</v>
      </c>
      <c r="R150" s="18">
        <f t="shared" si="8"/>
        <v>12.760948474503943</v>
      </c>
      <c r="S150" s="73">
        <f t="shared" si="5"/>
        <v>0.55372616984401923</v>
      </c>
      <c r="T150" s="73">
        <f t="shared" si="9"/>
        <v>10.504288106155931</v>
      </c>
      <c r="U150" s="73">
        <f t="shared" si="6"/>
        <v>0.5</v>
      </c>
      <c r="V150" s="76">
        <f t="shared" si="7"/>
        <v>11.05801427599995</v>
      </c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</row>
    <row r="151" spans="1:45" ht="12.75" x14ac:dyDescent="0.35">
      <c r="A151" s="153"/>
      <c r="B151" s="20" t="str">
        <f>Config!B43</f>
        <v>2026_C_PR_B1_CONFIG41</v>
      </c>
      <c r="C151" s="44">
        <v>1154</v>
      </c>
      <c r="D151" s="33">
        <v>90</v>
      </c>
      <c r="E151" s="77"/>
      <c r="F151" s="77"/>
      <c r="G151" s="72">
        <v>9.9999999999999699E-4</v>
      </c>
      <c r="H151" s="73">
        <v>4.3619999999999797</v>
      </c>
      <c r="I151" s="17">
        <v>4.3619999999999797</v>
      </c>
      <c r="J151" s="74"/>
      <c r="K151" s="18">
        <f>Config!H43</f>
        <v>1.9460661662496523</v>
      </c>
      <c r="L151" s="75">
        <f t="shared" si="1"/>
        <v>0.63899999999999813</v>
      </c>
      <c r="M151" s="17">
        <f t="shared" si="2"/>
        <v>0.87239999999999596</v>
      </c>
      <c r="N151" s="73">
        <f t="shared" si="3"/>
        <v>0.21810000000000029</v>
      </c>
      <c r="O151" s="34">
        <f t="shared" si="4"/>
        <v>10.216847372810674</v>
      </c>
      <c r="P151" s="74"/>
      <c r="Q151" s="73">
        <v>0.57699999999999996</v>
      </c>
      <c r="R151" s="18">
        <f t="shared" si="8"/>
        <v>12.523347372810669</v>
      </c>
      <c r="S151" s="73">
        <f t="shared" si="5"/>
        <v>0.55372616984401923</v>
      </c>
      <c r="T151" s="73">
        <f t="shared" si="9"/>
        <v>10.298394603822072</v>
      </c>
      <c r="U151" s="73">
        <f t="shared" si="6"/>
        <v>0.5</v>
      </c>
      <c r="V151" s="76">
        <f t="shared" si="7"/>
        <v>10.852120773666091</v>
      </c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</row>
    <row r="152" spans="1:45" ht="12.75" x14ac:dyDescent="0.35">
      <c r="A152" s="153"/>
      <c r="B152" s="20" t="str">
        <f>Config!B44</f>
        <v>2026_C_PR_B1_CONFIG42</v>
      </c>
      <c r="C152" s="44">
        <v>1154</v>
      </c>
      <c r="D152" s="33">
        <v>90</v>
      </c>
      <c r="E152" s="77"/>
      <c r="F152" s="77"/>
      <c r="G152" s="72">
        <v>9.9999999999999699E-4</v>
      </c>
      <c r="H152" s="73">
        <v>4.3619999999999797</v>
      </c>
      <c r="I152" s="17">
        <v>4.3619999999999797</v>
      </c>
      <c r="J152" s="74"/>
      <c r="K152" s="18">
        <f>Config!H44</f>
        <v>1.9028202514441048</v>
      </c>
      <c r="L152" s="75">
        <f t="shared" si="1"/>
        <v>0.63899999999999813</v>
      </c>
      <c r="M152" s="17">
        <f t="shared" si="2"/>
        <v>0.87239999999999596</v>
      </c>
      <c r="N152" s="73">
        <f t="shared" si="3"/>
        <v>0.21810000000000029</v>
      </c>
      <c r="O152" s="34">
        <f t="shared" si="4"/>
        <v>9.9898063200815503</v>
      </c>
      <c r="P152" s="74"/>
      <c r="Q152" s="73">
        <v>0.57699999999999996</v>
      </c>
      <c r="R152" s="18">
        <f t="shared" si="8"/>
        <v>12.296306320081545</v>
      </c>
      <c r="S152" s="73">
        <f t="shared" si="5"/>
        <v>0.55372616984401923</v>
      </c>
      <c r="T152" s="73">
        <f t="shared" si="9"/>
        <v>10.101651923814165</v>
      </c>
      <c r="U152" s="73">
        <f t="shared" si="6"/>
        <v>0.5</v>
      </c>
      <c r="V152" s="76">
        <f t="shared" si="7"/>
        <v>10.655378093658184</v>
      </c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</row>
    <row r="153" spans="1:45" ht="12.75" x14ac:dyDescent="0.35">
      <c r="A153" s="153"/>
      <c r="B153" s="20" t="str">
        <f>Config!B45</f>
        <v>2026_C_PR_B1_CONFIG43</v>
      </c>
      <c r="C153" s="44">
        <v>1154</v>
      </c>
      <c r="D153" s="33">
        <v>90</v>
      </c>
      <c r="E153" s="77"/>
      <c r="F153" s="77"/>
      <c r="G153" s="72">
        <v>9.9999999999999699E-4</v>
      </c>
      <c r="H153" s="73">
        <v>4.3619999999999797</v>
      </c>
      <c r="I153" s="17">
        <v>4.3619999999999797</v>
      </c>
      <c r="J153" s="74"/>
      <c r="K153" s="18">
        <f>Config!H45</f>
        <v>1.8614545938040155</v>
      </c>
      <c r="L153" s="75">
        <f t="shared" si="1"/>
        <v>0.63899999999999813</v>
      </c>
      <c r="M153" s="17">
        <f t="shared" si="2"/>
        <v>0.87239999999999596</v>
      </c>
      <c r="N153" s="73">
        <f t="shared" si="3"/>
        <v>0.21810000000000029</v>
      </c>
      <c r="O153" s="34">
        <f t="shared" si="4"/>
        <v>9.7726366174710808</v>
      </c>
      <c r="P153" s="74"/>
      <c r="Q153" s="73">
        <v>0.57699999999999996</v>
      </c>
      <c r="R153" s="18">
        <f t="shared" si="8"/>
        <v>12.079136617471075</v>
      </c>
      <c r="S153" s="73">
        <f t="shared" si="5"/>
        <v>0.55372616984401923</v>
      </c>
      <c r="T153" s="73">
        <f t="shared" si="9"/>
        <v>9.9134632733718178</v>
      </c>
      <c r="U153" s="73">
        <f t="shared" si="6"/>
        <v>0.5</v>
      </c>
      <c r="V153" s="76">
        <f t="shared" si="7"/>
        <v>10.467189443215837</v>
      </c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</row>
    <row r="154" spans="1:45" ht="12.75" x14ac:dyDescent="0.35">
      <c r="A154" s="154"/>
      <c r="B154" s="23" t="str">
        <f>Config!B46</f>
        <v>2026_C_PR_B1_CONFIG44</v>
      </c>
      <c r="C154" s="46">
        <v>1154</v>
      </c>
      <c r="D154" s="41">
        <v>90</v>
      </c>
      <c r="E154" s="78"/>
      <c r="F154" s="78"/>
      <c r="G154" s="79">
        <v>9.9999999999999699E-4</v>
      </c>
      <c r="H154" s="80">
        <v>4.3619999999999797</v>
      </c>
      <c r="I154" s="11">
        <v>4.3619999999999797</v>
      </c>
      <c r="J154" s="81"/>
      <c r="K154" s="12">
        <f>Config!H46</f>
        <v>1.8218491769145684</v>
      </c>
      <c r="L154" s="82">
        <f t="shared" si="1"/>
        <v>0.63899999999999813</v>
      </c>
      <c r="M154" s="11">
        <f t="shared" si="2"/>
        <v>0.87239999999999596</v>
      </c>
      <c r="N154" s="80">
        <f t="shared" si="3"/>
        <v>0.21810000000000029</v>
      </c>
      <c r="O154" s="83">
        <f t="shared" si="4"/>
        <v>9.5647081788014834</v>
      </c>
      <c r="P154" s="81"/>
      <c r="Q154" s="73">
        <v>0.57699999999999996</v>
      </c>
      <c r="R154" s="12">
        <f t="shared" si="8"/>
        <v>11.871208178801478</v>
      </c>
      <c r="S154" s="80">
        <f t="shared" si="5"/>
        <v>0.55372616984401923</v>
      </c>
      <c r="T154" s="80">
        <f t="shared" si="9"/>
        <v>9.7332826506078689</v>
      </c>
      <c r="U154" s="80">
        <f t="shared" si="6"/>
        <v>0.5</v>
      </c>
      <c r="V154" s="84">
        <f t="shared" si="7"/>
        <v>10.287008820451888</v>
      </c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</row>
    <row r="155" spans="1:45" ht="12.75" x14ac:dyDescent="0.35">
      <c r="A155" s="152"/>
      <c r="B155" s="20" t="str">
        <f>Config!B47</f>
        <v>2026_C_PR_B1_CONFIG45</v>
      </c>
      <c r="C155" s="44"/>
      <c r="D155" s="33"/>
      <c r="E155" s="77"/>
      <c r="F155" s="77"/>
      <c r="G155" s="72"/>
      <c r="H155" s="73"/>
      <c r="I155" s="17"/>
      <c r="J155" s="74"/>
      <c r="K155" s="18"/>
      <c r="L155" s="75"/>
      <c r="M155" s="17"/>
      <c r="N155" s="73"/>
      <c r="O155" s="34"/>
      <c r="P155" s="74"/>
      <c r="Q155" s="73"/>
      <c r="R155" s="18"/>
      <c r="S155" s="73"/>
      <c r="T155" s="73"/>
      <c r="U155" s="73"/>
      <c r="V155" s="76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</row>
    <row r="156" spans="1:45" ht="12.75" x14ac:dyDescent="0.35">
      <c r="A156" s="153"/>
      <c r="B156" s="20" t="str">
        <f>Config!B48</f>
        <v>2026_C_PR_B1_CONFIG46</v>
      </c>
      <c r="C156" s="44"/>
      <c r="D156" s="33"/>
      <c r="E156" s="77"/>
      <c r="F156" s="77"/>
      <c r="G156" s="72"/>
      <c r="H156" s="73"/>
      <c r="I156" s="17"/>
      <c r="J156" s="74"/>
      <c r="K156" s="18"/>
      <c r="L156" s="75"/>
      <c r="M156" s="17"/>
      <c r="N156" s="73"/>
      <c r="O156" s="34"/>
      <c r="P156" s="74"/>
      <c r="Q156" s="73"/>
      <c r="R156" s="18"/>
      <c r="S156" s="73"/>
      <c r="T156" s="73"/>
      <c r="U156" s="73"/>
      <c r="V156" s="76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</row>
    <row r="157" spans="1:45" ht="12.75" x14ac:dyDescent="0.35">
      <c r="A157" s="153"/>
      <c r="B157" s="20" t="str">
        <f>Config!B49</f>
        <v>2026_C_PR_B1_CONFIG47</v>
      </c>
      <c r="C157" s="44"/>
      <c r="D157" s="33"/>
      <c r="E157" s="77"/>
      <c r="F157" s="77"/>
      <c r="G157" s="72"/>
      <c r="H157" s="73"/>
      <c r="I157" s="17"/>
      <c r="J157" s="74"/>
      <c r="K157" s="18"/>
      <c r="L157" s="75"/>
      <c r="M157" s="17"/>
      <c r="N157" s="73"/>
      <c r="O157" s="34"/>
      <c r="P157" s="74"/>
      <c r="Q157" s="73"/>
      <c r="R157" s="18"/>
      <c r="S157" s="73"/>
      <c r="T157" s="73"/>
      <c r="U157" s="73"/>
      <c r="V157" s="76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</row>
    <row r="158" spans="1:45" ht="12.75" x14ac:dyDescent="0.35">
      <c r="A158" s="154"/>
      <c r="B158" s="23" t="str">
        <f>Config!B50</f>
        <v>2026_C_PR_B1_CONFIG48</v>
      </c>
      <c r="C158" s="46"/>
      <c r="D158" s="41"/>
      <c r="E158" s="78"/>
      <c r="F158" s="78"/>
      <c r="G158" s="79"/>
      <c r="H158" s="80"/>
      <c r="I158" s="11"/>
      <c r="J158" s="81"/>
      <c r="K158" s="12"/>
      <c r="L158" s="82"/>
      <c r="M158" s="11"/>
      <c r="N158" s="80"/>
      <c r="O158" s="83"/>
      <c r="P158" s="81"/>
      <c r="Q158" s="80"/>
      <c r="R158" s="12"/>
      <c r="S158" s="80"/>
      <c r="T158" s="80"/>
      <c r="U158" s="80"/>
      <c r="V158" s="84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</row>
    <row r="159" spans="1:45" ht="12.75" x14ac:dyDescent="0.35">
      <c r="A159" s="3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Q159" s="17"/>
      <c r="AR159" s="17"/>
      <c r="AS159" s="17"/>
    </row>
    <row r="160" spans="1:45" ht="25.5" x14ac:dyDescent="0.35">
      <c r="A160" s="148"/>
      <c r="B160" s="150" t="s">
        <v>110</v>
      </c>
      <c r="C160" s="147" t="s">
        <v>89</v>
      </c>
      <c r="D160" s="86" t="s">
        <v>90</v>
      </c>
      <c r="E160" s="86" t="s">
        <v>111</v>
      </c>
      <c r="F160" s="85" t="s">
        <v>112</v>
      </c>
      <c r="G160" s="162" t="s">
        <v>97</v>
      </c>
      <c r="H160" s="159"/>
      <c r="I160" s="159"/>
      <c r="J160" s="159"/>
      <c r="K160" s="159"/>
      <c r="L160" s="162" t="s">
        <v>91</v>
      </c>
      <c r="M160" s="159"/>
      <c r="N160" s="159"/>
      <c r="O160" s="159"/>
      <c r="P160" s="159"/>
      <c r="Q160" s="159"/>
      <c r="R160" s="159"/>
      <c r="S160" s="162" t="s">
        <v>92</v>
      </c>
      <c r="T160" s="159"/>
      <c r="U160" s="159"/>
      <c r="V160" s="160"/>
      <c r="AQ160" s="17"/>
      <c r="AR160" s="17"/>
      <c r="AS160" s="17"/>
    </row>
    <row r="161" spans="1:45" ht="12.75" x14ac:dyDescent="0.35">
      <c r="A161" s="149"/>
      <c r="B161" s="151" t="s">
        <v>161</v>
      </c>
      <c r="C161" s="89" t="s">
        <v>159</v>
      </c>
      <c r="D161" s="88" t="s">
        <v>113</v>
      </c>
      <c r="E161" s="89" t="s">
        <v>114</v>
      </c>
      <c r="F161" s="87" t="s">
        <v>115</v>
      </c>
      <c r="G161" s="90"/>
      <c r="H161" s="90" t="s">
        <v>170</v>
      </c>
      <c r="I161" s="90" t="s">
        <v>171</v>
      </c>
      <c r="J161" s="90" t="s">
        <v>172</v>
      </c>
      <c r="K161" s="89" t="s">
        <v>173</v>
      </c>
      <c r="L161" s="90"/>
      <c r="M161" s="90"/>
      <c r="N161" s="90" t="s">
        <v>116</v>
      </c>
      <c r="O161" s="90" t="s">
        <v>117</v>
      </c>
      <c r="P161" s="90" t="s">
        <v>118</v>
      </c>
      <c r="Q161" s="90" t="s">
        <v>119</v>
      </c>
      <c r="R161" s="90" t="s">
        <v>120</v>
      </c>
      <c r="S161" s="88"/>
      <c r="T161" s="90"/>
      <c r="U161" s="90" t="s">
        <v>121</v>
      </c>
      <c r="V161" s="89" t="s">
        <v>122</v>
      </c>
      <c r="AQ161" s="17"/>
      <c r="AR161" s="17"/>
      <c r="AS161" s="17"/>
    </row>
    <row r="162" spans="1:45" ht="12.75" x14ac:dyDescent="0.35">
      <c r="A162" s="155" t="s">
        <v>165</v>
      </c>
      <c r="B162" s="156"/>
      <c r="C162" s="43">
        <v>810</v>
      </c>
      <c r="D162" s="91">
        <v>290</v>
      </c>
      <c r="E162" s="92">
        <v>0.1</v>
      </c>
      <c r="F162" s="93">
        <v>7.3300000000000004E-2</v>
      </c>
      <c r="G162" s="17" t="s">
        <v>109</v>
      </c>
      <c r="H162" s="17">
        <v>0</v>
      </c>
      <c r="I162" s="17">
        <v>0.125</v>
      </c>
      <c r="J162" s="17">
        <v>1.306</v>
      </c>
      <c r="K162" s="18">
        <v>1.43</v>
      </c>
      <c r="L162" s="17" t="s">
        <v>109</v>
      </c>
      <c r="M162" s="17" t="s">
        <v>109</v>
      </c>
      <c r="N162" s="17">
        <v>0</v>
      </c>
      <c r="O162" s="17">
        <v>9.57</v>
      </c>
      <c r="P162" s="17">
        <v>6.9000000000000006E-2</v>
      </c>
      <c r="Q162" s="17">
        <v>0.52700000000000002</v>
      </c>
      <c r="R162" s="18">
        <v>9.6389999999999993</v>
      </c>
      <c r="S162" s="17" t="s">
        <v>109</v>
      </c>
      <c r="T162" s="17" t="s">
        <v>109</v>
      </c>
      <c r="U162" s="17">
        <v>0.65</v>
      </c>
      <c r="V162" s="18">
        <v>11.9</v>
      </c>
      <c r="AQ162" s="17"/>
      <c r="AR162" s="17"/>
      <c r="AS162" s="17"/>
    </row>
    <row r="163" spans="1:45" ht="12.75" x14ac:dyDescent="0.35">
      <c r="A163" s="154"/>
      <c r="B163" s="163"/>
      <c r="C163" s="94">
        <v>810</v>
      </c>
      <c r="D163" s="64">
        <v>290</v>
      </c>
      <c r="E163" s="95">
        <v>0.1</v>
      </c>
      <c r="F163" s="96">
        <v>7.3300000000000004E-2</v>
      </c>
      <c r="G163" s="11" t="s">
        <v>109</v>
      </c>
      <c r="H163" s="66">
        <v>0</v>
      </c>
      <c r="I163" s="66"/>
      <c r="J163" s="66"/>
      <c r="K163" s="67"/>
      <c r="L163" s="11" t="s">
        <v>109</v>
      </c>
      <c r="M163" s="11" t="s">
        <v>109</v>
      </c>
      <c r="N163" s="11" t="s">
        <v>123</v>
      </c>
      <c r="O163" s="11" t="s">
        <v>123</v>
      </c>
      <c r="P163" s="11" t="s">
        <v>123</v>
      </c>
      <c r="Q163" s="66"/>
      <c r="R163" s="67"/>
      <c r="S163" s="11" t="s">
        <v>109</v>
      </c>
      <c r="T163" s="11" t="s">
        <v>109</v>
      </c>
      <c r="U163" s="66">
        <f t="shared" ref="U163:U207" si="10">1000*Q163/C163</f>
        <v>0</v>
      </c>
      <c r="V163" s="67">
        <f t="shared" ref="V163:V207" si="11">1000*R163/C163</f>
        <v>0</v>
      </c>
      <c r="AQ163" s="17"/>
      <c r="AR163" s="17"/>
      <c r="AS163" s="17"/>
    </row>
    <row r="164" spans="1:45" ht="12.75" x14ac:dyDescent="0.35">
      <c r="A164" s="152" t="s">
        <v>15</v>
      </c>
      <c r="B164" s="15" t="str">
        <f>Config!B3</f>
        <v>2026_C_PR_B3_CONFIG1</v>
      </c>
      <c r="C164" s="34">
        <v>810</v>
      </c>
      <c r="D164" s="91">
        <v>290</v>
      </c>
      <c r="E164" s="92">
        <v>0.1</v>
      </c>
      <c r="F164" s="93">
        <v>7.4999999999999997E-2</v>
      </c>
      <c r="G164" s="77"/>
      <c r="H164" s="17">
        <v>0</v>
      </c>
      <c r="I164" s="17">
        <f t="shared" ref="I164:I197" si="12">J164*F164</f>
        <v>6.3710499490316E-2</v>
      </c>
      <c r="J164" s="17">
        <f>Config!I3</f>
        <v>0.8494733265375467</v>
      </c>
      <c r="K164" s="18">
        <f t="shared" ref="K164:K207" si="13">J164+I164</f>
        <v>0.91318382602786274</v>
      </c>
      <c r="L164" s="74"/>
      <c r="M164" s="74"/>
      <c r="N164" s="73">
        <v>0</v>
      </c>
      <c r="O164" s="17">
        <f t="shared" ref="O164:O207" si="14">K164*G5</f>
        <v>0</v>
      </c>
      <c r="P164" s="17">
        <f t="shared" ref="P164:P207" si="15">H5*K164</f>
        <v>2.2829595650696571E-2</v>
      </c>
      <c r="Q164" s="73">
        <v>0.40500000000000003</v>
      </c>
      <c r="R164" s="76">
        <f t="shared" ref="R164:R207" si="16">N164+O164+P164+Q164</f>
        <v>0.42782959565069661</v>
      </c>
      <c r="S164" s="74"/>
      <c r="T164" s="74"/>
      <c r="U164" s="73">
        <f t="shared" si="10"/>
        <v>0.5</v>
      </c>
      <c r="V164" s="76">
        <f t="shared" si="11"/>
        <v>0.52818468598851431</v>
      </c>
      <c r="AQ164" s="17"/>
      <c r="AR164" s="17"/>
      <c r="AS164" s="17"/>
    </row>
    <row r="165" spans="1:45" ht="12.75" x14ac:dyDescent="0.35">
      <c r="A165" s="153"/>
      <c r="B165" s="20" t="str">
        <f>Config!B4</f>
        <v>2025_C_PR_B3_CONFIG2</v>
      </c>
      <c r="C165" s="34">
        <v>810</v>
      </c>
      <c r="D165" s="91">
        <v>290</v>
      </c>
      <c r="E165" s="92">
        <v>0.1</v>
      </c>
      <c r="F165" s="93">
        <v>7.4999999999999997E-2</v>
      </c>
      <c r="G165" s="77"/>
      <c r="H165" s="17">
        <v>0</v>
      </c>
      <c r="I165" s="17">
        <f t="shared" si="12"/>
        <v>7.0081549439347607E-2</v>
      </c>
      <c r="J165" s="17">
        <f>Config!I4</f>
        <v>0.93442065919130146</v>
      </c>
      <c r="K165" s="18">
        <f t="shared" si="13"/>
        <v>1.004502208630649</v>
      </c>
      <c r="L165" s="74"/>
      <c r="M165" s="74"/>
      <c r="N165" s="73">
        <v>0</v>
      </c>
      <c r="O165" s="17">
        <f t="shared" si="14"/>
        <v>0</v>
      </c>
      <c r="P165" s="17">
        <f t="shared" si="15"/>
        <v>2.5112555215766226E-2</v>
      </c>
      <c r="Q165" s="73">
        <v>0.40500000000000003</v>
      </c>
      <c r="R165" s="76">
        <f t="shared" si="16"/>
        <v>0.43011255521576625</v>
      </c>
      <c r="S165" s="74"/>
      <c r="T165" s="74"/>
      <c r="U165" s="73">
        <f t="shared" si="10"/>
        <v>0.5</v>
      </c>
      <c r="V165" s="76">
        <f t="shared" si="11"/>
        <v>0.53100315458736569</v>
      </c>
      <c r="AQ165" s="17"/>
      <c r="AR165" s="17"/>
      <c r="AS165" s="17"/>
    </row>
    <row r="166" spans="1:45" ht="12.75" x14ac:dyDescent="0.35">
      <c r="A166" s="153"/>
      <c r="B166" s="20" t="str">
        <f>Config!B5</f>
        <v>2026_C_PR_B3_CONFIG3</v>
      </c>
      <c r="C166" s="34">
        <v>810</v>
      </c>
      <c r="D166" s="91">
        <v>290</v>
      </c>
      <c r="E166" s="92">
        <v>0.1</v>
      </c>
      <c r="F166" s="93">
        <v>7.4999999999999997E-2</v>
      </c>
      <c r="G166" s="77"/>
      <c r="H166" s="17">
        <v>0</v>
      </c>
      <c r="I166" s="17">
        <f t="shared" si="12"/>
        <v>7.64525993883792E-2</v>
      </c>
      <c r="J166" s="17">
        <f>Config!I5</f>
        <v>1.019367991845056</v>
      </c>
      <c r="K166" s="18">
        <f t="shared" si="13"/>
        <v>1.0958205912334351</v>
      </c>
      <c r="L166" s="74"/>
      <c r="M166" s="74"/>
      <c r="N166" s="73">
        <v>0</v>
      </c>
      <c r="O166" s="17">
        <f t="shared" si="14"/>
        <v>0</v>
      </c>
      <c r="P166" s="17">
        <f t="shared" si="15"/>
        <v>2.7395514780835878E-2</v>
      </c>
      <c r="Q166" s="73">
        <v>0.40500000000000003</v>
      </c>
      <c r="R166" s="76">
        <f t="shared" si="16"/>
        <v>0.43239551478083593</v>
      </c>
      <c r="S166" s="74"/>
      <c r="T166" s="74"/>
      <c r="U166" s="73">
        <f t="shared" si="10"/>
        <v>0.5</v>
      </c>
      <c r="V166" s="76">
        <f t="shared" si="11"/>
        <v>0.53382162318621718</v>
      </c>
      <c r="AQ166" s="17"/>
      <c r="AR166" s="17"/>
      <c r="AS166" s="17"/>
    </row>
    <row r="167" spans="1:45" ht="12.75" x14ac:dyDescent="0.35">
      <c r="A167" s="153"/>
      <c r="B167" s="20" t="str">
        <f>Config!B6</f>
        <v>2025_C_PR_B3_CONFIG4</v>
      </c>
      <c r="C167" s="34">
        <v>810</v>
      </c>
      <c r="D167" s="91">
        <v>290</v>
      </c>
      <c r="E167" s="92">
        <v>0.1</v>
      </c>
      <c r="F167" s="93">
        <v>7.4999999999999997E-2</v>
      </c>
      <c r="G167" s="77"/>
      <c r="H167" s="17">
        <v>0</v>
      </c>
      <c r="I167" s="17">
        <f t="shared" si="12"/>
        <v>8.2823649337410793E-2</v>
      </c>
      <c r="J167" s="17">
        <f>Config!I6</f>
        <v>1.1043153244988106</v>
      </c>
      <c r="K167" s="18">
        <f t="shared" si="13"/>
        <v>1.1871389738362215</v>
      </c>
      <c r="L167" s="74"/>
      <c r="M167" s="74"/>
      <c r="N167" s="73">
        <v>0</v>
      </c>
      <c r="O167" s="17">
        <f t="shared" si="14"/>
        <v>6.5749235474006111</v>
      </c>
      <c r="P167" s="17">
        <f t="shared" si="15"/>
        <v>2.9678474345905537E-2</v>
      </c>
      <c r="Q167" s="73">
        <v>0.40500000000000003</v>
      </c>
      <c r="R167" s="76">
        <f t="shared" si="16"/>
        <v>7.0096020217465167</v>
      </c>
      <c r="S167" s="74"/>
      <c r="T167" s="74"/>
      <c r="U167" s="73">
        <f t="shared" si="10"/>
        <v>0.5</v>
      </c>
      <c r="V167" s="76">
        <f t="shared" si="11"/>
        <v>8.6538296564771802</v>
      </c>
      <c r="AQ167" s="17"/>
      <c r="AR167" s="17"/>
      <c r="AS167" s="17"/>
    </row>
    <row r="168" spans="1:45" ht="12.75" x14ac:dyDescent="0.35">
      <c r="A168" s="153"/>
      <c r="B168" s="20" t="str">
        <f>Config!B7</f>
        <v>2026_C_PR_B3_CONFIG5</v>
      </c>
      <c r="C168" s="34">
        <v>810</v>
      </c>
      <c r="D168" s="91">
        <v>290</v>
      </c>
      <c r="E168" s="92">
        <v>0.1</v>
      </c>
      <c r="F168" s="93">
        <v>7.4999999999999997E-2</v>
      </c>
      <c r="G168" s="77"/>
      <c r="H168" s="17">
        <v>0</v>
      </c>
      <c r="I168" s="17">
        <f t="shared" si="12"/>
        <v>8.91946992864424E-2</v>
      </c>
      <c r="J168" s="17">
        <f>Config!I7</f>
        <v>1.1892626571525653</v>
      </c>
      <c r="K168" s="18">
        <f t="shared" si="13"/>
        <v>1.2784573564390076</v>
      </c>
      <c r="L168" s="74"/>
      <c r="M168" s="74"/>
      <c r="N168" s="73">
        <v>0</v>
      </c>
      <c r="O168" s="17">
        <f t="shared" si="14"/>
        <v>6.5749235474006111</v>
      </c>
      <c r="P168" s="17">
        <f t="shared" si="15"/>
        <v>3.1961433910975189E-2</v>
      </c>
      <c r="Q168" s="73">
        <v>0.40500000000000003</v>
      </c>
      <c r="R168" s="76">
        <f t="shared" si="16"/>
        <v>7.0118849813115869</v>
      </c>
      <c r="S168" s="74"/>
      <c r="T168" s="74"/>
      <c r="U168" s="73">
        <f t="shared" si="10"/>
        <v>0.5</v>
      </c>
      <c r="V168" s="76">
        <f t="shared" si="11"/>
        <v>8.6566481250760337</v>
      </c>
      <c r="AQ168" s="17"/>
      <c r="AR168" s="17"/>
      <c r="AS168" s="17"/>
    </row>
    <row r="169" spans="1:45" ht="12.75" x14ac:dyDescent="0.35">
      <c r="A169" s="153"/>
      <c r="B169" s="20" t="str">
        <f>Config!B8</f>
        <v>2025_C_PR_B3_CONFIG6</v>
      </c>
      <c r="C169" s="34">
        <v>810</v>
      </c>
      <c r="D169" s="91">
        <v>290</v>
      </c>
      <c r="E169" s="92">
        <v>0.1</v>
      </c>
      <c r="F169" s="93">
        <v>7.4999999999999997E-2</v>
      </c>
      <c r="G169" s="77"/>
      <c r="H169" s="17">
        <v>0</v>
      </c>
      <c r="I169" s="17">
        <f t="shared" si="12"/>
        <v>9.5565749235473993E-2</v>
      </c>
      <c r="J169" s="17">
        <f>Config!I8</f>
        <v>1.2742099898063199</v>
      </c>
      <c r="K169" s="18">
        <f t="shared" si="13"/>
        <v>1.3697757390417939</v>
      </c>
      <c r="L169" s="74"/>
      <c r="M169" s="74"/>
      <c r="N169" s="73">
        <v>0</v>
      </c>
      <c r="O169" s="17">
        <f t="shared" si="14"/>
        <v>0</v>
      </c>
      <c r="P169" s="17">
        <f t="shared" si="15"/>
        <v>3.4244393476044847E-2</v>
      </c>
      <c r="Q169" s="73">
        <v>0.40500000000000003</v>
      </c>
      <c r="R169" s="76">
        <f t="shared" si="16"/>
        <v>0.43924439347604488</v>
      </c>
      <c r="S169" s="74"/>
      <c r="T169" s="74"/>
      <c r="U169" s="73">
        <f t="shared" si="10"/>
        <v>0.5</v>
      </c>
      <c r="V169" s="76">
        <f t="shared" si="11"/>
        <v>0.54227702898277141</v>
      </c>
      <c r="AQ169" s="17"/>
      <c r="AR169" s="17"/>
      <c r="AS169" s="17"/>
    </row>
    <row r="170" spans="1:45" ht="12.75" x14ac:dyDescent="0.35">
      <c r="A170" s="153"/>
      <c r="B170" s="20" t="str">
        <f>Config!B9</f>
        <v>2026_C_PR_B3_CONFIG7</v>
      </c>
      <c r="C170" s="34">
        <v>810</v>
      </c>
      <c r="D170" s="91">
        <v>290</v>
      </c>
      <c r="E170" s="92">
        <v>0.1</v>
      </c>
      <c r="F170" s="93">
        <v>7.4999999999999997E-2</v>
      </c>
      <c r="G170" s="77"/>
      <c r="H170" s="17">
        <v>0</v>
      </c>
      <c r="I170" s="17">
        <f t="shared" si="12"/>
        <v>1.2742099898063199E-5</v>
      </c>
      <c r="J170" s="17">
        <f>Config!I9</f>
        <v>1.6989466530750933E-4</v>
      </c>
      <c r="K170" s="18">
        <f t="shared" si="13"/>
        <v>1.8263676520557254E-4</v>
      </c>
      <c r="L170" s="74"/>
      <c r="M170" s="74"/>
      <c r="N170" s="73">
        <v>0</v>
      </c>
      <c r="O170" s="17">
        <f t="shared" si="14"/>
        <v>0</v>
      </c>
      <c r="P170" s="17">
        <f t="shared" si="15"/>
        <v>4.5659191301393135E-6</v>
      </c>
      <c r="Q170" s="73">
        <v>0.40500000000000003</v>
      </c>
      <c r="R170" s="76">
        <f t="shared" si="16"/>
        <v>0.40500456591913014</v>
      </c>
      <c r="S170" s="74"/>
      <c r="T170" s="74"/>
      <c r="U170" s="73">
        <f t="shared" si="10"/>
        <v>0.5</v>
      </c>
      <c r="V170" s="76">
        <f t="shared" si="11"/>
        <v>0.50000563693719768</v>
      </c>
      <c r="AQ170" s="17"/>
      <c r="AR170" s="17"/>
      <c r="AS170" s="17"/>
    </row>
    <row r="171" spans="1:45" ht="12.75" x14ac:dyDescent="0.35">
      <c r="A171" s="153"/>
      <c r="B171" s="20" t="str">
        <f>Config!B10</f>
        <v>2025_C_PR_B3_CONFIG8</v>
      </c>
      <c r="C171" s="34">
        <v>810</v>
      </c>
      <c r="D171" s="91">
        <v>290</v>
      </c>
      <c r="E171" s="92">
        <v>0.1</v>
      </c>
      <c r="F171" s="93">
        <v>7.4999999999999997E-2</v>
      </c>
      <c r="G171" s="77"/>
      <c r="H171" s="17">
        <v>0</v>
      </c>
      <c r="I171" s="17">
        <f t="shared" si="12"/>
        <v>1.2742099898063199E-5</v>
      </c>
      <c r="J171" s="17">
        <f>Config!I10</f>
        <v>1.6989466530750933E-4</v>
      </c>
      <c r="K171" s="18">
        <f t="shared" si="13"/>
        <v>1.8263676520557254E-4</v>
      </c>
      <c r="L171" s="74"/>
      <c r="M171" s="74"/>
      <c r="N171" s="73">
        <v>0</v>
      </c>
      <c r="O171" s="17">
        <f t="shared" si="14"/>
        <v>0</v>
      </c>
      <c r="P171" s="17">
        <f t="shared" si="15"/>
        <v>4.5659191301393135E-6</v>
      </c>
      <c r="Q171" s="73">
        <v>0.40500000000000003</v>
      </c>
      <c r="R171" s="76">
        <f t="shared" si="16"/>
        <v>0.40500456591913014</v>
      </c>
      <c r="S171" s="74"/>
      <c r="T171" s="74"/>
      <c r="U171" s="73">
        <f t="shared" si="10"/>
        <v>0.5</v>
      </c>
      <c r="V171" s="76">
        <f t="shared" si="11"/>
        <v>0.50000563693719768</v>
      </c>
      <c r="AQ171" s="17"/>
      <c r="AR171" s="17"/>
      <c r="AS171" s="17"/>
    </row>
    <row r="172" spans="1:45" ht="12.75" x14ac:dyDescent="0.35">
      <c r="A172" s="153"/>
      <c r="B172" s="20" t="str">
        <f>Config!B11</f>
        <v>2026_C_PR_B3_CONFIG9</v>
      </c>
      <c r="C172" s="34">
        <v>810</v>
      </c>
      <c r="D172" s="91">
        <v>290</v>
      </c>
      <c r="E172" s="92">
        <v>0.1</v>
      </c>
      <c r="F172" s="93">
        <v>7.4999999999999997E-2</v>
      </c>
      <c r="G172" s="77"/>
      <c r="H172" s="17">
        <v>0</v>
      </c>
      <c r="I172" s="17">
        <f t="shared" si="12"/>
        <v>1.2742099898063199E-5</v>
      </c>
      <c r="J172" s="17">
        <f>Config!I11</f>
        <v>1.6989466530750933E-4</v>
      </c>
      <c r="K172" s="18">
        <f t="shared" si="13"/>
        <v>1.8263676520557254E-4</v>
      </c>
      <c r="L172" s="74"/>
      <c r="M172" s="74"/>
      <c r="N172" s="73">
        <v>0</v>
      </c>
      <c r="O172" s="17">
        <f t="shared" si="14"/>
        <v>0</v>
      </c>
      <c r="P172" s="17">
        <f t="shared" si="15"/>
        <v>4.5659191301393135E-6</v>
      </c>
      <c r="Q172" s="73">
        <v>0.40500000000000003</v>
      </c>
      <c r="R172" s="76">
        <f t="shared" si="16"/>
        <v>0.40500456591913014</v>
      </c>
      <c r="S172" s="74"/>
      <c r="T172" s="74"/>
      <c r="U172" s="73">
        <f t="shared" si="10"/>
        <v>0.5</v>
      </c>
      <c r="V172" s="76">
        <f t="shared" si="11"/>
        <v>0.50000563693719768</v>
      </c>
      <c r="AQ172" s="17"/>
      <c r="AR172" s="17"/>
      <c r="AS172" s="17"/>
    </row>
    <row r="173" spans="1:45" ht="12.75" x14ac:dyDescent="0.35">
      <c r="A173" s="153"/>
      <c r="B173" s="20" t="str">
        <f>Config!B12</f>
        <v>2026_C_PR_B3_CONFIG10</v>
      </c>
      <c r="C173" s="34">
        <v>810</v>
      </c>
      <c r="D173" s="91">
        <v>290</v>
      </c>
      <c r="E173" s="92">
        <v>0.1</v>
      </c>
      <c r="F173" s="93">
        <v>7.4999999999999997E-2</v>
      </c>
      <c r="G173" s="77"/>
      <c r="H173" s="17">
        <v>0</v>
      </c>
      <c r="I173" s="17">
        <f t="shared" si="12"/>
        <v>1.2742099898063199E-5</v>
      </c>
      <c r="J173" s="17">
        <f>Config!I12</f>
        <v>1.6989466530750933E-4</v>
      </c>
      <c r="K173" s="18">
        <f t="shared" si="13"/>
        <v>1.8263676520557254E-4</v>
      </c>
      <c r="L173" s="74"/>
      <c r="M173" s="74"/>
      <c r="N173" s="73">
        <v>0</v>
      </c>
      <c r="O173" s="17">
        <f t="shared" si="14"/>
        <v>0</v>
      </c>
      <c r="P173" s="17">
        <f t="shared" si="15"/>
        <v>4.5659191301393135E-6</v>
      </c>
      <c r="Q173" s="73">
        <v>0.40500000000000003</v>
      </c>
      <c r="R173" s="76">
        <f t="shared" si="16"/>
        <v>0.40500456591913014</v>
      </c>
      <c r="S173" s="74"/>
      <c r="T173" s="74"/>
      <c r="U173" s="73">
        <f t="shared" si="10"/>
        <v>0.5</v>
      </c>
      <c r="V173" s="76">
        <f t="shared" si="11"/>
        <v>0.50000563693719768</v>
      </c>
      <c r="AQ173" s="17"/>
      <c r="AR173" s="17"/>
      <c r="AS173" s="17"/>
    </row>
    <row r="174" spans="1:45" ht="12.75" x14ac:dyDescent="0.35">
      <c r="A174" s="153"/>
      <c r="B174" s="20" t="str">
        <f>Config!B13</f>
        <v>2026_C_PR_B3_CONFIG11</v>
      </c>
      <c r="C174" s="34">
        <v>810</v>
      </c>
      <c r="D174" s="91">
        <v>290</v>
      </c>
      <c r="E174" s="92">
        <v>0.1</v>
      </c>
      <c r="F174" s="93">
        <v>7.5000000000000094E-2</v>
      </c>
      <c r="G174" s="77"/>
      <c r="H174" s="17">
        <v>0</v>
      </c>
      <c r="I174" s="17">
        <f t="shared" si="12"/>
        <v>1.2742099898063216E-5</v>
      </c>
      <c r="J174" s="17">
        <f>Config!I13</f>
        <v>1.6989466530750933E-4</v>
      </c>
      <c r="K174" s="18">
        <f t="shared" si="13"/>
        <v>1.8263676520557254E-4</v>
      </c>
      <c r="L174" s="74"/>
      <c r="M174" s="74"/>
      <c r="N174" s="73">
        <v>0</v>
      </c>
      <c r="O174" s="17">
        <f t="shared" si="14"/>
        <v>0</v>
      </c>
      <c r="P174" s="17">
        <f t="shared" si="15"/>
        <v>4.5659191301393135E-6</v>
      </c>
      <c r="Q174" s="73">
        <v>0.40500000000000003</v>
      </c>
      <c r="R174" s="76">
        <f t="shared" si="16"/>
        <v>0.40500456591913014</v>
      </c>
      <c r="S174" s="74"/>
      <c r="T174" s="74"/>
      <c r="U174" s="73">
        <f t="shared" si="10"/>
        <v>0.5</v>
      </c>
      <c r="V174" s="76">
        <f t="shared" si="11"/>
        <v>0.50000563693719768</v>
      </c>
      <c r="AQ174" s="17"/>
      <c r="AR174" s="17"/>
      <c r="AS174" s="17"/>
    </row>
    <row r="175" spans="1:45" ht="12.75" x14ac:dyDescent="0.35">
      <c r="A175" s="154"/>
      <c r="B175" s="23" t="str">
        <f>Config!B14</f>
        <v>2026_C_PR_B3_CONFIG12</v>
      </c>
      <c r="C175" s="83">
        <v>810</v>
      </c>
      <c r="D175" s="97">
        <v>290</v>
      </c>
      <c r="E175" s="95">
        <v>0.1</v>
      </c>
      <c r="F175" s="98">
        <v>7.5000000000000094E-2</v>
      </c>
      <c r="G175" s="78"/>
      <c r="H175" s="11">
        <v>0</v>
      </c>
      <c r="I175" s="11">
        <f t="shared" si="12"/>
        <v>1.2742099898063216E-5</v>
      </c>
      <c r="J175" s="11">
        <f>Config!I14</f>
        <v>1.6989466530750933E-4</v>
      </c>
      <c r="K175" s="12">
        <f t="shared" si="13"/>
        <v>1.8263676520557254E-4</v>
      </c>
      <c r="L175" s="81"/>
      <c r="M175" s="81"/>
      <c r="N175" s="80">
        <v>0</v>
      </c>
      <c r="O175" s="11">
        <f t="shared" si="14"/>
        <v>0</v>
      </c>
      <c r="P175" s="11">
        <f t="shared" si="15"/>
        <v>4.5659191301393313E-6</v>
      </c>
      <c r="Q175" s="80">
        <v>0.40500000000000003</v>
      </c>
      <c r="R175" s="84">
        <f t="shared" si="16"/>
        <v>0.40500456591913014</v>
      </c>
      <c r="S175" s="81"/>
      <c r="T175" s="81"/>
      <c r="U175" s="80">
        <f t="shared" si="10"/>
        <v>0.5</v>
      </c>
      <c r="V175" s="84">
        <f t="shared" si="11"/>
        <v>0.50000563693719768</v>
      </c>
      <c r="AQ175" s="17"/>
      <c r="AR175" s="17"/>
      <c r="AS175" s="17"/>
    </row>
    <row r="176" spans="1:45" ht="12.75" x14ac:dyDescent="0.35">
      <c r="A176" s="152" t="s">
        <v>29</v>
      </c>
      <c r="B176" s="20" t="str">
        <f>Config!B15</f>
        <v>2026_C_PR_B3_CONFIG13</v>
      </c>
      <c r="C176" s="34">
        <v>810</v>
      </c>
      <c r="D176" s="91">
        <v>290</v>
      </c>
      <c r="E176" s="92">
        <v>0.1</v>
      </c>
      <c r="F176" s="93">
        <v>7.5000000000000094E-2</v>
      </c>
      <c r="G176" s="77"/>
      <c r="H176" s="17">
        <v>0</v>
      </c>
      <c r="I176" s="17">
        <f t="shared" si="12"/>
        <v>6.3710499490316083E-2</v>
      </c>
      <c r="J176" s="17">
        <f>Config!I15</f>
        <v>0.8494733265375467</v>
      </c>
      <c r="K176" s="18">
        <f t="shared" si="13"/>
        <v>0.91318382602786274</v>
      </c>
      <c r="L176" s="74"/>
      <c r="M176" s="74"/>
      <c r="N176" s="73">
        <v>0</v>
      </c>
      <c r="O176" s="17">
        <f t="shared" si="14"/>
        <v>0</v>
      </c>
      <c r="P176" s="17">
        <f t="shared" si="15"/>
        <v>2.2829595650696657E-2</v>
      </c>
      <c r="Q176" s="73">
        <v>0.40500000000000003</v>
      </c>
      <c r="R176" s="76">
        <f t="shared" si="16"/>
        <v>0.42782959565069667</v>
      </c>
      <c r="S176" s="74"/>
      <c r="T176" s="74"/>
      <c r="U176" s="73">
        <f t="shared" si="10"/>
        <v>0.5</v>
      </c>
      <c r="V176" s="76">
        <f t="shared" si="11"/>
        <v>0.52818468598851442</v>
      </c>
      <c r="AQ176" s="17"/>
      <c r="AR176" s="17"/>
      <c r="AS176" s="17"/>
    </row>
    <row r="177" spans="1:45" ht="12.75" x14ac:dyDescent="0.35">
      <c r="A177" s="153"/>
      <c r="B177" s="20" t="str">
        <f>Config!B16</f>
        <v>2026_C_PR_B3_CONFIG14</v>
      </c>
      <c r="C177" s="34">
        <v>810</v>
      </c>
      <c r="D177" s="91">
        <v>290</v>
      </c>
      <c r="E177" s="92">
        <v>0.1</v>
      </c>
      <c r="F177" s="93">
        <v>7.5000000000000094E-2</v>
      </c>
      <c r="G177" s="77"/>
      <c r="H177" s="17">
        <v>0</v>
      </c>
      <c r="I177" s="17">
        <f t="shared" si="12"/>
        <v>7.0081549439347704E-2</v>
      </c>
      <c r="J177" s="17">
        <f>Config!I16</f>
        <v>0.93442065919130146</v>
      </c>
      <c r="K177" s="18">
        <f t="shared" si="13"/>
        <v>1.0045022086306492</v>
      </c>
      <c r="L177" s="74"/>
      <c r="M177" s="74"/>
      <c r="N177" s="73">
        <v>0</v>
      </c>
      <c r="O177" s="17">
        <f t="shared" si="14"/>
        <v>0</v>
      </c>
      <c r="P177" s="17">
        <f t="shared" si="15"/>
        <v>2.511255521576633E-2</v>
      </c>
      <c r="Q177" s="73">
        <v>0.40500000000000003</v>
      </c>
      <c r="R177" s="76">
        <f t="shared" si="16"/>
        <v>0.43011255521576636</v>
      </c>
      <c r="S177" s="74"/>
      <c r="T177" s="74"/>
      <c r="U177" s="73">
        <f t="shared" si="10"/>
        <v>0.5</v>
      </c>
      <c r="V177" s="76">
        <f t="shared" si="11"/>
        <v>0.53100315458736591</v>
      </c>
      <c r="AQ177" s="17"/>
      <c r="AR177" s="17"/>
      <c r="AS177" s="17"/>
    </row>
    <row r="178" spans="1:45" ht="12.75" x14ac:dyDescent="0.35">
      <c r="A178" s="153"/>
      <c r="B178" s="20" t="str">
        <f>Config!B17</f>
        <v>2026_C_PR_B3_CONFIG15</v>
      </c>
      <c r="C178" s="34">
        <v>810</v>
      </c>
      <c r="D178" s="91">
        <v>290</v>
      </c>
      <c r="E178" s="92">
        <v>0.1</v>
      </c>
      <c r="F178" s="93">
        <v>7.5000000000000094E-2</v>
      </c>
      <c r="G178" s="77"/>
      <c r="H178" s="17">
        <v>0</v>
      </c>
      <c r="I178" s="17">
        <f t="shared" si="12"/>
        <v>7.6452599388379297E-2</v>
      </c>
      <c r="J178" s="17">
        <f>Config!I17</f>
        <v>1.019367991845056</v>
      </c>
      <c r="K178" s="18">
        <f t="shared" si="13"/>
        <v>1.0958205912334353</v>
      </c>
      <c r="L178" s="74"/>
      <c r="M178" s="74"/>
      <c r="N178" s="73">
        <v>0</v>
      </c>
      <c r="O178" s="17">
        <f t="shared" si="14"/>
        <v>0</v>
      </c>
      <c r="P178" s="17">
        <f t="shared" si="15"/>
        <v>2.7395514780835992E-2</v>
      </c>
      <c r="Q178" s="73">
        <v>0.40500000000000003</v>
      </c>
      <c r="R178" s="76">
        <f t="shared" si="16"/>
        <v>0.43239551478083604</v>
      </c>
      <c r="S178" s="74"/>
      <c r="T178" s="74"/>
      <c r="U178" s="73">
        <f t="shared" si="10"/>
        <v>0.5</v>
      </c>
      <c r="V178" s="76">
        <f t="shared" si="11"/>
        <v>0.53382162318621729</v>
      </c>
      <c r="AQ178" s="17"/>
      <c r="AR178" s="17"/>
      <c r="AS178" s="17"/>
    </row>
    <row r="179" spans="1:45" ht="12.75" x14ac:dyDescent="0.35">
      <c r="A179" s="153"/>
      <c r="B179" s="20" t="str">
        <f>Config!B18</f>
        <v>2026_C_PR_B3_CONFIG16</v>
      </c>
      <c r="C179" s="34">
        <v>810</v>
      </c>
      <c r="D179" s="91">
        <v>290</v>
      </c>
      <c r="E179" s="92">
        <v>0.1</v>
      </c>
      <c r="F179" s="93">
        <v>7.5000000000000094E-2</v>
      </c>
      <c r="G179" s="77"/>
      <c r="H179" s="17">
        <v>0</v>
      </c>
      <c r="I179" s="17">
        <f t="shared" si="12"/>
        <v>8.2823649337410904E-2</v>
      </c>
      <c r="J179" s="17">
        <f>Config!I18</f>
        <v>1.1043153244988106</v>
      </c>
      <c r="K179" s="18">
        <f t="shared" si="13"/>
        <v>1.1871389738362215</v>
      </c>
      <c r="L179" s="74"/>
      <c r="M179" s="74"/>
      <c r="N179" s="73">
        <v>0</v>
      </c>
      <c r="O179" s="17">
        <f t="shared" si="14"/>
        <v>0</v>
      </c>
      <c r="P179" s="17">
        <f t="shared" si="15"/>
        <v>2.9678474345905655E-2</v>
      </c>
      <c r="Q179" s="73">
        <v>0.40500000000000003</v>
      </c>
      <c r="R179" s="76">
        <f t="shared" si="16"/>
        <v>0.43467847434590567</v>
      </c>
      <c r="S179" s="74"/>
      <c r="T179" s="74"/>
      <c r="U179" s="73">
        <f t="shared" si="10"/>
        <v>0.5</v>
      </c>
      <c r="V179" s="76">
        <f t="shared" si="11"/>
        <v>0.53664009178506877</v>
      </c>
      <c r="AQ179" s="17"/>
      <c r="AR179" s="17"/>
      <c r="AS179" s="17"/>
    </row>
    <row r="180" spans="1:45" ht="12.75" x14ac:dyDescent="0.35">
      <c r="A180" s="153"/>
      <c r="B180" s="20" t="str">
        <f>Config!B19</f>
        <v>2026_C_PR_B3_CONFIG17</v>
      </c>
      <c r="C180" s="34">
        <v>810</v>
      </c>
      <c r="D180" s="91">
        <v>290</v>
      </c>
      <c r="E180" s="92">
        <v>0.1</v>
      </c>
      <c r="F180" s="93">
        <v>7.5000000000000094E-2</v>
      </c>
      <c r="G180" s="77"/>
      <c r="H180" s="17">
        <v>0</v>
      </c>
      <c r="I180" s="17">
        <f t="shared" si="12"/>
        <v>8.9194699286442511E-2</v>
      </c>
      <c r="J180" s="17">
        <f>Config!I19</f>
        <v>1.1892626571525653</v>
      </c>
      <c r="K180" s="18">
        <f t="shared" si="13"/>
        <v>1.2784573564390078</v>
      </c>
      <c r="L180" s="74"/>
      <c r="M180" s="74"/>
      <c r="N180" s="73">
        <v>0</v>
      </c>
      <c r="O180" s="17">
        <f t="shared" si="14"/>
        <v>0</v>
      </c>
      <c r="P180" s="17">
        <f t="shared" si="15"/>
        <v>3.196143391097532E-2</v>
      </c>
      <c r="Q180" s="73">
        <v>0.40499999999999903</v>
      </c>
      <c r="R180" s="76">
        <f t="shared" si="16"/>
        <v>0.43696143391097436</v>
      </c>
      <c r="S180" s="74"/>
      <c r="T180" s="74"/>
      <c r="U180" s="73">
        <f t="shared" si="10"/>
        <v>0.49999999999999883</v>
      </c>
      <c r="V180" s="76">
        <f t="shared" si="11"/>
        <v>0.53945856038391893</v>
      </c>
      <c r="AQ180" s="17"/>
      <c r="AR180" s="17"/>
      <c r="AS180" s="17"/>
    </row>
    <row r="181" spans="1:45" ht="12.75" x14ac:dyDescent="0.35">
      <c r="A181" s="153"/>
      <c r="B181" s="20" t="str">
        <f>Config!B20</f>
        <v>2026_C_PR_B3_CONFIG18</v>
      </c>
      <c r="C181" s="34">
        <v>810</v>
      </c>
      <c r="D181" s="91">
        <v>290</v>
      </c>
      <c r="E181" s="92">
        <v>0.1</v>
      </c>
      <c r="F181" s="93">
        <v>7.5000000000000205E-2</v>
      </c>
      <c r="G181" s="77"/>
      <c r="H181" s="17">
        <v>0</v>
      </c>
      <c r="I181" s="17">
        <f t="shared" si="12"/>
        <v>9.5565749235474257E-2</v>
      </c>
      <c r="J181" s="17">
        <f>Config!I20</f>
        <v>1.2742099898063199</v>
      </c>
      <c r="K181" s="18">
        <f t="shared" si="13"/>
        <v>1.3697757390417942</v>
      </c>
      <c r="L181" s="74"/>
      <c r="M181" s="74"/>
      <c r="N181" s="17">
        <v>0</v>
      </c>
      <c r="O181" s="17">
        <f t="shared" si="14"/>
        <v>6.574923547400612</v>
      </c>
      <c r="P181" s="17">
        <f t="shared" si="15"/>
        <v>3.4244393476044854E-2</v>
      </c>
      <c r="Q181" s="17">
        <v>0.40500000000000003</v>
      </c>
      <c r="R181" s="18">
        <f t="shared" si="16"/>
        <v>7.0141679408766571</v>
      </c>
      <c r="S181" s="74"/>
      <c r="T181" s="74"/>
      <c r="U181" s="17">
        <f t="shared" si="10"/>
        <v>0.5</v>
      </c>
      <c r="V181" s="18">
        <f t="shared" si="11"/>
        <v>8.6594665936748854</v>
      </c>
      <c r="AQ181" s="17"/>
      <c r="AR181" s="17"/>
      <c r="AS181" s="17"/>
    </row>
    <row r="182" spans="1:45" ht="12.75" x14ac:dyDescent="0.35">
      <c r="A182" s="153"/>
      <c r="B182" s="20" t="str">
        <f>Config!B21</f>
        <v>2026_C_PR_B3_CONFIG19</v>
      </c>
      <c r="C182" s="34">
        <v>810</v>
      </c>
      <c r="D182" s="91">
        <v>290</v>
      </c>
      <c r="E182" s="92">
        <v>0.1</v>
      </c>
      <c r="F182" s="93">
        <v>7.5000000000000205E-2</v>
      </c>
      <c r="G182" s="77"/>
      <c r="H182" s="17">
        <v>0</v>
      </c>
      <c r="I182" s="17">
        <f t="shared" si="12"/>
        <v>0.10193679918450589</v>
      </c>
      <c r="J182" s="17">
        <f>Config!I21</f>
        <v>1.3591573224600748</v>
      </c>
      <c r="K182" s="18">
        <f t="shared" si="13"/>
        <v>1.4610941216445807</v>
      </c>
      <c r="L182" s="74"/>
      <c r="M182" s="74"/>
      <c r="N182" s="73">
        <v>0</v>
      </c>
      <c r="O182" s="17">
        <f t="shared" si="14"/>
        <v>6.5749235474006138</v>
      </c>
      <c r="P182" s="17">
        <f t="shared" si="15"/>
        <v>3.6527353041114666E-2</v>
      </c>
      <c r="Q182" s="73">
        <v>0.40499999999999903</v>
      </c>
      <c r="R182" s="76">
        <f t="shared" si="16"/>
        <v>7.0164509004417281</v>
      </c>
      <c r="S182" s="74"/>
      <c r="T182" s="74"/>
      <c r="U182" s="73">
        <f t="shared" si="10"/>
        <v>0.49999999999999883</v>
      </c>
      <c r="V182" s="76">
        <f t="shared" si="11"/>
        <v>8.6622850622737388</v>
      </c>
      <c r="AQ182" s="17"/>
      <c r="AR182" s="17"/>
      <c r="AS182" s="17"/>
    </row>
    <row r="183" spans="1:45" ht="12.75" x14ac:dyDescent="0.35">
      <c r="A183" s="153"/>
      <c r="B183" s="20" t="str">
        <f>Config!B22</f>
        <v>2026_C_PR_B3_CONFIG20</v>
      </c>
      <c r="C183" s="34">
        <v>810</v>
      </c>
      <c r="D183" s="91">
        <v>290</v>
      </c>
      <c r="E183" s="92">
        <v>0.1</v>
      </c>
      <c r="F183" s="93">
        <v>7.5000000000000205E-2</v>
      </c>
      <c r="G183" s="77"/>
      <c r="H183" s="17">
        <v>0</v>
      </c>
      <c r="I183" s="17">
        <f t="shared" si="12"/>
        <v>1.2742099898063235E-5</v>
      </c>
      <c r="J183" s="17">
        <f>Config!I22</f>
        <v>1.6989466530750933E-4</v>
      </c>
      <c r="K183" s="18">
        <f t="shared" si="13"/>
        <v>1.8263676520557256E-4</v>
      </c>
      <c r="L183" s="74"/>
      <c r="M183" s="74"/>
      <c r="N183" s="73">
        <v>0</v>
      </c>
      <c r="O183" s="17">
        <f t="shared" si="14"/>
        <v>0</v>
      </c>
      <c r="P183" s="17">
        <f t="shared" si="15"/>
        <v>4.5659191301393322E-6</v>
      </c>
      <c r="Q183" s="73">
        <v>0.40499999999999903</v>
      </c>
      <c r="R183" s="76">
        <f t="shared" si="16"/>
        <v>0.40500456591912914</v>
      </c>
      <c r="S183" s="74"/>
      <c r="T183" s="74"/>
      <c r="U183" s="73">
        <f t="shared" si="10"/>
        <v>0.49999999999999883</v>
      </c>
      <c r="V183" s="76">
        <f t="shared" si="11"/>
        <v>0.50000563693719646</v>
      </c>
      <c r="AQ183" s="17"/>
      <c r="AR183" s="17"/>
      <c r="AS183" s="17"/>
    </row>
    <row r="184" spans="1:45" ht="12.75" x14ac:dyDescent="0.35">
      <c r="A184" s="153"/>
      <c r="B184" s="20" t="str">
        <f>Config!B23</f>
        <v>2026_C_PR_B3_CONFIG21</v>
      </c>
      <c r="C184" s="34">
        <v>810</v>
      </c>
      <c r="D184" s="91">
        <v>290</v>
      </c>
      <c r="E184" s="92">
        <v>0.1</v>
      </c>
      <c r="F184" s="93">
        <v>7.5000000000000205E-2</v>
      </c>
      <c r="G184" s="77"/>
      <c r="H184" s="17">
        <v>0</v>
      </c>
      <c r="I184" s="17">
        <f t="shared" si="12"/>
        <v>1.2742099898063235E-5</v>
      </c>
      <c r="J184" s="17">
        <f>Config!I23</f>
        <v>1.6989466530750933E-4</v>
      </c>
      <c r="K184" s="18">
        <f t="shared" si="13"/>
        <v>1.8263676520557256E-4</v>
      </c>
      <c r="L184" s="74"/>
      <c r="M184" s="74"/>
      <c r="N184" s="73">
        <v>0</v>
      </c>
      <c r="O184" s="17">
        <f t="shared" si="14"/>
        <v>0</v>
      </c>
      <c r="P184" s="17">
        <f t="shared" si="15"/>
        <v>4.5659191301393322E-6</v>
      </c>
      <c r="Q184" s="73">
        <v>0.40499999999999903</v>
      </c>
      <c r="R184" s="76">
        <f t="shared" si="16"/>
        <v>0.40500456591912914</v>
      </c>
      <c r="S184" s="74"/>
      <c r="T184" s="74"/>
      <c r="U184" s="73">
        <f t="shared" si="10"/>
        <v>0.49999999999999883</v>
      </c>
      <c r="V184" s="76">
        <f t="shared" si="11"/>
        <v>0.50000563693719646</v>
      </c>
      <c r="AQ184" s="17"/>
      <c r="AR184" s="17"/>
      <c r="AS184" s="17"/>
    </row>
    <row r="185" spans="1:45" ht="12.75" x14ac:dyDescent="0.35">
      <c r="A185" s="153"/>
      <c r="B185" s="20" t="str">
        <f>Config!B24</f>
        <v>2026_C_PR_B3_CONFIG22</v>
      </c>
      <c r="C185" s="34">
        <v>810</v>
      </c>
      <c r="D185" s="91">
        <v>290</v>
      </c>
      <c r="E185" s="92">
        <v>0.1</v>
      </c>
      <c r="F185" s="93">
        <v>7.5000000000000094E-2</v>
      </c>
      <c r="G185" s="77"/>
      <c r="H185" s="17">
        <v>0</v>
      </c>
      <c r="I185" s="17">
        <f t="shared" si="12"/>
        <v>1.2742099898063216E-5</v>
      </c>
      <c r="J185" s="17">
        <f>Config!I24</f>
        <v>1.6989466530750933E-4</v>
      </c>
      <c r="K185" s="18">
        <f t="shared" si="13"/>
        <v>1.8263676520557254E-4</v>
      </c>
      <c r="L185" s="74"/>
      <c r="M185" s="74"/>
      <c r="N185" s="73">
        <v>0</v>
      </c>
      <c r="O185" s="17">
        <f t="shared" si="14"/>
        <v>0</v>
      </c>
      <c r="P185" s="17">
        <f t="shared" si="15"/>
        <v>4.56591913013935E-6</v>
      </c>
      <c r="Q185" s="73">
        <v>0.40500000000000003</v>
      </c>
      <c r="R185" s="76">
        <f t="shared" si="16"/>
        <v>0.40500456591913014</v>
      </c>
      <c r="S185" s="74"/>
      <c r="T185" s="74"/>
      <c r="U185" s="73">
        <f t="shared" si="10"/>
        <v>0.5</v>
      </c>
      <c r="V185" s="76">
        <f t="shared" si="11"/>
        <v>0.50000563693719768</v>
      </c>
      <c r="AQ185" s="17"/>
      <c r="AR185" s="17"/>
      <c r="AS185" s="17"/>
    </row>
    <row r="186" spans="1:45" ht="12.75" x14ac:dyDescent="0.35">
      <c r="A186" s="153"/>
      <c r="B186" s="20" t="str">
        <f>Config!B25</f>
        <v>2026_C_PR_B3_CONFIG23</v>
      </c>
      <c r="C186" s="34">
        <v>810</v>
      </c>
      <c r="D186" s="91">
        <v>290</v>
      </c>
      <c r="E186" s="92">
        <v>0.1</v>
      </c>
      <c r="F186" s="93">
        <v>7.5000000000000094E-2</v>
      </c>
      <c r="G186" s="77"/>
      <c r="H186" s="17">
        <v>0</v>
      </c>
      <c r="I186" s="17">
        <f t="shared" si="12"/>
        <v>1.2742099898063216E-5</v>
      </c>
      <c r="J186" s="17">
        <f>Config!I25</f>
        <v>1.6989466530750933E-4</v>
      </c>
      <c r="K186" s="18">
        <f t="shared" si="13"/>
        <v>1.8263676520557254E-4</v>
      </c>
      <c r="L186" s="74"/>
      <c r="M186" s="74"/>
      <c r="N186" s="73">
        <v>0</v>
      </c>
      <c r="O186" s="17">
        <f t="shared" si="14"/>
        <v>0</v>
      </c>
      <c r="P186" s="17">
        <f t="shared" si="15"/>
        <v>4.56591913013935E-6</v>
      </c>
      <c r="Q186" s="73">
        <v>0.40500000000000003</v>
      </c>
      <c r="R186" s="76">
        <f t="shared" si="16"/>
        <v>0.40500456591913014</v>
      </c>
      <c r="S186" s="74"/>
      <c r="T186" s="74"/>
      <c r="U186" s="73">
        <f t="shared" si="10"/>
        <v>0.5</v>
      </c>
      <c r="V186" s="76">
        <f t="shared" si="11"/>
        <v>0.50000563693719768</v>
      </c>
      <c r="AQ186" s="17"/>
      <c r="AR186" s="17"/>
      <c r="AS186" s="17"/>
    </row>
    <row r="187" spans="1:45" ht="12.75" x14ac:dyDescent="0.35">
      <c r="A187" s="154"/>
      <c r="B187" s="23" t="str">
        <f>Config!B26</f>
        <v>2026_C_PR_B3_CONFIG24</v>
      </c>
      <c r="C187" s="83">
        <v>810</v>
      </c>
      <c r="D187" s="97">
        <v>290</v>
      </c>
      <c r="E187" s="95">
        <v>0.1</v>
      </c>
      <c r="F187" s="98">
        <v>7.5000000000000094E-2</v>
      </c>
      <c r="G187" s="78"/>
      <c r="H187" s="11">
        <v>0</v>
      </c>
      <c r="I187" s="11">
        <f t="shared" si="12"/>
        <v>1.2742099898063216E-5</v>
      </c>
      <c r="J187" s="11">
        <f>Config!I26</f>
        <v>1.6989466530750933E-4</v>
      </c>
      <c r="K187" s="12">
        <f t="shared" si="13"/>
        <v>1.8263676520557254E-4</v>
      </c>
      <c r="L187" s="81"/>
      <c r="M187" s="81"/>
      <c r="N187" s="80">
        <v>0</v>
      </c>
      <c r="O187" s="11">
        <f t="shared" si="14"/>
        <v>0</v>
      </c>
      <c r="P187" s="11">
        <f t="shared" si="15"/>
        <v>4.56591913013935E-6</v>
      </c>
      <c r="Q187" s="80">
        <v>0.40500000000000003</v>
      </c>
      <c r="R187" s="84">
        <f t="shared" si="16"/>
        <v>0.40500456591913014</v>
      </c>
      <c r="S187" s="81"/>
      <c r="T187" s="81"/>
      <c r="U187" s="80">
        <f t="shared" si="10"/>
        <v>0.5</v>
      </c>
      <c r="V187" s="84">
        <f t="shared" si="11"/>
        <v>0.50000563693719768</v>
      </c>
      <c r="AQ187" s="17"/>
      <c r="AR187" s="17"/>
      <c r="AS187" s="17"/>
    </row>
    <row r="188" spans="1:45" ht="12.75" x14ac:dyDescent="0.35">
      <c r="A188" s="152" t="s">
        <v>43</v>
      </c>
      <c r="B188" s="20" t="str">
        <f>Config!B27</f>
        <v>2026_C_PR_B3_CONFIG25</v>
      </c>
      <c r="C188" s="34">
        <v>810</v>
      </c>
      <c r="D188" s="91">
        <v>290</v>
      </c>
      <c r="E188" s="92">
        <v>0.1</v>
      </c>
      <c r="F188" s="93">
        <v>7.5000000000000094E-2</v>
      </c>
      <c r="G188" s="77"/>
      <c r="H188" s="17">
        <v>0</v>
      </c>
      <c r="I188" s="17">
        <f t="shared" si="12"/>
        <v>8.9194699286442511E-2</v>
      </c>
      <c r="J188" s="17">
        <f>Config!I27</f>
        <v>1.1892626571525653</v>
      </c>
      <c r="K188" s="18">
        <f t="shared" si="13"/>
        <v>1.2784573564390078</v>
      </c>
      <c r="L188" s="74"/>
      <c r="M188" s="74"/>
      <c r="N188" s="73">
        <v>0</v>
      </c>
      <c r="O188" s="17">
        <f t="shared" si="14"/>
        <v>6.3922867821950389</v>
      </c>
      <c r="P188" s="17">
        <f t="shared" si="15"/>
        <v>3.1961433910975452E-2</v>
      </c>
      <c r="Q188" s="73">
        <v>0.40500000000000003</v>
      </c>
      <c r="R188" s="76">
        <f t="shared" si="16"/>
        <v>6.8292482161060146</v>
      </c>
      <c r="S188" s="74"/>
      <c r="T188" s="74"/>
      <c r="U188" s="73">
        <f t="shared" si="10"/>
        <v>0.5</v>
      </c>
      <c r="V188" s="76">
        <f t="shared" si="11"/>
        <v>8.4311706371679183</v>
      </c>
      <c r="AQ188" s="17"/>
      <c r="AR188" s="17"/>
      <c r="AS188" s="17"/>
    </row>
    <row r="189" spans="1:45" ht="12.75" x14ac:dyDescent="0.35">
      <c r="A189" s="153"/>
      <c r="B189" s="20" t="str">
        <f>Config!B28</f>
        <v>2026_C_PR_B3_CONFIG26</v>
      </c>
      <c r="C189" s="34">
        <v>810</v>
      </c>
      <c r="D189" s="91">
        <v>290</v>
      </c>
      <c r="E189" s="92">
        <v>0.1</v>
      </c>
      <c r="F189" s="93">
        <v>7.5000000000000094E-2</v>
      </c>
      <c r="G189" s="77"/>
      <c r="H189" s="17">
        <v>0</v>
      </c>
      <c r="I189" s="17">
        <f t="shared" si="12"/>
        <v>8.9194699286442511E-2</v>
      </c>
      <c r="J189" s="17">
        <f>Config!I28</f>
        <v>1.1892626571525653</v>
      </c>
      <c r="K189" s="18">
        <f t="shared" si="13"/>
        <v>1.2784573564390078</v>
      </c>
      <c r="L189" s="74"/>
      <c r="M189" s="74"/>
      <c r="N189" s="73">
        <v>0</v>
      </c>
      <c r="O189" s="17">
        <f t="shared" si="14"/>
        <v>6.8488786952089704</v>
      </c>
      <c r="P189" s="17">
        <f t="shared" si="15"/>
        <v>3.1961433910975452E-2</v>
      </c>
      <c r="Q189" s="73">
        <v>0.40500000000000003</v>
      </c>
      <c r="R189" s="76">
        <f t="shared" si="16"/>
        <v>7.2858401291199462</v>
      </c>
      <c r="S189" s="74"/>
      <c r="T189" s="74"/>
      <c r="U189" s="73">
        <f t="shared" si="10"/>
        <v>0.5</v>
      </c>
      <c r="V189" s="76">
        <f t="shared" si="11"/>
        <v>8.994864356938205</v>
      </c>
      <c r="AQ189" s="17"/>
      <c r="AR189" s="17"/>
      <c r="AS189" s="17"/>
    </row>
    <row r="190" spans="1:45" ht="12.75" x14ac:dyDescent="0.35">
      <c r="A190" s="153"/>
      <c r="B190" s="20" t="str">
        <f>Config!B29</f>
        <v>2026_C_PR_B3_CONFIG27</v>
      </c>
      <c r="C190" s="34">
        <v>810</v>
      </c>
      <c r="D190" s="91">
        <v>290</v>
      </c>
      <c r="E190" s="92">
        <v>0.1</v>
      </c>
      <c r="F190" s="93">
        <v>7.5000000000000094E-2</v>
      </c>
      <c r="G190" s="77"/>
      <c r="H190" s="17">
        <v>0</v>
      </c>
      <c r="I190" s="17">
        <f t="shared" si="12"/>
        <v>8.9194699286442511E-2</v>
      </c>
      <c r="J190" s="17">
        <f>Config!I29</f>
        <v>1.1892626571525653</v>
      </c>
      <c r="K190" s="18">
        <f t="shared" si="13"/>
        <v>1.2784573564390078</v>
      </c>
      <c r="L190" s="74"/>
      <c r="M190" s="74"/>
      <c r="N190" s="73">
        <v>0</v>
      </c>
      <c r="O190" s="17">
        <f t="shared" si="14"/>
        <v>6.574923547400612</v>
      </c>
      <c r="P190" s="17">
        <f t="shared" si="15"/>
        <v>3.1961433910975452E-2</v>
      </c>
      <c r="Q190" s="73">
        <v>0.40500000000000003</v>
      </c>
      <c r="R190" s="76">
        <f t="shared" si="16"/>
        <v>7.0118849813115878</v>
      </c>
      <c r="S190" s="74"/>
      <c r="T190" s="74"/>
      <c r="U190" s="73">
        <f t="shared" si="10"/>
        <v>0.5</v>
      </c>
      <c r="V190" s="76">
        <f t="shared" si="11"/>
        <v>8.6566481250760337</v>
      </c>
      <c r="AQ190" s="17"/>
      <c r="AR190" s="17"/>
      <c r="AS190" s="17"/>
    </row>
    <row r="191" spans="1:45" ht="12.75" x14ac:dyDescent="0.35">
      <c r="A191" s="153"/>
      <c r="B191" s="20" t="str">
        <f>Config!B30</f>
        <v>2026_C_PR_B3_CONFIG28</v>
      </c>
      <c r="C191" s="34">
        <v>810</v>
      </c>
      <c r="D191" s="91">
        <v>290</v>
      </c>
      <c r="E191" s="92">
        <v>0.1</v>
      </c>
      <c r="F191" s="93">
        <v>7.5000000000000094E-2</v>
      </c>
      <c r="G191" s="77"/>
      <c r="H191" s="17">
        <v>0</v>
      </c>
      <c r="I191" s="17">
        <f t="shared" si="12"/>
        <v>8.9194699286442511E-2</v>
      </c>
      <c r="J191" s="17">
        <f>Config!I30</f>
        <v>1.1892626571525653</v>
      </c>
      <c r="K191" s="18">
        <f t="shared" si="13"/>
        <v>1.2784573564390078</v>
      </c>
      <c r="L191" s="74"/>
      <c r="M191" s="74"/>
      <c r="N191" s="73">
        <v>0</v>
      </c>
      <c r="O191" s="17">
        <f t="shared" si="14"/>
        <v>6.6662419300033982</v>
      </c>
      <c r="P191" s="17">
        <f t="shared" si="15"/>
        <v>3.1961433910975452E-2</v>
      </c>
      <c r="Q191" s="73">
        <v>0.40499999999999903</v>
      </c>
      <c r="R191" s="76">
        <f t="shared" si="16"/>
        <v>7.103203363914373</v>
      </c>
      <c r="S191" s="74"/>
      <c r="T191" s="74"/>
      <c r="U191" s="73">
        <f t="shared" si="10"/>
        <v>0.49999999999999883</v>
      </c>
      <c r="V191" s="76">
        <f t="shared" si="11"/>
        <v>8.7693868690300896</v>
      </c>
      <c r="AQ191" s="17"/>
      <c r="AR191" s="17"/>
      <c r="AS191" s="17"/>
    </row>
    <row r="192" spans="1:45" ht="12.75" x14ac:dyDescent="0.35">
      <c r="A192" s="153"/>
      <c r="B192" s="20" t="str">
        <f>Config!B31</f>
        <v>2026_C_PR_B3_CONFIG29</v>
      </c>
      <c r="C192" s="34">
        <v>810</v>
      </c>
      <c r="D192" s="91">
        <v>290</v>
      </c>
      <c r="E192" s="92">
        <v>0.1</v>
      </c>
      <c r="F192" s="93">
        <v>7.5000000000000205E-2</v>
      </c>
      <c r="G192" s="77"/>
      <c r="H192" s="17">
        <v>0</v>
      </c>
      <c r="I192" s="17">
        <f t="shared" si="12"/>
        <v>8.9194699286442636E-2</v>
      </c>
      <c r="J192" s="17">
        <f>Config!I31</f>
        <v>1.1892626571525653</v>
      </c>
      <c r="K192" s="18">
        <f t="shared" si="13"/>
        <v>1.278457356439008</v>
      </c>
      <c r="L192" s="74"/>
      <c r="M192" s="74"/>
      <c r="N192" s="17">
        <v>0</v>
      </c>
      <c r="O192" s="17">
        <f t="shared" si="14"/>
        <v>6.7119011213047921</v>
      </c>
      <c r="P192" s="17">
        <f t="shared" si="15"/>
        <v>3.1961433910975452E-2</v>
      </c>
      <c r="Q192" s="17">
        <v>0.40499999999999903</v>
      </c>
      <c r="R192" s="18">
        <f t="shared" si="16"/>
        <v>7.148862555215767</v>
      </c>
      <c r="S192" s="74"/>
      <c r="T192" s="74"/>
      <c r="U192" s="17">
        <f t="shared" si="10"/>
        <v>0.49999999999999883</v>
      </c>
      <c r="V192" s="18">
        <f t="shared" si="11"/>
        <v>8.8257562410071202</v>
      </c>
      <c r="AQ192" s="17"/>
      <c r="AR192" s="17"/>
      <c r="AS192" s="17"/>
    </row>
    <row r="193" spans="1:45" ht="12.75" x14ac:dyDescent="0.35">
      <c r="A193" s="154"/>
      <c r="B193" s="23" t="str">
        <f>Config!B32</f>
        <v>2026_C_PR_B3_CONFIG30</v>
      </c>
      <c r="C193" s="83">
        <v>810</v>
      </c>
      <c r="D193" s="97">
        <v>290</v>
      </c>
      <c r="E193" s="95">
        <v>0.1</v>
      </c>
      <c r="F193" s="98">
        <v>7.5000000000000205E-2</v>
      </c>
      <c r="G193" s="78"/>
      <c r="H193" s="11">
        <v>0</v>
      </c>
      <c r="I193" s="11">
        <f t="shared" si="12"/>
        <v>1.2742099898063235E-5</v>
      </c>
      <c r="J193" s="11">
        <f>Config!I32</f>
        <v>1.6989466530750933E-4</v>
      </c>
      <c r="K193" s="12">
        <f t="shared" si="13"/>
        <v>1.8263676520557256E-4</v>
      </c>
      <c r="L193" s="81"/>
      <c r="M193" s="81"/>
      <c r="N193" s="80">
        <v>0</v>
      </c>
      <c r="O193" s="11">
        <f t="shared" si="14"/>
        <v>1.8263676520557256E-4</v>
      </c>
      <c r="P193" s="11">
        <f t="shared" si="15"/>
        <v>4.5659191301393508E-6</v>
      </c>
      <c r="Q193" s="80">
        <v>0.40499999999999903</v>
      </c>
      <c r="R193" s="84">
        <f t="shared" si="16"/>
        <v>0.40518720268433472</v>
      </c>
      <c r="S193" s="81"/>
      <c r="T193" s="81"/>
      <c r="U193" s="80">
        <f t="shared" si="10"/>
        <v>0.49999999999999883</v>
      </c>
      <c r="V193" s="84">
        <f t="shared" si="11"/>
        <v>0.50023111442510459</v>
      </c>
      <c r="AQ193" s="17"/>
      <c r="AR193" s="17"/>
      <c r="AS193" s="17"/>
    </row>
    <row r="194" spans="1:45" ht="12.75" x14ac:dyDescent="0.35">
      <c r="A194" s="152" t="s">
        <v>51</v>
      </c>
      <c r="B194" s="20" t="str">
        <f>Config!B33</f>
        <v>2026_C_PR_B3_CONFIG31</v>
      </c>
      <c r="C194" s="34">
        <v>810</v>
      </c>
      <c r="D194" s="91">
        <v>290</v>
      </c>
      <c r="E194" s="92">
        <v>0.1</v>
      </c>
      <c r="F194" s="93">
        <v>7.5000000000000205E-2</v>
      </c>
      <c r="G194" s="77"/>
      <c r="H194" s="17">
        <v>0</v>
      </c>
      <c r="I194" s="17">
        <f t="shared" si="12"/>
        <v>0.10193679918450589</v>
      </c>
      <c r="J194" s="17">
        <f>Config!I33</f>
        <v>1.3591573224600748</v>
      </c>
      <c r="K194" s="18">
        <f t="shared" si="13"/>
        <v>1.4610941216445807</v>
      </c>
      <c r="L194" s="74"/>
      <c r="M194" s="74"/>
      <c r="N194" s="73">
        <v>0</v>
      </c>
      <c r="O194" s="17">
        <f t="shared" si="14"/>
        <v>7.1958885490995597</v>
      </c>
      <c r="P194" s="17">
        <f t="shared" si="15"/>
        <v>3.6527353041114811E-2</v>
      </c>
      <c r="Q194" s="73">
        <v>0.40499999999999903</v>
      </c>
      <c r="R194" s="76">
        <f t="shared" si="16"/>
        <v>7.637415902140674</v>
      </c>
      <c r="S194" s="74"/>
      <c r="T194" s="74"/>
      <c r="U194" s="73">
        <f t="shared" si="10"/>
        <v>0.49999999999999883</v>
      </c>
      <c r="V194" s="76">
        <f t="shared" si="11"/>
        <v>9.4289085211613255</v>
      </c>
      <c r="AQ194" s="17"/>
      <c r="AR194" s="17"/>
      <c r="AS194" s="17"/>
    </row>
    <row r="195" spans="1:45" ht="12.75" x14ac:dyDescent="0.35">
      <c r="A195" s="153"/>
      <c r="B195" s="20" t="str">
        <f>Config!B34</f>
        <v>2026_C_PR_B3_CONFIG32</v>
      </c>
      <c r="C195" s="34">
        <v>810</v>
      </c>
      <c r="D195" s="91">
        <v>290</v>
      </c>
      <c r="E195" s="92">
        <v>0.1</v>
      </c>
      <c r="F195" s="93">
        <v>7.5000000000000205E-2</v>
      </c>
      <c r="G195" s="77"/>
      <c r="H195" s="17">
        <v>0</v>
      </c>
      <c r="I195" s="17">
        <f t="shared" si="12"/>
        <v>0.10193679918450589</v>
      </c>
      <c r="J195" s="17">
        <f>Config!I34</f>
        <v>1.3591573224600748</v>
      </c>
      <c r="K195" s="18">
        <f t="shared" si="13"/>
        <v>1.4610941216445807</v>
      </c>
      <c r="L195" s="74"/>
      <c r="M195" s="74"/>
      <c r="N195" s="73">
        <v>0</v>
      </c>
      <c r="O195" s="17">
        <f t="shared" si="14"/>
        <v>7.2872069317023458</v>
      </c>
      <c r="P195" s="17">
        <f t="shared" si="15"/>
        <v>3.6527353041114811E-2</v>
      </c>
      <c r="Q195" s="73">
        <v>0.40499999999999903</v>
      </c>
      <c r="R195" s="76">
        <f t="shared" si="16"/>
        <v>7.7287342847434601</v>
      </c>
      <c r="S195" s="74"/>
      <c r="T195" s="74"/>
      <c r="U195" s="73">
        <f t="shared" si="10"/>
        <v>0.49999999999999883</v>
      </c>
      <c r="V195" s="76">
        <f t="shared" si="11"/>
        <v>9.5416472651153832</v>
      </c>
      <c r="AQ195" s="17"/>
      <c r="AR195" s="17"/>
      <c r="AS195" s="17"/>
    </row>
    <row r="196" spans="1:45" ht="12.75" x14ac:dyDescent="0.35">
      <c r="A196" s="153"/>
      <c r="B196" s="20" t="str">
        <f>Config!B35</f>
        <v>2026_C_PR_B3_CONFIG33</v>
      </c>
      <c r="C196" s="34">
        <v>810</v>
      </c>
      <c r="D196" s="91">
        <v>290</v>
      </c>
      <c r="E196" s="92">
        <v>0.1</v>
      </c>
      <c r="F196" s="93">
        <v>7.5000000000000205E-2</v>
      </c>
      <c r="G196" s="77"/>
      <c r="H196" s="17">
        <v>0</v>
      </c>
      <c r="I196" s="17">
        <f t="shared" si="12"/>
        <v>0.10193679918450589</v>
      </c>
      <c r="J196" s="17">
        <f>Config!I35</f>
        <v>1.3591573224600748</v>
      </c>
      <c r="K196" s="18">
        <f t="shared" si="13"/>
        <v>1.4610941216445807</v>
      </c>
      <c r="L196" s="74"/>
      <c r="M196" s="74"/>
      <c r="N196" s="17">
        <v>0</v>
      </c>
      <c r="O196" s="17">
        <f t="shared" si="14"/>
        <v>0.43851087325857974</v>
      </c>
      <c r="P196" s="17">
        <f t="shared" si="15"/>
        <v>3.6527353041114811E-2</v>
      </c>
      <c r="Q196" s="17">
        <v>0.40499999999999903</v>
      </c>
      <c r="R196" s="18">
        <f t="shared" si="16"/>
        <v>0.88003822629969353</v>
      </c>
      <c r="S196" s="74"/>
      <c r="T196" s="74"/>
      <c r="U196" s="17">
        <f t="shared" si="10"/>
        <v>0.49999999999999883</v>
      </c>
      <c r="V196" s="18">
        <f t="shared" si="11"/>
        <v>1.0864669460490044</v>
      </c>
      <c r="AQ196" s="17"/>
      <c r="AR196" s="17"/>
      <c r="AS196" s="17"/>
    </row>
    <row r="197" spans="1:45" ht="12.75" x14ac:dyDescent="0.35">
      <c r="A197" s="153"/>
      <c r="B197" s="20" t="str">
        <f>Config!B36</f>
        <v>2026_C_PR_B3_CONFIG34</v>
      </c>
      <c r="C197" s="34">
        <v>810</v>
      </c>
      <c r="D197" s="91">
        <v>290</v>
      </c>
      <c r="E197" s="92">
        <v>0.1</v>
      </c>
      <c r="F197" s="93">
        <v>7.5000000000000205E-2</v>
      </c>
      <c r="G197" s="77"/>
      <c r="H197" s="17">
        <v>0</v>
      </c>
      <c r="I197" s="17">
        <f t="shared" si="12"/>
        <v>0.10193679918450589</v>
      </c>
      <c r="J197" s="17">
        <f>Config!I36</f>
        <v>1.3591573224600748</v>
      </c>
      <c r="K197" s="18">
        <f t="shared" si="13"/>
        <v>1.4610941216445807</v>
      </c>
      <c r="L197" s="74"/>
      <c r="M197" s="74"/>
      <c r="N197" s="73">
        <v>0</v>
      </c>
      <c r="O197" s="17">
        <f t="shared" si="14"/>
        <v>0.43851087325857974</v>
      </c>
      <c r="P197" s="17">
        <f t="shared" si="15"/>
        <v>3.6527353041114811E-2</v>
      </c>
      <c r="Q197" s="73">
        <v>0.40499999999999903</v>
      </c>
      <c r="R197" s="76">
        <f t="shared" si="16"/>
        <v>0.88003822629969353</v>
      </c>
      <c r="S197" s="74"/>
      <c r="T197" s="74"/>
      <c r="U197" s="73">
        <f t="shared" si="10"/>
        <v>0.49999999999999883</v>
      </c>
      <c r="V197" s="76">
        <f t="shared" si="11"/>
        <v>1.0864669460490044</v>
      </c>
      <c r="AQ197" s="17"/>
      <c r="AR197" s="17"/>
      <c r="AS197" s="17"/>
    </row>
    <row r="198" spans="1:45" ht="12.75" x14ac:dyDescent="0.35">
      <c r="A198" s="153"/>
      <c r="B198" s="20" t="str">
        <f>Config!B37</f>
        <v>2026_C_PR_B1_CONFIG35</v>
      </c>
      <c r="C198" s="34">
        <v>810</v>
      </c>
      <c r="D198" s="91">
        <v>290</v>
      </c>
      <c r="E198" s="92">
        <v>0.1</v>
      </c>
      <c r="F198" s="93">
        <v>7.5000000000000205E-2</v>
      </c>
      <c r="G198" s="77"/>
      <c r="H198" s="17">
        <v>0</v>
      </c>
      <c r="I198" s="17">
        <v>0.125</v>
      </c>
      <c r="J198" s="17">
        <f>Config!I37</f>
        <v>1.6989466530750933E-4</v>
      </c>
      <c r="K198" s="18">
        <f t="shared" si="13"/>
        <v>0.12516989466530751</v>
      </c>
      <c r="L198" s="74"/>
      <c r="M198" s="74"/>
      <c r="N198" s="73">
        <v>0</v>
      </c>
      <c r="O198" s="17">
        <f t="shared" si="14"/>
        <v>0.16272086306489977</v>
      </c>
      <c r="P198" s="17">
        <f t="shared" si="15"/>
        <v>3.1292473666327124E-3</v>
      </c>
      <c r="Q198" s="73">
        <v>0.40499999999999903</v>
      </c>
      <c r="R198" s="18">
        <f t="shared" si="16"/>
        <v>0.57085011043153155</v>
      </c>
      <c r="S198" s="74"/>
      <c r="T198" s="74"/>
      <c r="U198" s="73">
        <f t="shared" si="10"/>
        <v>0.49999999999999883</v>
      </c>
      <c r="V198" s="76">
        <f t="shared" si="11"/>
        <v>0.7047532227549772</v>
      </c>
      <c r="AQ198" s="17"/>
      <c r="AR198" s="17"/>
      <c r="AS198" s="17"/>
    </row>
    <row r="199" spans="1:45" ht="12.75" x14ac:dyDescent="0.35">
      <c r="A199" s="154"/>
      <c r="B199" s="23" t="str">
        <f>Config!B38</f>
        <v>2026_C_PR_B1_CONFIG36</v>
      </c>
      <c r="C199" s="83">
        <v>810</v>
      </c>
      <c r="D199" s="97">
        <v>290</v>
      </c>
      <c r="E199" s="95">
        <v>0.1</v>
      </c>
      <c r="F199" s="98">
        <v>7.5000000000000205E-2</v>
      </c>
      <c r="G199" s="78"/>
      <c r="H199" s="11">
        <v>0</v>
      </c>
      <c r="I199" s="11">
        <v>0.125</v>
      </c>
      <c r="J199" s="11">
        <f>Config!I38</f>
        <v>1.6989466530750933E-4</v>
      </c>
      <c r="K199" s="12">
        <f t="shared" si="13"/>
        <v>0.12516989466530751</v>
      </c>
      <c r="L199" s="81"/>
      <c r="M199" s="81"/>
      <c r="N199" s="80">
        <v>0</v>
      </c>
      <c r="O199" s="11">
        <f t="shared" si="14"/>
        <v>0.16272086306489977</v>
      </c>
      <c r="P199" s="11">
        <f t="shared" si="15"/>
        <v>3.1292473666327124E-3</v>
      </c>
      <c r="Q199" s="73">
        <v>0.40499999999999903</v>
      </c>
      <c r="R199" s="12">
        <f t="shared" si="16"/>
        <v>0.57085011043153155</v>
      </c>
      <c r="S199" s="81"/>
      <c r="T199" s="81"/>
      <c r="U199" s="80">
        <f t="shared" si="10"/>
        <v>0.49999999999999883</v>
      </c>
      <c r="V199" s="84">
        <f t="shared" si="11"/>
        <v>0.7047532227549772</v>
      </c>
      <c r="AQ199" s="17"/>
      <c r="AR199" s="17"/>
      <c r="AS199" s="17"/>
    </row>
    <row r="200" spans="1:45" ht="12.75" x14ac:dyDescent="0.35">
      <c r="A200" s="152" t="s">
        <v>59</v>
      </c>
      <c r="B200" s="20" t="str">
        <f>Config!B39</f>
        <v>2026_C_PR_B1_CONFIG37</v>
      </c>
      <c r="C200" s="34">
        <v>810</v>
      </c>
      <c r="D200" s="91">
        <v>290</v>
      </c>
      <c r="E200" s="92">
        <v>0.1</v>
      </c>
      <c r="F200" s="93">
        <v>7.5000000000000205E-2</v>
      </c>
      <c r="G200" s="77"/>
      <c r="H200" s="17">
        <v>0</v>
      </c>
      <c r="I200" s="17">
        <v>0.125</v>
      </c>
      <c r="J200" s="17">
        <f>Config!I39</f>
        <v>1.4271151885830784</v>
      </c>
      <c r="K200" s="18">
        <f t="shared" si="13"/>
        <v>1.5521151885830784</v>
      </c>
      <c r="L200" s="74"/>
      <c r="M200" s="74"/>
      <c r="N200" s="73">
        <v>0</v>
      </c>
      <c r="O200" s="17">
        <f t="shared" si="14"/>
        <v>8.1486047400611614</v>
      </c>
      <c r="P200" s="17">
        <f t="shared" si="15"/>
        <v>3.8802879714577271E-2</v>
      </c>
      <c r="Q200" s="73">
        <v>0.40499999999999903</v>
      </c>
      <c r="R200" s="18">
        <f t="shared" si="16"/>
        <v>8.592407619775738</v>
      </c>
      <c r="S200" s="74"/>
      <c r="T200" s="74"/>
      <c r="U200" s="73">
        <f t="shared" si="10"/>
        <v>0.49999999999999883</v>
      </c>
      <c r="V200" s="76">
        <f t="shared" si="11"/>
        <v>10.607910641698442</v>
      </c>
      <c r="AQ200" s="17"/>
      <c r="AR200" s="17"/>
      <c r="AS200" s="17"/>
    </row>
    <row r="201" spans="1:45" ht="12.75" x14ac:dyDescent="0.35">
      <c r="A201" s="153"/>
      <c r="B201" s="20" t="str">
        <f>Config!B40</f>
        <v>2026_C_PR_B1_CONFIG38</v>
      </c>
      <c r="C201" s="34">
        <v>810</v>
      </c>
      <c r="D201" s="91">
        <v>290</v>
      </c>
      <c r="E201" s="92">
        <v>0.1</v>
      </c>
      <c r="F201" s="93">
        <v>7.5000000000000205E-2</v>
      </c>
      <c r="G201" s="77"/>
      <c r="H201" s="17">
        <v>0</v>
      </c>
      <c r="I201" s="17">
        <v>0.125</v>
      </c>
      <c r="J201" s="17">
        <f>Config!I40</f>
        <v>1.3923075010566619</v>
      </c>
      <c r="K201" s="18">
        <f t="shared" si="13"/>
        <v>1.5173075010566619</v>
      </c>
      <c r="L201" s="74"/>
      <c r="M201" s="74"/>
      <c r="N201" s="73">
        <v>0</v>
      </c>
      <c r="O201" s="17">
        <f t="shared" si="14"/>
        <v>7.9658643805474751</v>
      </c>
      <c r="P201" s="17">
        <f t="shared" si="15"/>
        <v>3.7932687526416847E-2</v>
      </c>
      <c r="Q201" s="73">
        <v>0.40499999999999903</v>
      </c>
      <c r="R201" s="18">
        <f t="shared" si="16"/>
        <v>8.4087970680738913</v>
      </c>
      <c r="S201" s="74"/>
      <c r="T201" s="74"/>
      <c r="U201" s="73">
        <f t="shared" si="10"/>
        <v>0.49999999999999883</v>
      </c>
      <c r="V201" s="76">
        <f t="shared" si="11"/>
        <v>10.381230948239372</v>
      </c>
      <c r="AQ201" s="17"/>
      <c r="AR201" s="17"/>
      <c r="AS201" s="17"/>
    </row>
    <row r="202" spans="1:45" ht="12.75" x14ac:dyDescent="0.35">
      <c r="A202" s="153"/>
      <c r="B202" s="20" t="str">
        <f>Config!B41</f>
        <v>2026_C_PR_B1_CONFIG39</v>
      </c>
      <c r="C202" s="34">
        <v>810</v>
      </c>
      <c r="D202" s="91">
        <v>290</v>
      </c>
      <c r="E202" s="92">
        <v>0.1</v>
      </c>
      <c r="F202" s="93">
        <v>7.5000000000000205E-2</v>
      </c>
      <c r="G202" s="77"/>
      <c r="H202" s="17">
        <v>0</v>
      </c>
      <c r="I202" s="17">
        <v>0.125</v>
      </c>
      <c r="J202" s="17">
        <f>Config!I41</f>
        <v>1.3591573224600748</v>
      </c>
      <c r="K202" s="18">
        <f t="shared" si="13"/>
        <v>1.4841573224600748</v>
      </c>
      <c r="L202" s="74"/>
      <c r="M202" s="74"/>
      <c r="N202" s="73">
        <v>0</v>
      </c>
      <c r="O202" s="17">
        <f t="shared" si="14"/>
        <v>7.7918259429153931</v>
      </c>
      <c r="P202" s="17">
        <f t="shared" si="15"/>
        <v>3.7103933061502163E-2</v>
      </c>
      <c r="Q202" s="73">
        <v>0.40499999999999903</v>
      </c>
      <c r="R202" s="18">
        <f t="shared" si="16"/>
        <v>8.2339298759768944</v>
      </c>
      <c r="S202" s="74"/>
      <c r="T202" s="74"/>
      <c r="U202" s="73">
        <f t="shared" si="10"/>
        <v>0.49999999999999883</v>
      </c>
      <c r="V202" s="76">
        <f t="shared" si="11"/>
        <v>10.165345525897399</v>
      </c>
      <c r="AQ202" s="17"/>
      <c r="AR202" s="17"/>
      <c r="AS202" s="17"/>
    </row>
    <row r="203" spans="1:45" ht="12.75" x14ac:dyDescent="0.35">
      <c r="A203" s="153"/>
      <c r="B203" s="20" t="str">
        <f>Config!B42</f>
        <v>2026_C_PR_B1_CONFIG40</v>
      </c>
      <c r="C203" s="34">
        <v>810</v>
      </c>
      <c r="D203" s="91">
        <v>290</v>
      </c>
      <c r="E203" s="92">
        <v>0.1</v>
      </c>
      <c r="F203" s="93">
        <v>7.5000000000000205E-2</v>
      </c>
      <c r="G203" s="77"/>
      <c r="H203" s="17">
        <v>0</v>
      </c>
      <c r="I203" s="17">
        <v>0.125</v>
      </c>
      <c r="J203" s="17">
        <f>Config!I42</f>
        <v>1.3275490126354217</v>
      </c>
      <c r="K203" s="18">
        <f t="shared" si="13"/>
        <v>1.4525490126354217</v>
      </c>
      <c r="L203" s="74"/>
      <c r="M203" s="74"/>
      <c r="N203" s="73">
        <v>0</v>
      </c>
      <c r="O203" s="17">
        <f t="shared" si="14"/>
        <v>7.6258823163359635</v>
      </c>
      <c r="P203" s="17">
        <f t="shared" si="15"/>
        <v>3.6313725315885829E-2</v>
      </c>
      <c r="Q203" s="73">
        <v>0.40499999999999903</v>
      </c>
      <c r="R203" s="18">
        <f t="shared" si="16"/>
        <v>8.0671960416518473</v>
      </c>
      <c r="S203" s="74"/>
      <c r="T203" s="74"/>
      <c r="U203" s="73">
        <f t="shared" si="10"/>
        <v>0.49999999999999883</v>
      </c>
      <c r="V203" s="76">
        <f t="shared" si="11"/>
        <v>9.9595012859899352</v>
      </c>
      <c r="AQ203" s="17"/>
      <c r="AR203" s="17"/>
      <c r="AS203" s="17"/>
    </row>
    <row r="204" spans="1:45" ht="12.75" x14ac:dyDescent="0.35">
      <c r="A204" s="153"/>
      <c r="B204" s="20" t="str">
        <f>Config!B43</f>
        <v>2026_C_PR_B1_CONFIG41</v>
      </c>
      <c r="C204" s="34">
        <v>810</v>
      </c>
      <c r="D204" s="91">
        <v>290</v>
      </c>
      <c r="E204" s="92">
        <v>0.1</v>
      </c>
      <c r="F204" s="93">
        <v>7.5000000000000205E-2</v>
      </c>
      <c r="G204" s="77"/>
      <c r="H204" s="17">
        <v>0</v>
      </c>
      <c r="I204" s="17">
        <v>0.125</v>
      </c>
      <c r="J204" s="17">
        <f>Config!I43</f>
        <v>1.2973774441664347</v>
      </c>
      <c r="K204" s="18">
        <f t="shared" si="13"/>
        <v>1.4223774441664347</v>
      </c>
      <c r="L204" s="74"/>
      <c r="M204" s="74"/>
      <c r="N204" s="73">
        <v>0</v>
      </c>
      <c r="O204" s="17">
        <f t="shared" si="14"/>
        <v>7.4674815818737823</v>
      </c>
      <c r="P204" s="17">
        <f t="shared" si="15"/>
        <v>3.5559436104161152E-2</v>
      </c>
      <c r="Q204" s="73">
        <v>0.40499999999999903</v>
      </c>
      <c r="R204" s="18">
        <f t="shared" si="16"/>
        <v>7.9080410179779426</v>
      </c>
      <c r="S204" s="74"/>
      <c r="T204" s="74"/>
      <c r="U204" s="73">
        <f t="shared" si="10"/>
        <v>0.49999999999999883</v>
      </c>
      <c r="V204" s="76">
        <f t="shared" si="11"/>
        <v>9.7630136024419052</v>
      </c>
      <c r="AQ204" s="17"/>
      <c r="AR204" s="17"/>
      <c r="AS204" s="17"/>
    </row>
    <row r="205" spans="1:45" ht="12.75" x14ac:dyDescent="0.35">
      <c r="A205" s="153"/>
      <c r="B205" s="20" t="str">
        <f>Config!B44</f>
        <v>2026_C_PR_B1_CONFIG42</v>
      </c>
      <c r="C205" s="34">
        <v>810</v>
      </c>
      <c r="D205" s="91">
        <v>290</v>
      </c>
      <c r="E205" s="92">
        <v>0.1</v>
      </c>
      <c r="F205" s="93">
        <v>7.5000000000000205E-2</v>
      </c>
      <c r="G205" s="77"/>
      <c r="H205" s="17">
        <v>0</v>
      </c>
      <c r="I205" s="17">
        <v>0.125</v>
      </c>
      <c r="J205" s="17">
        <f>Config!I44</f>
        <v>1.2685468342960697</v>
      </c>
      <c r="K205" s="18">
        <f t="shared" si="13"/>
        <v>1.3935468342960697</v>
      </c>
      <c r="L205" s="74"/>
      <c r="M205" s="74"/>
      <c r="N205" s="73">
        <v>0</v>
      </c>
      <c r="O205" s="17">
        <f t="shared" si="14"/>
        <v>7.316120880054366</v>
      </c>
      <c r="P205" s="17">
        <f t="shared" si="15"/>
        <v>3.483867085740202E-2</v>
      </c>
      <c r="Q205" s="73">
        <v>0.40499999999999903</v>
      </c>
      <c r="R205" s="18">
        <f t="shared" si="16"/>
        <v>7.7559595509117676</v>
      </c>
      <c r="S205" s="74"/>
      <c r="T205" s="74"/>
      <c r="U205" s="73">
        <f t="shared" si="10"/>
        <v>0.49999999999999883</v>
      </c>
      <c r="V205" s="76">
        <f t="shared" si="11"/>
        <v>9.5752587048293432</v>
      </c>
      <c r="AQ205" s="17"/>
      <c r="AR205" s="17"/>
      <c r="AS205" s="17"/>
    </row>
    <row r="206" spans="1:45" ht="12.75" x14ac:dyDescent="0.35">
      <c r="A206" s="153"/>
      <c r="B206" s="20" t="str">
        <f>Config!B45</f>
        <v>2026_C_PR_B1_CONFIG43</v>
      </c>
      <c r="C206" s="34">
        <v>810</v>
      </c>
      <c r="D206" s="91">
        <v>290</v>
      </c>
      <c r="E206" s="92">
        <v>0.1</v>
      </c>
      <c r="F206" s="93">
        <v>7.5000000000000205E-2</v>
      </c>
      <c r="G206" s="77"/>
      <c r="H206" s="17">
        <v>0</v>
      </c>
      <c r="I206" s="17">
        <v>0.125</v>
      </c>
      <c r="J206" s="17">
        <f>Config!I45</f>
        <v>1.2409697292026769</v>
      </c>
      <c r="K206" s="18">
        <f t="shared" si="13"/>
        <v>1.3659697292026769</v>
      </c>
      <c r="L206" s="74"/>
      <c r="M206" s="74"/>
      <c r="N206" s="73">
        <v>0</v>
      </c>
      <c r="O206" s="17">
        <f t="shared" si="14"/>
        <v>7.1713410783140539</v>
      </c>
      <c r="P206" s="17">
        <f t="shared" si="15"/>
        <v>3.4149243230067197E-2</v>
      </c>
      <c r="Q206" s="73">
        <v>0.40499999999999903</v>
      </c>
      <c r="R206" s="18">
        <f t="shared" si="16"/>
        <v>7.6104903215441206</v>
      </c>
      <c r="S206" s="74"/>
      <c r="T206" s="74"/>
      <c r="U206" s="73">
        <f t="shared" si="10"/>
        <v>0.49999999999999883</v>
      </c>
      <c r="V206" s="76">
        <f t="shared" si="11"/>
        <v>9.3956670636347166</v>
      </c>
      <c r="AQ206" s="17"/>
      <c r="AR206" s="17"/>
      <c r="AS206" s="17"/>
    </row>
    <row r="207" spans="1:45" ht="12.75" x14ac:dyDescent="0.35">
      <c r="A207" s="154"/>
      <c r="B207" s="23" t="str">
        <f>Config!B46</f>
        <v>2026_C_PR_B1_CONFIG44</v>
      </c>
      <c r="C207" s="83">
        <v>810</v>
      </c>
      <c r="D207" s="97">
        <v>290</v>
      </c>
      <c r="E207" s="95">
        <v>0.1</v>
      </c>
      <c r="F207" s="98">
        <v>7.5000000000000205E-2</v>
      </c>
      <c r="G207" s="78"/>
      <c r="H207" s="11">
        <v>0</v>
      </c>
      <c r="I207" s="11">
        <v>0.125</v>
      </c>
      <c r="J207" s="11">
        <f>Config!I46</f>
        <v>1.2145661179430456</v>
      </c>
      <c r="K207" s="12">
        <f t="shared" si="13"/>
        <v>1.3395661179430456</v>
      </c>
      <c r="L207" s="81"/>
      <c r="M207" s="81"/>
      <c r="N207" s="80">
        <v>0</v>
      </c>
      <c r="O207" s="11">
        <f t="shared" si="14"/>
        <v>7.0327221192009892</v>
      </c>
      <c r="P207" s="11">
        <f t="shared" si="15"/>
        <v>3.3489152948576406E-2</v>
      </c>
      <c r="Q207" s="73">
        <v>0.40499999999999903</v>
      </c>
      <c r="R207" s="12">
        <f t="shared" si="16"/>
        <v>7.4712112721495654</v>
      </c>
      <c r="S207" s="81"/>
      <c r="T207" s="81"/>
      <c r="U207" s="80">
        <f t="shared" si="10"/>
        <v>0.49999999999999883</v>
      </c>
      <c r="V207" s="84">
        <f t="shared" si="11"/>
        <v>9.2237176199377338</v>
      </c>
      <c r="AQ207" s="17"/>
      <c r="AR207" s="17"/>
      <c r="AS207" s="17"/>
    </row>
    <row r="208" spans="1:45" ht="12.75" x14ac:dyDescent="0.35">
      <c r="A208" s="152"/>
      <c r="B208" s="20" t="str">
        <f>Config!B47</f>
        <v>2026_C_PR_B1_CONFIG45</v>
      </c>
      <c r="C208" s="34"/>
      <c r="D208" s="91"/>
      <c r="E208" s="92"/>
      <c r="F208" s="93"/>
      <c r="G208" s="77"/>
      <c r="H208" s="17"/>
      <c r="I208" s="17"/>
      <c r="J208" s="17"/>
      <c r="K208" s="18"/>
      <c r="L208" s="74"/>
      <c r="M208" s="74"/>
      <c r="N208" s="73"/>
      <c r="O208" s="17"/>
      <c r="P208" s="17"/>
      <c r="Q208" s="73"/>
      <c r="R208" s="18"/>
      <c r="S208" s="74"/>
      <c r="T208" s="74"/>
      <c r="U208" s="73"/>
      <c r="V208" s="76"/>
      <c r="AQ208" s="17"/>
      <c r="AR208" s="17"/>
      <c r="AS208" s="17"/>
    </row>
    <row r="209" spans="1:45" ht="12.75" x14ac:dyDescent="0.35">
      <c r="A209" s="153"/>
      <c r="B209" s="20" t="str">
        <f>Config!B48</f>
        <v>2026_C_PR_B1_CONFIG46</v>
      </c>
      <c r="C209" s="34"/>
      <c r="D209" s="91"/>
      <c r="E209" s="92"/>
      <c r="F209" s="93"/>
      <c r="G209" s="77"/>
      <c r="H209" s="17"/>
      <c r="I209" s="17"/>
      <c r="J209" s="17"/>
      <c r="K209" s="18"/>
      <c r="L209" s="74"/>
      <c r="M209" s="74"/>
      <c r="N209" s="73"/>
      <c r="O209" s="17"/>
      <c r="P209" s="17"/>
      <c r="Q209" s="73"/>
      <c r="R209" s="18"/>
      <c r="S209" s="74"/>
      <c r="T209" s="74"/>
      <c r="U209" s="73"/>
      <c r="V209" s="76"/>
      <c r="AQ209" s="17"/>
      <c r="AR209" s="17"/>
      <c r="AS209" s="17"/>
    </row>
    <row r="210" spans="1:45" ht="12.75" x14ac:dyDescent="0.35">
      <c r="A210" s="153"/>
      <c r="B210" s="20" t="str">
        <f>Config!B49</f>
        <v>2026_C_PR_B1_CONFIG47</v>
      </c>
      <c r="C210" s="34"/>
      <c r="D210" s="91"/>
      <c r="E210" s="92"/>
      <c r="F210" s="93"/>
      <c r="G210" s="77"/>
      <c r="H210" s="17"/>
      <c r="I210" s="17"/>
      <c r="J210" s="17"/>
      <c r="K210" s="18"/>
      <c r="L210" s="74"/>
      <c r="M210" s="74"/>
      <c r="N210" s="73"/>
      <c r="O210" s="17"/>
      <c r="P210" s="17"/>
      <c r="Q210" s="73"/>
      <c r="R210" s="18"/>
      <c r="S210" s="74"/>
      <c r="T210" s="74"/>
      <c r="U210" s="73"/>
      <c r="V210" s="76"/>
      <c r="AQ210" s="17"/>
      <c r="AR210" s="17"/>
      <c r="AS210" s="17"/>
    </row>
    <row r="211" spans="1:45" ht="12.75" x14ac:dyDescent="0.35">
      <c r="A211" s="154"/>
      <c r="B211" s="23" t="str">
        <f>Config!B50</f>
        <v>2026_C_PR_B1_CONFIG48</v>
      </c>
      <c r="C211" s="34"/>
      <c r="D211" s="91"/>
      <c r="E211" s="92"/>
      <c r="F211" s="93"/>
      <c r="G211" s="78"/>
      <c r="H211" s="11"/>
      <c r="I211" s="11"/>
      <c r="J211" s="11"/>
      <c r="K211" s="12"/>
      <c r="L211" s="81"/>
      <c r="M211" s="81"/>
      <c r="N211" s="80"/>
      <c r="O211" s="11"/>
      <c r="P211" s="11"/>
      <c r="Q211" s="80"/>
      <c r="R211" s="12"/>
      <c r="S211" s="81"/>
      <c r="T211" s="81"/>
      <c r="U211" s="80"/>
      <c r="V211" s="84"/>
      <c r="AQ211" s="17"/>
      <c r="AR211" s="17"/>
      <c r="AS211" s="17"/>
    </row>
    <row r="212" spans="1:45" ht="12.75" x14ac:dyDescent="0.35">
      <c r="A212" s="99"/>
      <c r="B212" s="17"/>
      <c r="C212" s="37"/>
      <c r="D212" s="37"/>
      <c r="E212" s="37"/>
      <c r="F212" s="37"/>
      <c r="G212" s="17"/>
      <c r="H212" s="17"/>
      <c r="M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</row>
    <row r="213" spans="1:45" ht="12.75" x14ac:dyDescent="0.35">
      <c r="A213" s="164" t="s">
        <v>124</v>
      </c>
      <c r="B213" s="160"/>
      <c r="C213" s="164" t="s">
        <v>125</v>
      </c>
      <c r="D213" s="159"/>
      <c r="E213" s="160"/>
      <c r="F213" s="17"/>
      <c r="G213" s="17"/>
      <c r="L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:45" ht="12.75" x14ac:dyDescent="0.35">
      <c r="A214" s="154"/>
      <c r="B214" s="165"/>
      <c r="C214" s="100" t="s">
        <v>126</v>
      </c>
      <c r="D214" s="101" t="s">
        <v>127</v>
      </c>
      <c r="E214" s="102" t="s">
        <v>128</v>
      </c>
      <c r="F214" s="17"/>
      <c r="G214" s="17"/>
      <c r="L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:45" ht="12.75" x14ac:dyDescent="0.35">
      <c r="A215" s="161" t="s">
        <v>129</v>
      </c>
      <c r="B215" s="159"/>
      <c r="C215" s="103" t="s">
        <v>81</v>
      </c>
      <c r="D215" s="62">
        <v>0</v>
      </c>
      <c r="E215" s="40">
        <v>0</v>
      </c>
      <c r="F215" s="17"/>
      <c r="G215" s="17"/>
      <c r="L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:45" ht="12.75" x14ac:dyDescent="0.35">
      <c r="A216" s="153"/>
      <c r="B216" s="157"/>
      <c r="C216" s="43" t="s">
        <v>130</v>
      </c>
      <c r="D216" s="34">
        <f>Config!J2</f>
        <v>0.36099999999999999</v>
      </c>
      <c r="E216" s="18">
        <f>Config!D2</f>
        <v>6308</v>
      </c>
      <c r="F216" s="17"/>
      <c r="G216" s="17"/>
      <c r="L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:45" ht="12.75" x14ac:dyDescent="0.35">
      <c r="A217" s="153"/>
      <c r="B217" s="157"/>
      <c r="C217" s="43" t="s">
        <v>84</v>
      </c>
      <c r="D217" s="34">
        <f>D216+G3</f>
        <v>7.0510000000000002</v>
      </c>
      <c r="E217" s="18">
        <f>Config!D2</f>
        <v>6308</v>
      </c>
      <c r="F217" s="17"/>
      <c r="G217" s="17"/>
      <c r="L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</row>
    <row r="218" spans="1:45" ht="12.75" x14ac:dyDescent="0.35">
      <c r="A218" s="153"/>
      <c r="B218" s="157"/>
      <c r="C218" s="43" t="s">
        <v>131</v>
      </c>
      <c r="D218" s="34">
        <f>D217+I4</f>
        <v>7.2220000000000004</v>
      </c>
      <c r="E218" s="18">
        <v>0</v>
      </c>
      <c r="F218" s="17"/>
      <c r="G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:45" ht="12.75" x14ac:dyDescent="0.35">
      <c r="A219" s="161" t="s">
        <v>132</v>
      </c>
      <c r="B219" s="159"/>
      <c r="C219" s="103" t="s">
        <v>81</v>
      </c>
      <c r="D219" s="62">
        <v>0</v>
      </c>
      <c r="E219" s="40">
        <v>0</v>
      </c>
      <c r="F219" s="17"/>
      <c r="G219" s="17"/>
      <c r="L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</row>
    <row r="220" spans="1:45" ht="12.75" x14ac:dyDescent="0.35">
      <c r="A220" s="153"/>
      <c r="B220" s="157"/>
      <c r="C220" s="43" t="s">
        <v>130</v>
      </c>
      <c r="D220" s="34">
        <f>F12</f>
        <v>0.4</v>
      </c>
      <c r="E220" s="18">
        <f>Config!D9</f>
        <v>1</v>
      </c>
      <c r="F220" s="17"/>
      <c r="G220" s="17"/>
      <c r="L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:45" ht="12.75" x14ac:dyDescent="0.35">
      <c r="A221" s="153"/>
      <c r="B221" s="157"/>
      <c r="C221" s="43" t="s">
        <v>84</v>
      </c>
      <c r="D221" s="34">
        <f>D220+G11</f>
        <v>0.4</v>
      </c>
      <c r="E221" s="18">
        <f>Config!D9</f>
        <v>1</v>
      </c>
      <c r="F221" s="17"/>
      <c r="G221" s="17"/>
      <c r="L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</row>
    <row r="222" spans="1:45" ht="12.75" x14ac:dyDescent="0.35">
      <c r="A222" s="154"/>
      <c r="B222" s="163"/>
      <c r="C222" s="45" t="s">
        <v>131</v>
      </c>
      <c r="D222" s="83">
        <f>D221+I11</f>
        <v>0.60000000000000009</v>
      </c>
      <c r="E222" s="12">
        <v>0</v>
      </c>
      <c r="F222" s="17"/>
      <c r="G222" s="17"/>
      <c r="L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:45" ht="12.75" x14ac:dyDescent="0.35">
      <c r="A223" s="161" t="s">
        <v>133</v>
      </c>
      <c r="B223" s="159"/>
      <c r="C223" s="103" t="s">
        <v>81</v>
      </c>
      <c r="D223" s="62">
        <v>0</v>
      </c>
      <c r="E223" s="40">
        <v>0</v>
      </c>
      <c r="F223" s="17"/>
      <c r="G223" s="17"/>
      <c r="L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</row>
    <row r="224" spans="1:45" ht="12.75" x14ac:dyDescent="0.35">
      <c r="A224" s="153"/>
      <c r="B224" s="157"/>
      <c r="C224" s="43" t="s">
        <v>130</v>
      </c>
      <c r="D224" s="34">
        <f>F9</f>
        <v>0.4</v>
      </c>
      <c r="E224" s="18">
        <f>Config!D3</f>
        <v>5000</v>
      </c>
      <c r="F224" s="17"/>
      <c r="G224" s="17"/>
      <c r="L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:45" ht="12.75" x14ac:dyDescent="0.35">
      <c r="A225" s="153"/>
      <c r="B225" s="157"/>
      <c r="C225" s="43" t="s">
        <v>84</v>
      </c>
      <c r="D225" s="34">
        <f>D224+G5</f>
        <v>0.4</v>
      </c>
      <c r="E225" s="18">
        <f>Config!D3</f>
        <v>5000</v>
      </c>
      <c r="G225" s="17"/>
      <c r="H225" s="17"/>
      <c r="M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 spans="1:45" ht="12.75" x14ac:dyDescent="0.35">
      <c r="A226" s="154"/>
      <c r="B226" s="163"/>
      <c r="C226" s="45" t="s">
        <v>131</v>
      </c>
      <c r="D226" s="83">
        <f>D225+I5</f>
        <v>0.60000000000000009</v>
      </c>
      <c r="E226" s="12">
        <v>0</v>
      </c>
      <c r="G226" s="17"/>
      <c r="H226" s="17"/>
      <c r="M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</row>
    <row r="227" spans="1:45" ht="12.75" x14ac:dyDescent="0.35">
      <c r="G227" s="17"/>
      <c r="H227" s="17"/>
      <c r="M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</row>
    <row r="228" spans="1:45" ht="12.75" x14ac:dyDescent="0.35">
      <c r="G228" s="17"/>
      <c r="H228" s="17"/>
      <c r="M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</row>
    <row r="229" spans="1:45" ht="12.75" x14ac:dyDescent="0.35">
      <c r="G229" s="17"/>
      <c r="H229" s="17"/>
      <c r="M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</row>
    <row r="230" spans="1:45" ht="12.75" x14ac:dyDescent="0.35">
      <c r="E230" s="17"/>
      <c r="G230" s="17"/>
      <c r="H230" s="17"/>
      <c r="M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</row>
  </sheetData>
  <mergeCells count="39">
    <mergeCell ref="A223:B226"/>
    <mergeCell ref="A155:A158"/>
    <mergeCell ref="A164:A175"/>
    <mergeCell ref="A176:A187"/>
    <mergeCell ref="A188:A193"/>
    <mergeCell ref="A194:A199"/>
    <mergeCell ref="A200:A207"/>
    <mergeCell ref="A208:A211"/>
    <mergeCell ref="A162:B163"/>
    <mergeCell ref="A213:B214"/>
    <mergeCell ref="C213:E213"/>
    <mergeCell ref="A215:B218"/>
    <mergeCell ref="A219:B222"/>
    <mergeCell ref="G160:K160"/>
    <mergeCell ref="L160:R160"/>
    <mergeCell ref="S160:V160"/>
    <mergeCell ref="A109:B110"/>
    <mergeCell ref="A111:A122"/>
    <mergeCell ref="A123:A134"/>
    <mergeCell ref="A135:A140"/>
    <mergeCell ref="A141:A146"/>
    <mergeCell ref="A147:A154"/>
    <mergeCell ref="G107:K107"/>
    <mergeCell ref="L107:R107"/>
    <mergeCell ref="S107:V107"/>
    <mergeCell ref="A49:A52"/>
    <mergeCell ref="A56:B57"/>
    <mergeCell ref="A58:A69"/>
    <mergeCell ref="A70:A81"/>
    <mergeCell ref="A82:A87"/>
    <mergeCell ref="A88:A93"/>
    <mergeCell ref="A35:A40"/>
    <mergeCell ref="A41:A48"/>
    <mergeCell ref="A94:A101"/>
    <mergeCell ref="A102:A105"/>
    <mergeCell ref="A3:B4"/>
    <mergeCell ref="A5:A16"/>
    <mergeCell ref="A17:A28"/>
    <mergeCell ref="A29:A34"/>
  </mergeCells>
  <phoneticPr fontId="6" type="noConversion"/>
  <conditionalFormatting sqref="A1:AS230">
    <cfRule type="expression" dxfId="2" priority="1">
      <formula>OR(A1="N.D.", A1="N.A.")</formula>
    </cfRule>
  </conditionalFormatting>
  <conditionalFormatting sqref="Q109:Q158 U109:U158 Q162:Q211 U162:U211">
    <cfRule type="cellIs" dxfId="1" priority="2" operator="lessThanOrEqual">
      <formula>0</formula>
    </cfRule>
  </conditionalFormatting>
  <printOptions horizontalCentered="1"/>
  <pageMargins left="0" right="0" top="0" bottom="0" header="0" footer="0"/>
  <pageSetup paperSize="9" fitToHeight="0" pageOrder="overThenDown" orientation="landscape"/>
  <drawing r:id="rId1"/>
  <legacyDrawing r:id="rId2"/>
  <tableParts count="5"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1010"/>
  <sheetViews>
    <sheetView topLeftCell="A30" workbookViewId="0">
      <pane xSplit="3" topLeftCell="D1" activePane="topRight" state="frozen"/>
      <selection pane="topRight" activeCell="C46" sqref="C46"/>
    </sheetView>
  </sheetViews>
  <sheetFormatPr defaultColWidth="12.59765625" defaultRowHeight="15.75" customHeight="1" x14ac:dyDescent="0.35"/>
  <cols>
    <col min="1" max="1" width="0.3984375" customWidth="1"/>
    <col min="2" max="2" width="3.265625" customWidth="1"/>
    <col min="3" max="3" width="22.265625" customWidth="1"/>
    <col min="4" max="4" width="14.86328125" customWidth="1"/>
    <col min="5" max="5" width="11.73046875" customWidth="1"/>
    <col min="6" max="6" width="15.59765625" customWidth="1"/>
    <col min="7" max="7" width="11.73046875" customWidth="1"/>
    <col min="8" max="8" width="15.86328125" customWidth="1"/>
    <col min="9" max="9" width="19.73046875" customWidth="1"/>
    <col min="10" max="10" width="18.3984375" customWidth="1"/>
    <col min="11" max="11" width="10.86328125" customWidth="1"/>
    <col min="12" max="12" width="13.59765625" customWidth="1"/>
    <col min="13" max="13" width="15.73046875" customWidth="1"/>
    <col min="14" max="14" width="14.1328125" customWidth="1"/>
    <col min="15" max="15" width="50.46484375" customWidth="1"/>
    <col min="17" max="17" width="3.265625" customWidth="1"/>
    <col min="18" max="18" width="22.265625" customWidth="1"/>
    <col min="20" max="20" width="19" customWidth="1"/>
    <col min="21" max="21" width="17" customWidth="1"/>
    <col min="22" max="22" width="49.86328125" customWidth="1"/>
    <col min="23" max="34" width="16.59765625" customWidth="1"/>
  </cols>
  <sheetData>
    <row r="1" spans="1:34" ht="1.5" customHeight="1" x14ac:dyDescent="0.35"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</row>
    <row r="2" spans="1:34" ht="12.75" x14ac:dyDescent="0.35">
      <c r="A2" s="105"/>
      <c r="B2" s="176" t="s">
        <v>134</v>
      </c>
      <c r="C2" s="160"/>
      <c r="D2" s="106" t="s">
        <v>135</v>
      </c>
      <c r="E2" s="177" t="s">
        <v>96</v>
      </c>
      <c r="F2" s="160"/>
      <c r="G2" s="177" t="s">
        <v>110</v>
      </c>
      <c r="H2" s="160"/>
      <c r="I2" s="177" t="s">
        <v>128</v>
      </c>
      <c r="J2" s="159"/>
      <c r="K2" s="176" t="s">
        <v>136</v>
      </c>
      <c r="L2" s="179" t="s">
        <v>137</v>
      </c>
      <c r="M2" s="159"/>
      <c r="N2" s="160"/>
      <c r="O2" s="180" t="s">
        <v>12</v>
      </c>
      <c r="P2" s="105"/>
      <c r="Q2" s="176" t="s">
        <v>138</v>
      </c>
      <c r="R2" s="160"/>
      <c r="S2" s="182" t="s">
        <v>139</v>
      </c>
      <c r="T2" s="182" t="s">
        <v>140</v>
      </c>
      <c r="U2" s="183" t="s">
        <v>141</v>
      </c>
      <c r="V2" s="184" t="s">
        <v>12</v>
      </c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</row>
    <row r="3" spans="1:34" ht="12.75" x14ac:dyDescent="0.35">
      <c r="B3" s="154"/>
      <c r="C3" s="165"/>
      <c r="D3" s="107" t="s">
        <v>142</v>
      </c>
      <c r="E3" s="108" t="s">
        <v>142</v>
      </c>
      <c r="F3" s="107" t="s">
        <v>143</v>
      </c>
      <c r="G3" s="108" t="s">
        <v>142</v>
      </c>
      <c r="H3" s="107" t="s">
        <v>143</v>
      </c>
      <c r="I3" s="109" t="s">
        <v>144</v>
      </c>
      <c r="J3" s="110" t="s">
        <v>145</v>
      </c>
      <c r="K3" s="154"/>
      <c r="L3" s="111" t="s">
        <v>146</v>
      </c>
      <c r="M3" s="109" t="s">
        <v>147</v>
      </c>
      <c r="N3" s="107" t="s">
        <v>148</v>
      </c>
      <c r="O3" s="181"/>
      <c r="Q3" s="154"/>
      <c r="R3" s="165"/>
      <c r="S3" s="165"/>
      <c r="T3" s="165"/>
      <c r="U3" s="163"/>
      <c r="V3" s="181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</row>
    <row r="4" spans="1:34" ht="25.5" x14ac:dyDescent="0.35">
      <c r="B4" s="178" t="s">
        <v>13</v>
      </c>
      <c r="C4" s="169"/>
      <c r="D4" s="12">
        <f>Budget!E56</f>
        <v>2.605</v>
      </c>
      <c r="E4" s="11">
        <f>Budget!R109</f>
        <v>13.647</v>
      </c>
      <c r="F4" s="12">
        <f>Budget!Q109</f>
        <v>2.67</v>
      </c>
      <c r="G4" s="11">
        <f>Budget!R162</f>
        <v>9.6389999999999993</v>
      </c>
      <c r="H4" s="12">
        <f>Budget!Q162</f>
        <v>0.52700000000000002</v>
      </c>
      <c r="I4" s="11">
        <f>Config!D2</f>
        <v>6308</v>
      </c>
      <c r="J4" s="12" t="s">
        <v>149</v>
      </c>
      <c r="K4" s="17">
        <f>Config!M2</f>
        <v>36167</v>
      </c>
      <c r="L4" s="42">
        <f>Budget!F4</f>
        <v>0.36099999999999999</v>
      </c>
      <c r="M4" s="11">
        <f>Budget!G3</f>
        <v>6.69</v>
      </c>
      <c r="N4" s="12">
        <f>Budget!I4</f>
        <v>0.17100000000000001</v>
      </c>
      <c r="O4" s="14" t="s">
        <v>150</v>
      </c>
      <c r="Q4" s="178" t="s">
        <v>13</v>
      </c>
      <c r="R4" s="169"/>
      <c r="S4" s="112" t="s">
        <v>151</v>
      </c>
      <c r="T4" s="112" t="s">
        <v>151</v>
      </c>
      <c r="U4" s="113" t="s">
        <v>151</v>
      </c>
      <c r="V4" s="114" t="s">
        <v>152</v>
      </c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</row>
    <row r="5" spans="1:34" ht="12.75" x14ac:dyDescent="0.35">
      <c r="B5" s="152" t="s">
        <v>15</v>
      </c>
      <c r="C5" s="15" t="str">
        <f>Config!B3</f>
        <v>2026_C_PR_B3_CONFIG1</v>
      </c>
      <c r="D5" s="18">
        <f>Budget!E58</f>
        <v>5.2103700000000002</v>
      </c>
      <c r="E5" s="17">
        <f>Budget!R111 - Budget!L111 - Budget!M111 - Budget!Q111</f>
        <v>0.21809999999999996</v>
      </c>
      <c r="F5" s="18">
        <f>Budget!Q111</f>
        <v>0.57699999999999996</v>
      </c>
      <c r="G5" s="17">
        <f>Budget!R164 -Budget!Q164</f>
        <v>2.2829595650696588E-2</v>
      </c>
      <c r="H5" s="18">
        <f>Budget!Q164</f>
        <v>0.40500000000000003</v>
      </c>
      <c r="I5" s="17">
        <f>Config!D3</f>
        <v>5000</v>
      </c>
      <c r="J5" s="17">
        <f>Config!D3</f>
        <v>5000</v>
      </c>
      <c r="K5" s="38">
        <f>Config!M3</f>
        <v>0</v>
      </c>
      <c r="L5" s="17">
        <f>Budget!F5</f>
        <v>0.4</v>
      </c>
      <c r="M5" s="17">
        <f>Budget!G5</f>
        <v>0</v>
      </c>
      <c r="N5" s="18">
        <f>Budget!I5</f>
        <v>0.2</v>
      </c>
      <c r="O5" s="19" t="str">
        <f>Config!N3</f>
        <v>B3, dry mass = est, thrust iteration for exit velocity</v>
      </c>
      <c r="Q5" s="152" t="s">
        <v>15</v>
      </c>
      <c r="R5" s="15" t="str">
        <f>Config!B3</f>
        <v>2026_C_PR_B3_CONFIG1</v>
      </c>
      <c r="S5" s="115"/>
      <c r="T5" s="116"/>
      <c r="U5" s="117"/>
      <c r="V5" s="118" t="str">
        <f>Config!N3</f>
        <v>B3, dry mass = est, thrust iteration for exit velocity</v>
      </c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</row>
    <row r="6" spans="1:34" ht="12.75" x14ac:dyDescent="0.35">
      <c r="B6" s="153"/>
      <c r="C6" s="20" t="str">
        <f>Config!B4</f>
        <v>2025_C_PR_B3_CONFIG2</v>
      </c>
      <c r="D6" s="18">
        <f>Budget!E59</f>
        <v>5.2103700000000002</v>
      </c>
      <c r="E6" s="17">
        <f>Budget!R112 - Budget!L112 - Budget!M112 - Budget!Q112</f>
        <v>0.21809999999999996</v>
      </c>
      <c r="F6" s="18">
        <f>Budget!Q112</f>
        <v>0.57699999999999996</v>
      </c>
      <c r="G6" s="17">
        <f>Budget!R165 -Budget!Q165</f>
        <v>2.5112555215766219E-2</v>
      </c>
      <c r="H6" s="18">
        <f>Budget!Q165</f>
        <v>0.40500000000000003</v>
      </c>
      <c r="I6" s="17">
        <f>Config!D4</f>
        <v>5500</v>
      </c>
      <c r="J6" s="17">
        <f>Config!D4</f>
        <v>5500</v>
      </c>
      <c r="K6" s="33">
        <f>Config!M4</f>
        <v>0</v>
      </c>
      <c r="L6" s="17">
        <f>Budget!F6</f>
        <v>0.4</v>
      </c>
      <c r="M6" s="17">
        <f>Budget!G6</f>
        <v>0</v>
      </c>
      <c r="N6" s="18">
        <f>Budget!I6</f>
        <v>0.2</v>
      </c>
      <c r="O6" s="19" t="str">
        <f>Config!N4</f>
        <v>B3, dry mass = est, thrust iteration for exit velocity</v>
      </c>
      <c r="Q6" s="153"/>
      <c r="R6" s="20" t="str">
        <f>Config!B4</f>
        <v>2025_C_PR_B3_CONFIG2</v>
      </c>
      <c r="S6" s="115"/>
      <c r="T6" s="116"/>
      <c r="U6" s="117"/>
      <c r="V6" s="118" t="str">
        <f>Config!N4</f>
        <v>B3, dry mass = est, thrust iteration for exit velocity</v>
      </c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</row>
    <row r="7" spans="1:34" ht="12.75" x14ac:dyDescent="0.35">
      <c r="B7" s="153"/>
      <c r="C7" s="20" t="str">
        <f>Config!B5</f>
        <v>2026_C_PR_B3_CONFIG3</v>
      </c>
      <c r="D7" s="18">
        <f>Budget!E60</f>
        <v>5.2103700000000002</v>
      </c>
      <c r="E7" s="17">
        <f>Budget!R113 - Budget!L113 - Budget!M113 - Budget!Q113</f>
        <v>0.21809999999999996</v>
      </c>
      <c r="F7" s="18">
        <f>Budget!Q113</f>
        <v>0.57699999999999996</v>
      </c>
      <c r="G7" s="17">
        <f>Budget!R166 -Budget!Q166</f>
        <v>2.7395514780835906E-2</v>
      </c>
      <c r="H7" s="18">
        <f>Budget!Q166</f>
        <v>0.40500000000000003</v>
      </c>
      <c r="I7" s="17">
        <f>Config!D5</f>
        <v>6000</v>
      </c>
      <c r="J7" s="17">
        <f>Config!D5</f>
        <v>6000</v>
      </c>
      <c r="K7" s="33">
        <f>Config!M5</f>
        <v>0</v>
      </c>
      <c r="L7" s="17">
        <f>Budget!F7</f>
        <v>0.4</v>
      </c>
      <c r="M7" s="17">
        <f>Budget!G7</f>
        <v>0</v>
      </c>
      <c r="N7" s="18">
        <f>Budget!I7</f>
        <v>0.2</v>
      </c>
      <c r="O7" s="19" t="str">
        <f>Config!N5</f>
        <v>B3, dry mass = est, thrust iteration for exit velocity</v>
      </c>
      <c r="Q7" s="153"/>
      <c r="R7" s="20" t="str">
        <f>Config!B5</f>
        <v>2026_C_PR_B3_CONFIG3</v>
      </c>
      <c r="S7" s="115"/>
      <c r="T7" s="116"/>
      <c r="U7" s="117"/>
      <c r="V7" s="118" t="str">
        <f>Config!N5</f>
        <v>B3, dry mass = est, thrust iteration for exit velocity</v>
      </c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</row>
    <row r="8" spans="1:34" ht="12.75" x14ac:dyDescent="0.35">
      <c r="B8" s="153"/>
      <c r="C8" s="21" t="str">
        <f>Config!B6</f>
        <v>2025_C_PR_B3_CONFIG4</v>
      </c>
      <c r="D8" s="18">
        <f>Budget!E61</f>
        <v>5.2103700000000002</v>
      </c>
      <c r="E8" s="17">
        <f>Budget!R114 - Budget!L114 - Budget!M114 - Budget!Q114</f>
        <v>9.3924119266055026</v>
      </c>
      <c r="F8" s="18">
        <f>Budget!Q114</f>
        <v>0.57699999999999996</v>
      </c>
      <c r="G8" s="17">
        <f>Budget!R167 -Budget!Q167</f>
        <v>6.6046020217465164</v>
      </c>
      <c r="H8" s="18">
        <f>Budget!Q167</f>
        <v>0.40500000000000003</v>
      </c>
      <c r="I8" s="17">
        <f>Config!D6</f>
        <v>6500</v>
      </c>
      <c r="J8" s="17">
        <f>Config!D6</f>
        <v>6500</v>
      </c>
      <c r="K8" s="33">
        <v>36000</v>
      </c>
      <c r="L8" s="17">
        <f>Budget!F8</f>
        <v>0.4</v>
      </c>
      <c r="M8" s="17">
        <f>Budget!G8</f>
        <v>5.5384615384615383</v>
      </c>
      <c r="N8" s="18">
        <f>Budget!I8</f>
        <v>0.2</v>
      </c>
      <c r="O8" s="19" t="str">
        <f>Config!N6</f>
        <v>B3, dry mass = est, thrust iteration for exit velocity</v>
      </c>
      <c r="Q8" s="153"/>
      <c r="R8" s="20" t="str">
        <f>Config!B6</f>
        <v>2025_C_PR_B3_CONFIG4</v>
      </c>
      <c r="S8" s="119">
        <v>3172</v>
      </c>
      <c r="T8" s="116">
        <v>3.601</v>
      </c>
      <c r="U8" s="117">
        <v>30.556999999999999</v>
      </c>
      <c r="V8" s="118" t="str">
        <f>Config!N6</f>
        <v>B3, dry mass = est, thrust iteration for exit velocity</v>
      </c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</row>
    <row r="9" spans="1:34" ht="12.75" x14ac:dyDescent="0.35">
      <c r="B9" s="153"/>
      <c r="C9" s="25" t="str">
        <f>Config!B7</f>
        <v>2026_C_PR_B3_CONFIG5</v>
      </c>
      <c r="D9" s="18">
        <f>Budget!E62</f>
        <v>5.2103700000000002</v>
      </c>
      <c r="E9" s="17">
        <f>Budget!R115 - Budget!L115 - Budget!M115 - Budget!Q115</f>
        <v>9.3924119266055044</v>
      </c>
      <c r="F9" s="18">
        <f>Budget!Q115</f>
        <v>0.57699999999999996</v>
      </c>
      <c r="G9" s="17">
        <f>Budget!R168 -Budget!Q168</f>
        <v>6.6068849813115866</v>
      </c>
      <c r="H9" s="18">
        <f>Budget!Q168</f>
        <v>0.40500000000000003</v>
      </c>
      <c r="I9" s="17">
        <f>Config!D7</f>
        <v>7000</v>
      </c>
      <c r="J9" s="17">
        <f>Config!D7</f>
        <v>7000</v>
      </c>
      <c r="K9" s="33">
        <v>36000</v>
      </c>
      <c r="L9" s="17">
        <f>Budget!F9</f>
        <v>0.4</v>
      </c>
      <c r="M9" s="17">
        <f>Budget!G9</f>
        <v>5.1428571428571432</v>
      </c>
      <c r="N9" s="18">
        <f>Budget!I9</f>
        <v>0.2</v>
      </c>
      <c r="O9" s="19" t="str">
        <f>Config!N7</f>
        <v>B3, dry mass = est, thrust iteration for exit velocity</v>
      </c>
      <c r="Q9" s="153"/>
      <c r="R9" s="20" t="str">
        <f>Config!B7</f>
        <v>2026_C_PR_B3_CONFIG5</v>
      </c>
      <c r="S9" s="120">
        <v>3267</v>
      </c>
      <c r="T9" s="121">
        <v>3.6</v>
      </c>
      <c r="U9" s="122">
        <v>31.951000000000001</v>
      </c>
      <c r="V9" s="118" t="str">
        <f>Config!N7</f>
        <v>B3, dry mass = est, thrust iteration for exit velocity</v>
      </c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</row>
    <row r="10" spans="1:34" ht="12.75" x14ac:dyDescent="0.35">
      <c r="B10" s="153"/>
      <c r="C10" s="20" t="str">
        <f>Config!B8</f>
        <v>2025_C_PR_B3_CONFIG6</v>
      </c>
      <c r="D10" s="18">
        <f>Budget!E63</f>
        <v>5.2103700000000002</v>
      </c>
      <c r="E10" s="17">
        <f>Budget!R116 - Budget!L116 - Budget!M116 - Budget!Q116</f>
        <v>0.21809999999999996</v>
      </c>
      <c r="F10" s="18">
        <f>Budget!Q116</f>
        <v>0.57699999999999996</v>
      </c>
      <c r="G10" s="17">
        <f>Budget!R169 -Budget!Q169</f>
        <v>3.4244393476044854E-2</v>
      </c>
      <c r="H10" s="18">
        <f>Budget!Q169</f>
        <v>0.40500000000000003</v>
      </c>
      <c r="I10" s="17">
        <f>Config!D8</f>
        <v>7500</v>
      </c>
      <c r="J10" s="17">
        <f>Config!D8</f>
        <v>7500</v>
      </c>
      <c r="K10" s="33">
        <f>Config!M8</f>
        <v>0</v>
      </c>
      <c r="L10" s="17">
        <f>Budget!F10</f>
        <v>0.4</v>
      </c>
      <c r="M10" s="17">
        <f>Budget!G10</f>
        <v>0</v>
      </c>
      <c r="N10" s="18">
        <f>Budget!I10</f>
        <v>0.2</v>
      </c>
      <c r="O10" s="19" t="str">
        <f>Config!N8</f>
        <v>B3, dry mass = est, thrust iteration for exit velocity</v>
      </c>
      <c r="Q10" s="153"/>
      <c r="R10" s="20" t="str">
        <f>Config!B8</f>
        <v>2025_C_PR_B3_CONFIG6</v>
      </c>
      <c r="S10" s="115"/>
      <c r="T10" s="116"/>
      <c r="U10" s="117"/>
      <c r="V10" s="118" t="str">
        <f>Config!N8</f>
        <v>B3, dry mass = est, thrust iteration for exit velocity</v>
      </c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</row>
    <row r="11" spans="1:34" ht="12.75" x14ac:dyDescent="0.35">
      <c r="B11" s="153"/>
      <c r="C11" s="20" t="str">
        <f>Config!B9</f>
        <v>2026_C_PR_B3_CONFIG7</v>
      </c>
      <c r="D11" s="18">
        <f>Budget!E64</f>
        <v>5.2103700000000002</v>
      </c>
      <c r="E11" s="17">
        <f>Budget!R117 - Budget!L117 - Budget!M117 - Budget!Q117</f>
        <v>0.21809999999999996</v>
      </c>
      <c r="F11" s="18">
        <f>Budget!Q117</f>
        <v>0.57699999999999996</v>
      </c>
      <c r="G11" s="17">
        <f>Budget!R170 -Budget!Q170</f>
        <v>4.5659191301172797E-6</v>
      </c>
      <c r="H11" s="18">
        <f>Budget!Q170</f>
        <v>0.40500000000000003</v>
      </c>
      <c r="I11" s="17">
        <f>Config!D9</f>
        <v>1</v>
      </c>
      <c r="J11" s="17">
        <f>Config!D9</f>
        <v>1</v>
      </c>
      <c r="K11" s="33">
        <f>Config!M9</f>
        <v>0</v>
      </c>
      <c r="L11" s="17">
        <f>Budget!F11</f>
        <v>0.4</v>
      </c>
      <c r="M11" s="17">
        <f>Budget!G11</f>
        <v>0</v>
      </c>
      <c r="N11" s="18">
        <f>Budget!I11</f>
        <v>0.2</v>
      </c>
      <c r="O11" s="19" t="str">
        <f>Config!N9</f>
        <v>B3, dry mass = est, thrust iteration for exit velocity</v>
      </c>
      <c r="Q11" s="153"/>
      <c r="R11" s="20" t="str">
        <f>Config!B9</f>
        <v>2026_C_PR_B3_CONFIG7</v>
      </c>
      <c r="S11" s="115"/>
      <c r="T11" s="116"/>
      <c r="U11" s="117"/>
      <c r="V11" s="118" t="str">
        <f>Config!N9</f>
        <v>B3, dry mass = est, thrust iteration for exit velocity</v>
      </c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</row>
    <row r="12" spans="1:34" ht="12.75" x14ac:dyDescent="0.35">
      <c r="B12" s="153"/>
      <c r="C12" s="20" t="str">
        <f>Config!B10</f>
        <v>2025_C_PR_B3_CONFIG8</v>
      </c>
      <c r="D12" s="18">
        <f>Budget!E65</f>
        <v>5.2103700000000002</v>
      </c>
      <c r="E12" s="17">
        <f>Budget!R118 - Budget!L118 - Budget!M118 - Budget!Q118</f>
        <v>0.21809999999999996</v>
      </c>
      <c r="F12" s="18">
        <f>Budget!Q118</f>
        <v>0.57699999999999996</v>
      </c>
      <c r="G12" s="17">
        <f>Budget!R171 -Budget!Q171</f>
        <v>4.5659191301172797E-6</v>
      </c>
      <c r="H12" s="18">
        <f>Budget!Q171</f>
        <v>0.40500000000000003</v>
      </c>
      <c r="I12" s="17">
        <f>Config!D10</f>
        <v>1</v>
      </c>
      <c r="J12" s="17">
        <f>Config!D10</f>
        <v>1</v>
      </c>
      <c r="K12" s="33">
        <f>Config!M10</f>
        <v>0</v>
      </c>
      <c r="L12" s="17">
        <f>Budget!F12</f>
        <v>0.4</v>
      </c>
      <c r="M12" s="17">
        <f>Budget!G12</f>
        <v>0</v>
      </c>
      <c r="N12" s="18">
        <f>Budget!I12</f>
        <v>0.2</v>
      </c>
      <c r="O12" s="19" t="str">
        <f>Config!N10</f>
        <v>B3, dry mass = est, thrust iteration for exit velocity</v>
      </c>
      <c r="Q12" s="153"/>
      <c r="R12" s="20" t="str">
        <f>Config!B10</f>
        <v>2025_C_PR_B3_CONFIG8</v>
      </c>
      <c r="S12" s="115"/>
      <c r="T12" s="116"/>
      <c r="U12" s="117"/>
      <c r="V12" s="118" t="str">
        <f>Config!N10</f>
        <v>B3, dry mass = est, thrust iteration for exit velocity</v>
      </c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</row>
    <row r="13" spans="1:34" ht="12.75" x14ac:dyDescent="0.35">
      <c r="B13" s="153"/>
      <c r="C13" s="20" t="str">
        <f>Config!B11</f>
        <v>2026_C_PR_B3_CONFIG9</v>
      </c>
      <c r="D13" s="18">
        <f>Budget!E66</f>
        <v>5.2103700000000002</v>
      </c>
      <c r="E13" s="17">
        <f>Budget!R119 - Budget!L119 - Budget!M119 - Budget!Q119</f>
        <v>0.21809999999999996</v>
      </c>
      <c r="F13" s="18">
        <f>Budget!Q119</f>
        <v>0.57699999999999996</v>
      </c>
      <c r="G13" s="17">
        <f>Budget!R172 -Budget!Q172</f>
        <v>4.5659191301172797E-6</v>
      </c>
      <c r="H13" s="18">
        <f>Budget!Q172</f>
        <v>0.40500000000000003</v>
      </c>
      <c r="I13" s="17">
        <f>Config!D11</f>
        <v>1</v>
      </c>
      <c r="J13" s="17">
        <f>Config!D11</f>
        <v>1</v>
      </c>
      <c r="K13" s="33">
        <f>Config!M11</f>
        <v>0</v>
      </c>
      <c r="L13" s="17">
        <f>Budget!F13</f>
        <v>0.4</v>
      </c>
      <c r="M13" s="17">
        <f>Budget!G13</f>
        <v>0</v>
      </c>
      <c r="N13" s="18">
        <f>Budget!I13</f>
        <v>0.2</v>
      </c>
      <c r="O13" s="19" t="str">
        <f>Config!N11</f>
        <v>B3, dry mass = est, thrust iteration for exit velocity</v>
      </c>
      <c r="Q13" s="153"/>
      <c r="R13" s="20" t="str">
        <f>Config!B11</f>
        <v>2026_C_PR_B3_CONFIG9</v>
      </c>
      <c r="S13" s="115"/>
      <c r="T13" s="116"/>
      <c r="U13" s="117"/>
      <c r="V13" s="118" t="str">
        <f>Config!N11</f>
        <v>B3, dry mass = est, thrust iteration for exit velocity</v>
      </c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</row>
    <row r="14" spans="1:34" ht="12.75" x14ac:dyDescent="0.35">
      <c r="B14" s="153"/>
      <c r="C14" s="20" t="str">
        <f>Config!B12</f>
        <v>2026_C_PR_B3_CONFIG10</v>
      </c>
      <c r="D14" s="18">
        <f>Budget!E67</f>
        <v>5.2103700000000002</v>
      </c>
      <c r="E14" s="17">
        <f>Budget!R120 - Budget!L120 - Budget!M120 - Budget!Q120</f>
        <v>0.21809999999999996</v>
      </c>
      <c r="F14" s="18">
        <f>Budget!Q120</f>
        <v>0.57699999999999996</v>
      </c>
      <c r="G14" s="17">
        <f>Budget!R173 -Budget!Q173</f>
        <v>4.5659191301172797E-6</v>
      </c>
      <c r="H14" s="18">
        <f>Budget!Q173</f>
        <v>0.40500000000000003</v>
      </c>
      <c r="I14" s="17">
        <f>Config!D12</f>
        <v>1</v>
      </c>
      <c r="J14" s="17">
        <f>Config!D12</f>
        <v>1</v>
      </c>
      <c r="K14" s="33">
        <f>Config!M12</f>
        <v>0</v>
      </c>
      <c r="L14" s="17">
        <f>Budget!F14</f>
        <v>0.4</v>
      </c>
      <c r="M14" s="17">
        <f>Budget!G14</f>
        <v>0</v>
      </c>
      <c r="N14" s="18">
        <f>Budget!I14</f>
        <v>0.2</v>
      </c>
      <c r="O14" s="19" t="str">
        <f>Config!N12</f>
        <v>B3, dry mass = est, thrust iteration for exit velocity</v>
      </c>
      <c r="Q14" s="153"/>
      <c r="R14" s="20" t="str">
        <f>Config!B12</f>
        <v>2026_C_PR_B3_CONFIG10</v>
      </c>
      <c r="S14" s="115"/>
      <c r="T14" s="116"/>
      <c r="U14" s="117"/>
      <c r="V14" s="118" t="str">
        <f>Config!N12</f>
        <v>B3, dry mass = est, thrust iteration for exit velocity</v>
      </c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</row>
    <row r="15" spans="1:34" ht="12.75" x14ac:dyDescent="0.35">
      <c r="B15" s="153"/>
      <c r="C15" s="20" t="str">
        <f>Config!B13</f>
        <v>2026_C_PR_B3_CONFIG11</v>
      </c>
      <c r="D15" s="18">
        <f>Budget!E68</f>
        <v>5.2103700000000002</v>
      </c>
      <c r="E15" s="17">
        <f>Budget!R121 - Budget!L121 - Budget!M121 - Budget!Q121</f>
        <v>0.21809999999999996</v>
      </c>
      <c r="F15" s="18">
        <f>Budget!Q121</f>
        <v>0.57699999999999996</v>
      </c>
      <c r="G15" s="17">
        <f>Budget!R174 -Budget!Q174</f>
        <v>4.5659191301172797E-6</v>
      </c>
      <c r="H15" s="18">
        <f>Budget!Q174</f>
        <v>0.40500000000000003</v>
      </c>
      <c r="I15" s="17">
        <f>Config!D13</f>
        <v>1</v>
      </c>
      <c r="J15" s="17">
        <f>Config!D13</f>
        <v>1</v>
      </c>
      <c r="K15" s="33">
        <f>Config!M13</f>
        <v>0</v>
      </c>
      <c r="L15" s="17">
        <f>Budget!F15</f>
        <v>0.4</v>
      </c>
      <c r="M15" s="17">
        <f>Budget!G15</f>
        <v>0</v>
      </c>
      <c r="N15" s="18">
        <f>Budget!I15</f>
        <v>0.2</v>
      </c>
      <c r="O15" s="19" t="str">
        <f>Config!N13</f>
        <v>B3, dry mass = est, thrust iteration for exit velocity</v>
      </c>
      <c r="Q15" s="153"/>
      <c r="R15" s="20" t="str">
        <f>Config!B13</f>
        <v>2026_C_PR_B3_CONFIG11</v>
      </c>
      <c r="S15" s="115"/>
      <c r="T15" s="115"/>
      <c r="U15" s="117"/>
      <c r="V15" s="118" t="str">
        <f>Config!N13</f>
        <v>B3, dry mass = est, thrust iteration for exit velocity</v>
      </c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</row>
    <row r="16" spans="1:34" ht="12.75" x14ac:dyDescent="0.35">
      <c r="B16" s="154"/>
      <c r="C16" s="23" t="str">
        <f>Config!B14</f>
        <v>2026_C_PR_B3_CONFIG12</v>
      </c>
      <c r="D16" s="12">
        <f>Budget!E69</f>
        <v>5.2103700000000002</v>
      </c>
      <c r="E16" s="11">
        <f>Budget!R122 - Budget!L122 - Budget!M122 - Budget!Q122</f>
        <v>0.21809999999999996</v>
      </c>
      <c r="F16" s="12">
        <f>Budget!Q122</f>
        <v>0.57699999999999996</v>
      </c>
      <c r="G16" s="11">
        <f>Budget!R175 -Budget!Q175</f>
        <v>4.5659191301172797E-6</v>
      </c>
      <c r="H16" s="12">
        <f>Budget!Q175</f>
        <v>0.40500000000000003</v>
      </c>
      <c r="I16" s="11">
        <f>Config!D14</f>
        <v>1</v>
      </c>
      <c r="J16" s="11">
        <f>Config!D14</f>
        <v>1</v>
      </c>
      <c r="K16" s="41">
        <f>Config!M14</f>
        <v>0</v>
      </c>
      <c r="L16" s="11">
        <f>Budget!F16</f>
        <v>0.4</v>
      </c>
      <c r="M16" s="11">
        <f>Budget!G16</f>
        <v>0</v>
      </c>
      <c r="N16" s="12">
        <f>Budget!I16</f>
        <v>0.2</v>
      </c>
      <c r="O16" s="14" t="str">
        <f>Config!N14</f>
        <v>B3, dry mass = est, thrust iteration for exit velocity</v>
      </c>
      <c r="Q16" s="154"/>
      <c r="R16" s="23" t="str">
        <f>Config!B14</f>
        <v>2026_C_PR_B3_CONFIG12</v>
      </c>
      <c r="S16" s="123"/>
      <c r="T16" s="123"/>
      <c r="U16" s="124"/>
      <c r="V16" s="114" t="str">
        <f>Config!N14</f>
        <v>B3, dry mass = est, thrust iteration for exit velocity</v>
      </c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</row>
    <row r="17" spans="2:34" ht="12.75" x14ac:dyDescent="0.35">
      <c r="B17" s="152" t="s">
        <v>29</v>
      </c>
      <c r="C17" s="20" t="str">
        <f>Config!B15</f>
        <v>2026_C_PR_B3_CONFIG13</v>
      </c>
      <c r="D17" s="18">
        <f>Budget!E70</f>
        <v>5.2103700000000002</v>
      </c>
      <c r="E17" s="17">
        <f>Budget!R123 - Budget!L123 - Budget!M123 - Budget!Q123</f>
        <v>0.21809999999999996</v>
      </c>
      <c r="F17" s="18">
        <f>Budget!Q123</f>
        <v>0.57699999999999996</v>
      </c>
      <c r="G17" s="17">
        <f>Budget!R176 -Budget!Q176</f>
        <v>2.2829595650696644E-2</v>
      </c>
      <c r="H17" s="18">
        <f>Budget!Q176</f>
        <v>0.40500000000000003</v>
      </c>
      <c r="I17" s="17">
        <f>Config!D15</f>
        <v>5000</v>
      </c>
      <c r="J17" s="17">
        <f>Config!D15</f>
        <v>5000</v>
      </c>
      <c r="K17" s="33">
        <f>Config!M15</f>
        <v>0</v>
      </c>
      <c r="L17" s="17">
        <f>Budget!F17</f>
        <v>0.4</v>
      </c>
      <c r="M17" s="17">
        <f>Budget!G17</f>
        <v>0</v>
      </c>
      <c r="N17" s="18">
        <f>Budget!I17</f>
        <v>0.2</v>
      </c>
      <c r="O17" s="19" t="str">
        <f>Config!N15</f>
        <v>B3, dry mass = est + 15%, thrust iteration for exit velocity</v>
      </c>
      <c r="Q17" s="152" t="s">
        <v>29</v>
      </c>
      <c r="R17" s="20" t="str">
        <f>Config!B15</f>
        <v>2026_C_PR_B3_CONFIG13</v>
      </c>
      <c r="S17" s="115"/>
      <c r="T17" s="115"/>
      <c r="U17" s="117"/>
      <c r="V17" s="118" t="str">
        <f>Config!N15</f>
        <v>B3, dry mass = est + 15%, thrust iteration for exit velocity</v>
      </c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</row>
    <row r="18" spans="2:34" ht="12.75" x14ac:dyDescent="0.35">
      <c r="B18" s="153"/>
      <c r="C18" s="20" t="str">
        <f>Config!B16</f>
        <v>2026_C_PR_B3_CONFIG14</v>
      </c>
      <c r="D18" s="18">
        <f>Budget!E71</f>
        <v>5.2103700000000002</v>
      </c>
      <c r="E18" s="17">
        <f>Budget!R124 - Budget!L124 - Budget!M124 - Budget!Q124</f>
        <v>0.21809999999999996</v>
      </c>
      <c r="F18" s="18">
        <f>Budget!Q124</f>
        <v>0.57699999999999996</v>
      </c>
      <c r="G18" s="17">
        <f>Budget!R177 -Budget!Q177</f>
        <v>2.511255521576633E-2</v>
      </c>
      <c r="H18" s="18">
        <f>Budget!Q177</f>
        <v>0.40500000000000003</v>
      </c>
      <c r="I18" s="17">
        <f>Config!D16</f>
        <v>5500</v>
      </c>
      <c r="J18" s="17">
        <f>Config!D16</f>
        <v>5500</v>
      </c>
      <c r="K18" s="33">
        <f>Config!M16</f>
        <v>0</v>
      </c>
      <c r="L18" s="17">
        <f>Budget!F18</f>
        <v>0.4</v>
      </c>
      <c r="M18" s="17">
        <f>Budget!G18</f>
        <v>0</v>
      </c>
      <c r="N18" s="18">
        <f>Budget!I18</f>
        <v>0.2</v>
      </c>
      <c r="O18" s="19" t="str">
        <f>Config!N16</f>
        <v>B3, dry mass = est + 15%, thrust iteration for exit velocity</v>
      </c>
      <c r="Q18" s="153"/>
      <c r="R18" s="20" t="str">
        <f>Config!B16</f>
        <v>2026_C_PR_B3_CONFIG14</v>
      </c>
      <c r="S18" s="125"/>
      <c r="T18" s="125"/>
      <c r="U18" s="125"/>
      <c r="V18" s="118" t="str">
        <f>Config!N16</f>
        <v>B3, dry mass = est + 15%, thrust iteration for exit velocity</v>
      </c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</row>
    <row r="19" spans="2:34" ht="12.75" x14ac:dyDescent="0.35">
      <c r="B19" s="153"/>
      <c r="C19" s="20" t="str">
        <f>Config!B17</f>
        <v>2026_C_PR_B3_CONFIG15</v>
      </c>
      <c r="D19" s="18">
        <f>Budget!E72</f>
        <v>5.2103700000000002</v>
      </c>
      <c r="E19" s="17">
        <f>Budget!R125 - Budget!L125 - Budget!M125 - Budget!Q125</f>
        <v>0.21809999999999996</v>
      </c>
      <c r="F19" s="18">
        <f>Budget!Q125</f>
        <v>0.57699999999999996</v>
      </c>
      <c r="G19" s="17">
        <f>Budget!R178 -Budget!Q178</f>
        <v>2.7395514780836017E-2</v>
      </c>
      <c r="H19" s="18">
        <f>Budget!Q178</f>
        <v>0.40500000000000003</v>
      </c>
      <c r="I19" s="17">
        <f>Config!D17</f>
        <v>6000</v>
      </c>
      <c r="J19" s="17">
        <f>Config!D17</f>
        <v>6000</v>
      </c>
      <c r="K19" s="33">
        <f>Config!M17</f>
        <v>0</v>
      </c>
      <c r="L19" s="17">
        <f>Budget!F19</f>
        <v>0.4</v>
      </c>
      <c r="M19" s="17">
        <f>Budget!G19</f>
        <v>0</v>
      </c>
      <c r="N19" s="18">
        <f>Budget!I19</f>
        <v>0.2</v>
      </c>
      <c r="O19" s="19" t="str">
        <f>Config!N17</f>
        <v>B3, dry mass = est + 15%, thrust iteration for exit velocity</v>
      </c>
      <c r="Q19" s="153"/>
      <c r="R19" s="20" t="str">
        <f>Config!B17</f>
        <v>2026_C_PR_B3_CONFIG15</v>
      </c>
      <c r="S19" s="126"/>
      <c r="T19" s="126"/>
      <c r="U19" s="54"/>
      <c r="V19" s="118" t="str">
        <f>Config!N17</f>
        <v>B3, dry mass = est + 15%, thrust iteration for exit velocity</v>
      </c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</row>
    <row r="20" spans="2:34" ht="12.75" x14ac:dyDescent="0.35">
      <c r="B20" s="153"/>
      <c r="C20" s="20" t="str">
        <f>Config!B18</f>
        <v>2026_C_PR_B3_CONFIG16</v>
      </c>
      <c r="D20" s="18">
        <f>Budget!E73</f>
        <v>5.2103700000000002</v>
      </c>
      <c r="E20" s="17">
        <f>Budget!R126 - Budget!L126 - Budget!M126 - Budget!Q126</f>
        <v>0.21809999999999996</v>
      </c>
      <c r="F20" s="18">
        <f>Budget!Q126</f>
        <v>0.57699999999999996</v>
      </c>
      <c r="G20" s="17">
        <f>Budget!R179 -Budget!Q179</f>
        <v>2.9678474345905648E-2</v>
      </c>
      <c r="H20" s="18">
        <f>Budget!Q179</f>
        <v>0.40500000000000003</v>
      </c>
      <c r="I20" s="17">
        <f>Config!D18</f>
        <v>6500</v>
      </c>
      <c r="J20" s="17">
        <f>Config!D18</f>
        <v>6500</v>
      </c>
      <c r="K20" s="33">
        <f>Config!M18</f>
        <v>0</v>
      </c>
      <c r="L20" s="17">
        <f>Budget!F20</f>
        <v>0.4</v>
      </c>
      <c r="M20" s="17">
        <f>Budget!G20</f>
        <v>0</v>
      </c>
      <c r="N20" s="18">
        <f>Budget!I20</f>
        <v>0.2</v>
      </c>
      <c r="O20" s="19" t="str">
        <f>Config!N18</f>
        <v>B3, dry mass = est + 15%, thrust iteration for exit velocity</v>
      </c>
      <c r="Q20" s="153"/>
      <c r="R20" s="20" t="str">
        <f>Config!B18</f>
        <v>2026_C_PR_B3_CONFIG16</v>
      </c>
      <c r="S20" s="125"/>
      <c r="T20" s="126"/>
      <c r="U20" s="54"/>
      <c r="V20" s="118" t="str">
        <f>Config!N18</f>
        <v>B3, dry mass = est + 15%, thrust iteration for exit velocity</v>
      </c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</row>
    <row r="21" spans="2:34" ht="12.75" x14ac:dyDescent="0.35">
      <c r="B21" s="153"/>
      <c r="C21" s="20" t="str">
        <f>Config!B19</f>
        <v>2026_C_PR_B3_CONFIG17</v>
      </c>
      <c r="D21" s="18">
        <f>Budget!E74</f>
        <v>5.2103700000000002</v>
      </c>
      <c r="E21" s="17">
        <f>Budget!R127 - Budget!L127 - Budget!M127 - Budget!Q127</f>
        <v>0.21809999999999996</v>
      </c>
      <c r="F21" s="18">
        <f>Budget!Q127</f>
        <v>0.57699999999999996</v>
      </c>
      <c r="G21" s="17">
        <f>Budget!R180 -Budget!Q180</f>
        <v>3.1961433910975334E-2</v>
      </c>
      <c r="H21" s="18">
        <f>Budget!Q180</f>
        <v>0.40499999999999903</v>
      </c>
      <c r="I21" s="17">
        <f>Config!D19</f>
        <v>7000</v>
      </c>
      <c r="J21" s="17">
        <f>Config!D19</f>
        <v>7000</v>
      </c>
      <c r="K21" s="33">
        <f>Config!M19</f>
        <v>0</v>
      </c>
      <c r="L21" s="17">
        <f>Budget!F21</f>
        <v>0.4</v>
      </c>
      <c r="M21" s="17">
        <f>Budget!G21</f>
        <v>0</v>
      </c>
      <c r="N21" s="18">
        <f>Budget!I21</f>
        <v>0.2</v>
      </c>
      <c r="O21" s="19" t="str">
        <f>Config!N19</f>
        <v>B3, dry mass = est + 15%, thrust iteration for exit velocity</v>
      </c>
      <c r="Q21" s="153"/>
      <c r="R21" s="20" t="str">
        <f>Config!B19</f>
        <v>2026_C_PR_B3_CONFIG17</v>
      </c>
      <c r="S21" s="126"/>
      <c r="T21" s="126"/>
      <c r="U21" s="54"/>
      <c r="V21" s="118" t="str">
        <f>Config!N19</f>
        <v>B3, dry mass = est + 15%, thrust iteration for exit velocity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</row>
    <row r="22" spans="2:34" ht="12.75" x14ac:dyDescent="0.35">
      <c r="B22" s="153"/>
      <c r="C22" s="25" t="str">
        <f>Config!B20</f>
        <v>2026_C_PR_B3_CONFIG18</v>
      </c>
      <c r="D22" s="18">
        <f>Budget!E75</f>
        <v>5.2103700000000002</v>
      </c>
      <c r="E22" s="17">
        <f>Budget!R128 - Budget!L128 - Budget!M128 - Budget!Q128</f>
        <v>9.3924119266055062</v>
      </c>
      <c r="F22" s="18">
        <f>Budget!Q128</f>
        <v>0.57699999999999996</v>
      </c>
      <c r="G22" s="17">
        <f>Budget!R181 -Budget!Q181</f>
        <v>6.6091679408766568</v>
      </c>
      <c r="H22" s="18">
        <f>Budget!Q181</f>
        <v>0.40500000000000003</v>
      </c>
      <c r="I22" s="17">
        <f>Config!D20</f>
        <v>7500</v>
      </c>
      <c r="J22" s="17">
        <f>Config!D20</f>
        <v>7500</v>
      </c>
      <c r="K22" s="33">
        <v>36000</v>
      </c>
      <c r="L22" s="17">
        <f>Budget!F22</f>
        <v>0.4</v>
      </c>
      <c r="M22" s="17">
        <f>Budget!G22</f>
        <v>4.8</v>
      </c>
      <c r="N22" s="18">
        <f>Budget!I22</f>
        <v>0.2</v>
      </c>
      <c r="O22" s="19" t="str">
        <f>Config!N20</f>
        <v>B3, dry mass = est + 15%, thrust iteration for exit velocity</v>
      </c>
      <c r="Q22" s="153"/>
      <c r="R22" s="20" t="str">
        <f>Config!B20</f>
        <v>2026_C_PR_B3_CONFIG18</v>
      </c>
      <c r="S22" s="115">
        <v>2740</v>
      </c>
      <c r="T22" s="115">
        <v>3.6880000000000002</v>
      </c>
      <c r="U22" s="116">
        <v>31.696000000000002</v>
      </c>
      <c r="V22" s="118" t="str">
        <f>Config!N20</f>
        <v>B3, dry mass = est + 15%, thrust iteration for exit velocity</v>
      </c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</row>
    <row r="23" spans="2:34" ht="12.75" x14ac:dyDescent="0.35">
      <c r="B23" s="153"/>
      <c r="C23" s="21" t="str">
        <f>Config!B21</f>
        <v>2026_C_PR_B3_CONFIG19</v>
      </c>
      <c r="D23" s="18">
        <f>Budget!E76</f>
        <v>5.2103700000000002</v>
      </c>
      <c r="E23" s="17">
        <f>Budget!R129 - Budget!L129 - Budget!M129 - Budget!Q129</f>
        <v>9.3924119266055062</v>
      </c>
      <c r="F23" s="18">
        <f>Budget!Q129</f>
        <v>0.57699999999999996</v>
      </c>
      <c r="G23" s="17">
        <f>Budget!R182 -Budget!Q182</f>
        <v>6.6114509004417288</v>
      </c>
      <c r="H23" s="18">
        <f>Budget!Q182</f>
        <v>0.40499999999999903</v>
      </c>
      <c r="I23" s="17">
        <f>Config!D21</f>
        <v>8000</v>
      </c>
      <c r="J23" s="17">
        <f>Config!D21</f>
        <v>8000</v>
      </c>
      <c r="K23" s="33">
        <f>Config!M21</f>
        <v>38400</v>
      </c>
      <c r="L23" s="17">
        <f>Budget!F23</f>
        <v>0.4</v>
      </c>
      <c r="M23" s="17">
        <f>Budget!G23</f>
        <v>4.5</v>
      </c>
      <c r="N23" s="18">
        <f>Budget!I23</f>
        <v>0.2</v>
      </c>
      <c r="O23" s="19" t="str">
        <f>Config!N21</f>
        <v>B3, dry mass = est + 15%, thrust iteration for exit velocity</v>
      </c>
      <c r="Q23" s="153"/>
      <c r="R23" s="20" t="str">
        <f>Config!B21</f>
        <v>2026_C_PR_B3_CONFIG19</v>
      </c>
      <c r="S23" s="119">
        <v>2777</v>
      </c>
      <c r="T23" s="115">
        <v>3.6659999999999999</v>
      </c>
      <c r="U23" s="122">
        <v>32.817</v>
      </c>
      <c r="V23" s="118" t="str">
        <f>Config!N21</f>
        <v>B3, dry mass = est + 15%, thrust iteration for exit velocity</v>
      </c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</row>
    <row r="24" spans="2:34" ht="12.75" x14ac:dyDescent="0.35">
      <c r="B24" s="153"/>
      <c r="C24" s="20" t="str">
        <f>Config!B22</f>
        <v>2026_C_PR_B3_CONFIG20</v>
      </c>
      <c r="D24" s="18">
        <f>Budget!E77</f>
        <v>5.2103700000000002</v>
      </c>
      <c r="E24" s="17">
        <f>Budget!R130 - Budget!L130 - Budget!M130 - Budget!Q130</f>
        <v>0.21809999999999985</v>
      </c>
      <c r="F24" s="18">
        <f>Budget!Q130</f>
        <v>0.57699999999999996</v>
      </c>
      <c r="G24" s="17">
        <f>Budget!R183 -Budget!Q183</f>
        <v>4.5659191301172797E-6</v>
      </c>
      <c r="H24" s="18">
        <f>Budget!Q183</f>
        <v>0.40499999999999903</v>
      </c>
      <c r="I24" s="17">
        <f>Config!D22</f>
        <v>1</v>
      </c>
      <c r="J24" s="17">
        <f>Config!D22</f>
        <v>1</v>
      </c>
      <c r="K24" s="33">
        <f>Config!M22</f>
        <v>0</v>
      </c>
      <c r="L24" s="17">
        <f>Budget!F24</f>
        <v>0.4</v>
      </c>
      <c r="M24" s="17">
        <f>Budget!G24</f>
        <v>0</v>
      </c>
      <c r="N24" s="18">
        <f>Budget!I24</f>
        <v>0.2</v>
      </c>
      <c r="O24" s="19" t="str">
        <f>Config!N22</f>
        <v>B3, dry mass = est + 15%, thrust iteration for exit velocity</v>
      </c>
      <c r="Q24" s="153"/>
      <c r="R24" s="20" t="str">
        <f>Config!B22</f>
        <v>2026_C_PR_B3_CONFIG20</v>
      </c>
      <c r="S24" s="126"/>
      <c r="T24" s="126"/>
      <c r="U24" s="54"/>
      <c r="V24" s="118" t="str">
        <f>Config!N22</f>
        <v>B3, dry mass = est + 15%, thrust iteration for exit velocity</v>
      </c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</row>
    <row r="25" spans="2:34" ht="12.75" x14ac:dyDescent="0.35">
      <c r="B25" s="153"/>
      <c r="C25" s="20" t="str">
        <f>Config!B23</f>
        <v>2026_C_PR_B3_CONFIG21</v>
      </c>
      <c r="D25" s="18">
        <f>Budget!E78</f>
        <v>5.2103700000000002</v>
      </c>
      <c r="E25" s="17">
        <f>Budget!R131 - Budget!L131 - Budget!M131 - Budget!Q131</f>
        <v>0.21809999999999985</v>
      </c>
      <c r="F25" s="18">
        <f>Budget!Q131</f>
        <v>0.57699999999999996</v>
      </c>
      <c r="G25" s="17">
        <f>Budget!R184 -Budget!Q184</f>
        <v>4.5659191301172797E-6</v>
      </c>
      <c r="H25" s="18">
        <f>Budget!Q184</f>
        <v>0.40499999999999903</v>
      </c>
      <c r="I25" s="17">
        <f>Config!D23</f>
        <v>1</v>
      </c>
      <c r="J25" s="17">
        <f>Config!D23</f>
        <v>1</v>
      </c>
      <c r="K25" s="33">
        <f>Config!M23</f>
        <v>0</v>
      </c>
      <c r="L25" s="17">
        <f>Budget!F25</f>
        <v>0.4</v>
      </c>
      <c r="M25" s="17">
        <f>Budget!G25</f>
        <v>0</v>
      </c>
      <c r="N25" s="18">
        <f>Budget!I25</f>
        <v>0.2</v>
      </c>
      <c r="O25" s="19" t="str">
        <f>Config!N23</f>
        <v>B3, dry mass = est + 15%, thrust iteration for exit velocity</v>
      </c>
      <c r="Q25" s="153"/>
      <c r="R25" s="20" t="str">
        <f>Config!B23</f>
        <v>2026_C_PR_B3_CONFIG21</v>
      </c>
      <c r="S25" s="116"/>
      <c r="T25" s="115"/>
      <c r="U25" s="117"/>
      <c r="V25" s="118" t="str">
        <f>Config!N23</f>
        <v>B3, dry mass = est + 15%, thrust iteration for exit velocity</v>
      </c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</row>
    <row r="26" spans="2:34" ht="12.75" x14ac:dyDescent="0.35">
      <c r="B26" s="153"/>
      <c r="C26" s="20" t="str">
        <f>Config!B24</f>
        <v>2026_C_PR_B3_CONFIG22</v>
      </c>
      <c r="D26" s="18">
        <f>Budget!E79</f>
        <v>5.2103700000000002</v>
      </c>
      <c r="E26" s="17">
        <f>Budget!R132 - Budget!L132 - Budget!M132 - Budget!Q132</f>
        <v>0.2181000000000004</v>
      </c>
      <c r="F26" s="18">
        <f>Budget!Q132</f>
        <v>0.57699999999999996</v>
      </c>
      <c r="G26" s="17">
        <f>Budget!R185 -Budget!Q185</f>
        <v>4.5659191301172797E-6</v>
      </c>
      <c r="H26" s="18">
        <f>Budget!Q185</f>
        <v>0.40500000000000003</v>
      </c>
      <c r="I26" s="17">
        <f>Config!D24</f>
        <v>1</v>
      </c>
      <c r="J26" s="17">
        <f>Config!D24</f>
        <v>1</v>
      </c>
      <c r="K26" s="33">
        <f>Config!M24</f>
        <v>0</v>
      </c>
      <c r="L26" s="17">
        <f>Budget!F26</f>
        <v>0.4</v>
      </c>
      <c r="M26" s="17">
        <f>Budget!G26</f>
        <v>0</v>
      </c>
      <c r="N26" s="18">
        <f>Budget!I26</f>
        <v>0.2</v>
      </c>
      <c r="O26" s="19" t="str">
        <f>Config!N24</f>
        <v>B3, dry mass = est + 15%, thrust iteration for exit velocity</v>
      </c>
      <c r="Q26" s="153"/>
      <c r="R26" s="20" t="str">
        <f>Config!B24</f>
        <v>2026_C_PR_B3_CONFIG22</v>
      </c>
      <c r="S26" s="115"/>
      <c r="T26" s="115"/>
      <c r="U26" s="117"/>
      <c r="V26" s="118" t="str">
        <f>Config!N24</f>
        <v>B3, dry mass = est + 15%, thrust iteration for exit velocity</v>
      </c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</row>
    <row r="27" spans="2:34" ht="12.75" x14ac:dyDescent="0.35">
      <c r="B27" s="153"/>
      <c r="C27" s="20" t="str">
        <f>Config!B25</f>
        <v>2026_C_PR_B3_CONFIG23</v>
      </c>
      <c r="D27" s="18">
        <f>Budget!E80</f>
        <v>5.2103700000000002</v>
      </c>
      <c r="E27" s="17">
        <f>Budget!R133 - Budget!L133 - Budget!M133 - Budget!Q133</f>
        <v>0.2181000000000004</v>
      </c>
      <c r="F27" s="18">
        <f>Budget!Q133</f>
        <v>0.57699999999999996</v>
      </c>
      <c r="G27" s="17">
        <f>Budget!R186 -Budget!Q186</f>
        <v>4.5659191301172797E-6</v>
      </c>
      <c r="H27" s="18">
        <f>Budget!Q186</f>
        <v>0.40500000000000003</v>
      </c>
      <c r="I27" s="17">
        <f>Config!D25</f>
        <v>1</v>
      </c>
      <c r="J27" s="17">
        <f>Config!D25</f>
        <v>1</v>
      </c>
      <c r="K27" s="33">
        <f>Config!M25</f>
        <v>0</v>
      </c>
      <c r="L27" s="17">
        <f>Budget!F27</f>
        <v>0.4</v>
      </c>
      <c r="M27" s="17">
        <f>Budget!G27</f>
        <v>0</v>
      </c>
      <c r="N27" s="18">
        <f>Budget!I27</f>
        <v>0.2</v>
      </c>
      <c r="O27" s="19" t="str">
        <f>Config!N25</f>
        <v>B3, dry mass = est + 15%, thrust iteration for exit velocity</v>
      </c>
      <c r="Q27" s="153"/>
      <c r="R27" s="20" t="str">
        <f>Config!B25</f>
        <v>2026_C_PR_B3_CONFIG23</v>
      </c>
      <c r="S27" s="116"/>
      <c r="T27" s="115"/>
      <c r="U27" s="117"/>
      <c r="V27" s="118" t="str">
        <f>Config!N25</f>
        <v>B3, dry mass = est + 15%, thrust iteration for exit velocity</v>
      </c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</row>
    <row r="28" spans="2:34" ht="12.75" x14ac:dyDescent="0.35">
      <c r="B28" s="154"/>
      <c r="C28" s="23" t="str">
        <f>Config!B26</f>
        <v>2026_C_PR_B3_CONFIG24</v>
      </c>
      <c r="D28" s="12">
        <f>Budget!E81</f>
        <v>5.2103700000000002</v>
      </c>
      <c r="E28" s="11">
        <f>Budget!R134 - Budget!L134 - Budget!M134 - Budget!Q134</f>
        <v>0.2181000000000004</v>
      </c>
      <c r="F28" s="12">
        <f>Budget!Q134</f>
        <v>0.57699999999999996</v>
      </c>
      <c r="G28" s="11">
        <f>Budget!R187 -Budget!Q187</f>
        <v>4.5659191301172797E-6</v>
      </c>
      <c r="H28" s="12">
        <f>Budget!Q187</f>
        <v>0.40500000000000003</v>
      </c>
      <c r="I28" s="11">
        <f>Config!D26</f>
        <v>1</v>
      </c>
      <c r="J28" s="11">
        <f>Config!D26</f>
        <v>1</v>
      </c>
      <c r="K28" s="41">
        <f>Config!M26</f>
        <v>0</v>
      </c>
      <c r="L28" s="11">
        <f>Budget!F28</f>
        <v>0.4</v>
      </c>
      <c r="M28" s="11">
        <f>Budget!G28</f>
        <v>0</v>
      </c>
      <c r="N28" s="12">
        <f>Budget!I28</f>
        <v>0.2</v>
      </c>
      <c r="O28" s="14" t="str">
        <f>Config!N26</f>
        <v>B3, dry mass = est + 15%, thrust iteration for exit velocity</v>
      </c>
      <c r="Q28" s="154"/>
      <c r="R28" s="23" t="str">
        <f>Config!B26</f>
        <v>2026_C_PR_B3_CONFIG24</v>
      </c>
      <c r="S28" s="127"/>
      <c r="T28" s="123"/>
      <c r="U28" s="124"/>
      <c r="V28" s="114" t="str">
        <f>Config!N26</f>
        <v>B3, dry mass = est + 15%, thrust iteration for exit velocity</v>
      </c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</row>
    <row r="29" spans="2:34" ht="12.75" x14ac:dyDescent="0.35">
      <c r="B29" s="152" t="s">
        <v>43</v>
      </c>
      <c r="C29" s="21" t="str">
        <f>Config!B27</f>
        <v>2026_C_PR_B3_CONFIG25</v>
      </c>
      <c r="D29" s="18">
        <f>Budget!E82</f>
        <v>5.2103700000000002</v>
      </c>
      <c r="E29" s="17">
        <f>Budget!R135 - Budget!L135 - Budget!M135 - Budget!Q135</f>
        <v>9.1375699286442416</v>
      </c>
      <c r="F29" s="18">
        <f>Budget!Q135</f>
        <v>0.57699999999999996</v>
      </c>
      <c r="G29" s="17">
        <f>Budget!R188 -Budget!Q188</f>
        <v>6.4242482161060144</v>
      </c>
      <c r="H29" s="18">
        <f>Budget!Q188</f>
        <v>0.40500000000000003</v>
      </c>
      <c r="I29" s="17">
        <f>Config!D27</f>
        <v>7000</v>
      </c>
      <c r="J29" s="17">
        <f>Config!D27</f>
        <v>7000</v>
      </c>
      <c r="K29" s="33">
        <f>Config!M27</f>
        <v>37100</v>
      </c>
      <c r="L29" s="17">
        <f>Budget!F29</f>
        <v>0.4</v>
      </c>
      <c r="M29" s="17">
        <f>Budget!G29</f>
        <v>5</v>
      </c>
      <c r="N29" s="18">
        <f>Budget!I29</f>
        <v>0.2</v>
      </c>
      <c r="O29" s="19" t="str">
        <f>Config!N27</f>
        <v>B3, dry mass = est, impulse iteration for apogee</v>
      </c>
      <c r="Q29" s="152" t="s">
        <v>43</v>
      </c>
      <c r="R29" s="20" t="str">
        <f>Config!B27</f>
        <v>2026_C_PR_B3_CONFIG25</v>
      </c>
      <c r="S29" s="115">
        <v>3008</v>
      </c>
      <c r="T29" s="115">
        <v>3.6219999999999999</v>
      </c>
      <c r="U29" s="117">
        <v>32.087000000000003</v>
      </c>
      <c r="V29" s="118" t="str">
        <f>Config!N27</f>
        <v>B3, dry mass = est, impulse iteration for apogee</v>
      </c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</row>
    <row r="30" spans="2:34" ht="12.75" x14ac:dyDescent="0.35">
      <c r="B30" s="153"/>
      <c r="C30" s="21" t="str">
        <f>Config!B28</f>
        <v>2026_C_PR_B3_CONFIG26</v>
      </c>
      <c r="D30" s="18">
        <f>Budget!E83</f>
        <v>5.2103700000000002</v>
      </c>
      <c r="E30" s="17">
        <f>Budget!R136 - Budget!L136 - Budget!M136 - Budget!Q136</f>
        <v>9.7746749235474031</v>
      </c>
      <c r="F30" s="18">
        <f>Budget!Q136</f>
        <v>0.57699999999999996</v>
      </c>
      <c r="G30" s="17">
        <f>Budget!R189 -Budget!Q189</f>
        <v>6.8808401291199459</v>
      </c>
      <c r="H30" s="18">
        <f>Budget!Q189</f>
        <v>0.40500000000000003</v>
      </c>
      <c r="I30" s="17">
        <f>Config!D28</f>
        <v>7000</v>
      </c>
      <c r="J30" s="17">
        <f>Config!D28</f>
        <v>7000</v>
      </c>
      <c r="K30" s="33">
        <f>Config!M28</f>
        <v>39600</v>
      </c>
      <c r="L30" s="17">
        <f>Budget!F30</f>
        <v>0.4</v>
      </c>
      <c r="M30" s="17">
        <f>Budget!G30</f>
        <v>5.3571428571428568</v>
      </c>
      <c r="N30" s="18">
        <f>Budget!I30</f>
        <v>0.2</v>
      </c>
      <c r="O30" s="19" t="str">
        <f>Config!N28</f>
        <v>B3, dry mass = est, impulse iteration for apogee</v>
      </c>
      <c r="Q30" s="153"/>
      <c r="R30" s="20" t="str">
        <f>Config!B28</f>
        <v>2026_C_PR_B3_CONFIG26</v>
      </c>
      <c r="S30" s="115">
        <v>3315</v>
      </c>
      <c r="T30" s="115">
        <v>3.5960000000000001</v>
      </c>
      <c r="U30" s="117">
        <v>31.928999999999998</v>
      </c>
      <c r="V30" s="118" t="str">
        <f>Config!N28</f>
        <v>B3, dry mass = est, impulse iteration for apogee</v>
      </c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</row>
    <row r="31" spans="2:34" ht="12.75" x14ac:dyDescent="0.35">
      <c r="B31" s="153"/>
      <c r="C31" s="21" t="str">
        <f>Config!B29</f>
        <v>2026_C_PR_B3_CONFIG27</v>
      </c>
      <c r="D31" s="18">
        <f>Budget!E84</f>
        <v>5.2103700000000002</v>
      </c>
      <c r="E31" s="17">
        <f>Budget!R137 - Budget!L137 - Budget!M137 - Budget!Q137</f>
        <v>9.3924119266055062</v>
      </c>
      <c r="F31" s="18">
        <f>Budget!Q137</f>
        <v>0.57699999999999996</v>
      </c>
      <c r="G31" s="17">
        <f>Budget!R190 -Budget!Q190</f>
        <v>6.6068849813115875</v>
      </c>
      <c r="H31" s="18">
        <f>Budget!Q190</f>
        <v>0.40500000000000003</v>
      </c>
      <c r="I31" s="17">
        <f>Config!D29</f>
        <v>7000</v>
      </c>
      <c r="J31" s="17">
        <f>Config!D29</f>
        <v>7000</v>
      </c>
      <c r="K31" s="33">
        <f>Config!M29</f>
        <v>38100</v>
      </c>
      <c r="L31" s="17">
        <f>Budget!F31</f>
        <v>0.4</v>
      </c>
      <c r="M31" s="17">
        <f>Budget!G31</f>
        <v>5.1428571428571432</v>
      </c>
      <c r="N31" s="18">
        <f>Budget!I31</f>
        <v>0.2</v>
      </c>
      <c r="O31" s="19" t="str">
        <f>Config!N29</f>
        <v>B3, dry mass = est, impulse iteration for apogee</v>
      </c>
      <c r="Q31" s="153"/>
      <c r="R31" s="20" t="str">
        <f>Config!B29</f>
        <v>2026_C_PR_B3_CONFIG27</v>
      </c>
      <c r="S31" s="115">
        <v>3129</v>
      </c>
      <c r="T31" s="115">
        <v>3.6120000000000001</v>
      </c>
      <c r="U31" s="117">
        <v>32.015999999999998</v>
      </c>
      <c r="V31" s="118" t="str">
        <f>Config!N29</f>
        <v>B3, dry mass = est, impulse iteration for apogee</v>
      </c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</row>
    <row r="32" spans="2:34" ht="12.75" x14ac:dyDescent="0.35">
      <c r="B32" s="153"/>
      <c r="C32" s="21" t="str">
        <f>Config!B30</f>
        <v>2026_C_PR_B3_CONFIG28</v>
      </c>
      <c r="D32" s="18">
        <f>Budget!E85</f>
        <v>5.2103700000000002</v>
      </c>
      <c r="E32" s="17">
        <f>Budget!R138 - Budget!L138 - Budget!M138 - Budget!Q138</f>
        <v>9.5198329255861385</v>
      </c>
      <c r="F32" s="18">
        <f>Budget!Q138</f>
        <v>0.57699999999999996</v>
      </c>
      <c r="G32" s="17">
        <f>Budget!R191 -Budget!Q191</f>
        <v>6.6982033639143737</v>
      </c>
      <c r="H32" s="18">
        <f>Budget!Q191</f>
        <v>0.40499999999999903</v>
      </c>
      <c r="I32" s="17">
        <f>Config!D30</f>
        <v>7000</v>
      </c>
      <c r="J32" s="17">
        <f>Config!D30</f>
        <v>7000</v>
      </c>
      <c r="K32" s="33">
        <f>Config!M30</f>
        <v>38600</v>
      </c>
      <c r="L32" s="17">
        <f>Budget!F32</f>
        <v>0.4</v>
      </c>
      <c r="M32" s="17">
        <f>Budget!G32</f>
        <v>5.2142857142857144</v>
      </c>
      <c r="N32" s="18">
        <f>Budget!I32</f>
        <v>0.2</v>
      </c>
      <c r="O32" s="19" t="str">
        <f>Config!N30</f>
        <v>B3, dry mass = est, impulse iteration for apogee</v>
      </c>
      <c r="Q32" s="153"/>
      <c r="R32" s="20" t="str">
        <f>Config!B30</f>
        <v>2026_C_PR_B3_CONFIG28</v>
      </c>
      <c r="S32" s="128">
        <v>3190</v>
      </c>
      <c r="T32" s="128">
        <v>3.6059999999999999</v>
      </c>
      <c r="U32" s="122">
        <v>31.991</v>
      </c>
      <c r="V32" s="118" t="str">
        <f>Config!N30</f>
        <v>B3, dry mass = est, impulse iteration for apogee</v>
      </c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</row>
    <row r="33" spans="2:34" ht="12.75" x14ac:dyDescent="0.35">
      <c r="B33" s="153"/>
      <c r="C33" s="25" t="str">
        <f>Config!B31</f>
        <v>2026_C_PR_B3_CONFIG29</v>
      </c>
      <c r="D33" s="18">
        <f>Budget!E86</f>
        <v>5.2103700000000002</v>
      </c>
      <c r="E33" s="17">
        <f>Budget!R139 - Budget!L139 - Budget!M139 - Budget!Q139</f>
        <v>9.5835434250764546</v>
      </c>
      <c r="F33" s="18">
        <f>Budget!Q139</f>
        <v>0.57699999999999996</v>
      </c>
      <c r="G33" s="17">
        <f>Budget!R192 -Budget!Q192</f>
        <v>6.7438625552157676</v>
      </c>
      <c r="H33" s="18">
        <f>Budget!Q192</f>
        <v>0.40499999999999903</v>
      </c>
      <c r="I33" s="17">
        <f>Config!D31</f>
        <v>7000</v>
      </c>
      <c r="J33" s="17">
        <f>Config!D31</f>
        <v>7000</v>
      </c>
      <c r="K33" s="33">
        <f>Config!M31</f>
        <v>38850</v>
      </c>
      <c r="L33" s="17">
        <f>Budget!F33</f>
        <v>0.4</v>
      </c>
      <c r="M33" s="17">
        <f>Budget!G33</f>
        <v>5.25</v>
      </c>
      <c r="N33" s="18">
        <f>Budget!I33</f>
        <v>0.2</v>
      </c>
      <c r="O33" s="19" t="str">
        <f>Config!N31</f>
        <v>B3, dry mass = est, impulse iteration for apogee</v>
      </c>
      <c r="Q33" s="153"/>
      <c r="R33" s="20" t="str">
        <f>Config!B31</f>
        <v>2026_C_PR_B3_CONFIG29</v>
      </c>
      <c r="S33" s="129">
        <v>3220</v>
      </c>
      <c r="T33" s="128">
        <v>3.6040000000000001</v>
      </c>
      <c r="U33" s="122">
        <v>31.975000000000001</v>
      </c>
      <c r="V33" s="118" t="str">
        <f>Config!N31</f>
        <v>B3, dry mass = est, impulse iteration for apogee</v>
      </c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</row>
    <row r="34" spans="2:34" ht="12.75" x14ac:dyDescent="0.35">
      <c r="B34" s="154"/>
      <c r="C34" s="23" t="str">
        <f>Config!B32</f>
        <v>2026_C_PR_B3_CONFIG30</v>
      </c>
      <c r="D34" s="12">
        <f>Budget!E87</f>
        <v>5.2103700000000002</v>
      </c>
      <c r="E34" s="11">
        <f>Budget!R140 - Budget!L140 - Budget!M140 - Budget!Q140</f>
        <v>0.21835484199796218</v>
      </c>
      <c r="F34" s="12">
        <f>Budget!Q140</f>
        <v>0.57699999999999996</v>
      </c>
      <c r="G34" s="11">
        <f>Budget!R193 -Budget!Q193</f>
        <v>1.8720268433569665E-4</v>
      </c>
      <c r="H34" s="12">
        <f>Budget!Q193</f>
        <v>0.40499999999999903</v>
      </c>
      <c r="I34" s="11">
        <f>Config!D32</f>
        <v>1</v>
      </c>
      <c r="J34" s="11">
        <f>Config!D32</f>
        <v>1</v>
      </c>
      <c r="K34" s="41">
        <f>Config!M32</f>
        <v>1.3</v>
      </c>
      <c r="L34" s="11">
        <f>Budget!F34</f>
        <v>0.4</v>
      </c>
      <c r="M34" s="11">
        <f>Budget!G34</f>
        <v>1</v>
      </c>
      <c r="N34" s="12">
        <f>Budget!I34</f>
        <v>0.2</v>
      </c>
      <c r="O34" s="14" t="str">
        <f>Config!N32</f>
        <v>B3, dry mass = est, impulse iteration for apogee</v>
      </c>
      <c r="Q34" s="154"/>
      <c r="R34" s="23" t="str">
        <f>Config!B32</f>
        <v>2026_C_PR_B3_CONFIG30</v>
      </c>
      <c r="S34" s="127"/>
      <c r="T34" s="127"/>
      <c r="U34" s="124"/>
      <c r="V34" s="114" t="str">
        <f>Config!N32</f>
        <v>B3, dry mass = est, impulse iteration for apogee</v>
      </c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</row>
    <row r="35" spans="2:34" ht="12.75" x14ac:dyDescent="0.35">
      <c r="B35" s="152" t="s">
        <v>51</v>
      </c>
      <c r="C35" s="25" t="str">
        <f>Config!B33</f>
        <v>2026_C_PR_B3_CONFIG31</v>
      </c>
      <c r="D35" s="18">
        <f>Budget!E88</f>
        <v>5.2103700000000002</v>
      </c>
      <c r="E35" s="17">
        <f>Budget!R141 - Budget!L141 - Budget!M141 - Budget!Q141</f>
        <v>10.258874719673805</v>
      </c>
      <c r="F35" s="18">
        <f>Budget!Q141</f>
        <v>0.57699999999999996</v>
      </c>
      <c r="G35" s="17">
        <f>Budget!R194 -Budget!Q194</f>
        <v>7.2324159021406746</v>
      </c>
      <c r="H35" s="18">
        <f>Budget!Q194</f>
        <v>0.40499999999999903</v>
      </c>
      <c r="I35" s="17">
        <f>Config!D33</f>
        <v>8000</v>
      </c>
      <c r="J35" s="17">
        <v>8000</v>
      </c>
      <c r="K35" s="33">
        <f>Config!M33</f>
        <v>39400</v>
      </c>
      <c r="L35" s="17">
        <f>Budget!F35</f>
        <v>0.4</v>
      </c>
      <c r="M35" s="17">
        <f>Budget!G35</f>
        <v>4.9249999999999998</v>
      </c>
      <c r="N35" s="18">
        <f>Budget!I35</f>
        <v>0.2</v>
      </c>
      <c r="O35" s="19" t="str">
        <f>Config!N33</f>
        <v>B3, dry mass = est + 15%, impulse iteration for apogee</v>
      </c>
      <c r="Q35" s="152" t="s">
        <v>51</v>
      </c>
      <c r="R35" s="20" t="str">
        <f>Config!B33</f>
        <v>2026_C_PR_B3_CONFIG31</v>
      </c>
      <c r="S35" s="128">
        <v>3192</v>
      </c>
      <c r="T35" s="128">
        <v>3.6549999999999998</v>
      </c>
      <c r="U35" s="122">
        <v>32.743000000000002</v>
      </c>
      <c r="V35" s="118" t="str">
        <f>Config!N33</f>
        <v>B3, dry mass = est + 15%, impulse iteration for apogee</v>
      </c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</row>
    <row r="36" spans="2:34" ht="12.75" x14ac:dyDescent="0.35">
      <c r="B36" s="153"/>
      <c r="C36" s="25" t="str">
        <f>Config!B34</f>
        <v>2026_C_PR_B3_CONFIG32</v>
      </c>
      <c r="D36" s="18">
        <f>Budget!E89</f>
        <v>5.2103699999999824</v>
      </c>
      <c r="E36" s="17">
        <f>Budget!R142 - Budget!L142 - Budget!M142 - Budget!Q142</f>
        <v>10.386295718654438</v>
      </c>
      <c r="F36" s="18">
        <f>Budget!Q142</f>
        <v>0.57699999999999996</v>
      </c>
      <c r="G36" s="17">
        <f>Budget!R195 -Budget!Q195</f>
        <v>7.3237342847434608</v>
      </c>
      <c r="H36" s="18">
        <f>Budget!Q195</f>
        <v>0.40499999999999903</v>
      </c>
      <c r="I36" s="17">
        <f>Config!D34</f>
        <v>8000</v>
      </c>
      <c r="J36" s="17">
        <v>8000</v>
      </c>
      <c r="K36" s="33">
        <f>Config!M34</f>
        <v>39900</v>
      </c>
      <c r="L36" s="17">
        <f>Budget!F36</f>
        <v>0.4</v>
      </c>
      <c r="M36" s="17">
        <f>Budget!G36</f>
        <v>4.9874999999999998</v>
      </c>
      <c r="N36" s="18">
        <f>Budget!I36</f>
        <v>0.2</v>
      </c>
      <c r="O36" s="19" t="str">
        <f>Config!N34</f>
        <v>B3, dry mass = est + 15%, impulse iteration for apogee</v>
      </c>
      <c r="Q36" s="153"/>
      <c r="R36" s="20" t="str">
        <f>Config!B34</f>
        <v>2026_C_PR_B3_CONFIG32</v>
      </c>
      <c r="S36" s="128">
        <v>3253</v>
      </c>
      <c r="T36" s="128">
        <v>3.6509999999999998</v>
      </c>
      <c r="U36" s="122">
        <v>32.713000000000001</v>
      </c>
      <c r="V36" s="118" t="str">
        <f>Config!N34</f>
        <v>B3, dry mass = est + 15%, impulse iteration for apogee</v>
      </c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</row>
    <row r="37" spans="2:34" ht="12.75" x14ac:dyDescent="0.35">
      <c r="B37" s="153"/>
      <c r="C37" s="20" t="str">
        <f>Config!B35</f>
        <v>2026_C_PR_B3_CONFIG33</v>
      </c>
      <c r="D37" s="18">
        <f>Budget!E90</f>
        <v>5.2103700000000002</v>
      </c>
      <c r="E37" s="17">
        <f>Budget!R143 - Budget!L143 - Budget!M143 - Budget!Q143</f>
        <v>0.82997563710499556</v>
      </c>
      <c r="F37" s="18">
        <f>Budget!Q143</f>
        <v>0.57699999999999996</v>
      </c>
      <c r="G37" s="17">
        <f>Budget!R196 -Budget!Q196</f>
        <v>0.4750382262996945</v>
      </c>
      <c r="H37" s="18">
        <f>Budget!Q196</f>
        <v>0.40499999999999903</v>
      </c>
      <c r="I37" s="17">
        <f>Config!D35</f>
        <v>8000</v>
      </c>
      <c r="J37" s="17">
        <v>8000</v>
      </c>
      <c r="K37" s="33">
        <f>Config!M35</f>
        <v>2401</v>
      </c>
      <c r="L37" s="17">
        <f>Budget!F37</f>
        <v>0.4</v>
      </c>
      <c r="M37" s="17">
        <f>Budget!G37</f>
        <v>0.30012499999999998</v>
      </c>
      <c r="N37" s="18">
        <f>Budget!I37</f>
        <v>0.2</v>
      </c>
      <c r="O37" s="19" t="str">
        <f>Config!N35</f>
        <v>B3, dry mass = est + 15%, impulse iteration for apogee</v>
      </c>
      <c r="Q37" s="153"/>
      <c r="R37" s="20" t="str">
        <f>Config!B35</f>
        <v>2026_C_PR_B3_CONFIG33</v>
      </c>
      <c r="S37" s="115"/>
      <c r="T37" s="115"/>
      <c r="U37" s="117"/>
      <c r="V37" s="118" t="str">
        <f>Config!N35</f>
        <v>B3, dry mass = est + 15%, impulse iteration for apogee</v>
      </c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</row>
    <row r="38" spans="2:34" ht="12.75" x14ac:dyDescent="0.35">
      <c r="B38" s="153"/>
      <c r="C38" s="20" t="str">
        <f>Config!B36</f>
        <v>2026_C_PR_B3_CONFIG34</v>
      </c>
      <c r="D38" s="18">
        <f>Budget!E91</f>
        <v>5.2103700000000002</v>
      </c>
      <c r="E38" s="17">
        <f>Budget!R144 - Budget!L144 - Budget!M144 - Budget!Q144</f>
        <v>0.82997563710499556</v>
      </c>
      <c r="F38" s="18">
        <f>Budget!Q144</f>
        <v>0.57699999999999996</v>
      </c>
      <c r="G38" s="17">
        <f>Budget!R197 -Budget!Q197</f>
        <v>0.4750382262996945</v>
      </c>
      <c r="H38" s="18">
        <f>Budget!Q197</f>
        <v>0.40499999999999903</v>
      </c>
      <c r="I38" s="17">
        <f>Config!D36</f>
        <v>8000</v>
      </c>
      <c r="J38" s="17">
        <v>8000</v>
      </c>
      <c r="K38" s="33">
        <f>Config!M36</f>
        <v>2401</v>
      </c>
      <c r="L38" s="17">
        <f>Budget!F38</f>
        <v>0.4</v>
      </c>
      <c r="M38" s="17">
        <f>Budget!G38</f>
        <v>0.30012499999999998</v>
      </c>
      <c r="N38" s="18">
        <f>Budget!I38</f>
        <v>0.2</v>
      </c>
      <c r="O38" s="19" t="str">
        <f>Config!N36</f>
        <v>B3, dry mass = est + 15%, impulse iteration for apogee</v>
      </c>
      <c r="Q38" s="153"/>
      <c r="R38" s="20" t="str">
        <f>Config!B36</f>
        <v>2026_C_PR_B3_CONFIG34</v>
      </c>
      <c r="S38" s="115"/>
      <c r="T38" s="115"/>
      <c r="U38" s="117"/>
      <c r="V38" s="118" t="str">
        <f>Config!N36</f>
        <v>B3, dry mass = est + 15%, impulse iteration for apogee</v>
      </c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</row>
    <row r="39" spans="2:34" ht="12.75" x14ac:dyDescent="0.35">
      <c r="B39" s="153"/>
      <c r="C39" s="20" t="str">
        <f>Config!B37</f>
        <v>2026_C_PR_B1_CONFIG35</v>
      </c>
      <c r="D39" s="18">
        <f>Budget!E92</f>
        <v>5.2103700000000002</v>
      </c>
      <c r="E39" s="17">
        <f>Budget!R145 - Budget!L145 - Budget!M145 - Budget!Q145</f>
        <v>0.21843129459735022</v>
      </c>
      <c r="F39" s="18">
        <f>Budget!Q145</f>
        <v>0.57699999999999996</v>
      </c>
      <c r="G39" s="17">
        <f>Budget!R198 -Budget!Q198</f>
        <v>0.16585011043153253</v>
      </c>
      <c r="H39" s="18">
        <f>Budget!Q198</f>
        <v>0.40499999999999903</v>
      </c>
      <c r="I39" s="17">
        <f>Config!D37</f>
        <v>1</v>
      </c>
      <c r="J39" s="17">
        <f>Config!D37</f>
        <v>1</v>
      </c>
      <c r="K39" s="33">
        <f>Config!M37</f>
        <v>1.3</v>
      </c>
      <c r="L39" s="17">
        <f>Budget!F39</f>
        <v>0.4</v>
      </c>
      <c r="M39" s="17">
        <f>Budget!G39</f>
        <v>1.3</v>
      </c>
      <c r="N39" s="18">
        <f>Budget!I39</f>
        <v>0.2</v>
      </c>
      <c r="O39" s="19" t="str">
        <f>Config!N37</f>
        <v>B3, dry mass = est + 15%, impulse iteration for apogee</v>
      </c>
      <c r="Q39" s="153"/>
      <c r="R39" s="20" t="str">
        <f>Config!B37</f>
        <v>2026_C_PR_B1_CONFIG35</v>
      </c>
      <c r="S39" s="115"/>
      <c r="T39" s="115"/>
      <c r="U39" s="117"/>
      <c r="V39" s="118" t="str">
        <f>Config!N37</f>
        <v>B3, dry mass = est + 15%, impulse iteration for apogee</v>
      </c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</row>
    <row r="40" spans="2:34" ht="12.75" x14ac:dyDescent="0.35">
      <c r="B40" s="154"/>
      <c r="C40" s="23" t="str">
        <f>Config!B38</f>
        <v>2026_C_PR_B1_CONFIG36</v>
      </c>
      <c r="D40" s="12">
        <f>Budget!E93</f>
        <v>5.2103700000000002</v>
      </c>
      <c r="E40" s="11">
        <f>Budget!R146 - Budget!L146 - Budget!M146 - Budget!Q146</f>
        <v>0.21843129459735022</v>
      </c>
      <c r="F40" s="12">
        <f>Budget!Q146</f>
        <v>0.57699999999999996</v>
      </c>
      <c r="G40" s="11">
        <f>Budget!R199 -Budget!Q199</f>
        <v>0.16585011043153253</v>
      </c>
      <c r="H40" s="12">
        <f>Budget!Q199</f>
        <v>0.40499999999999903</v>
      </c>
      <c r="I40" s="11">
        <f>Config!D38</f>
        <v>1</v>
      </c>
      <c r="J40" s="11">
        <f>Config!D38</f>
        <v>1</v>
      </c>
      <c r="K40" s="41">
        <f>Config!M38</f>
        <v>1.3</v>
      </c>
      <c r="L40" s="11">
        <f>Budget!F40</f>
        <v>0.4</v>
      </c>
      <c r="M40" s="11">
        <f>Budget!G40</f>
        <v>1.3</v>
      </c>
      <c r="N40" s="12">
        <f>Budget!I40</f>
        <v>0.2</v>
      </c>
      <c r="O40" s="14" t="str">
        <f>Config!N38</f>
        <v>B3, dry mass = est + 15%, impulse iteration for apogee</v>
      </c>
      <c r="Q40" s="154"/>
      <c r="R40" s="23" t="str">
        <f>Config!B38</f>
        <v>2026_C_PR_B1_CONFIG36</v>
      </c>
      <c r="S40" s="127"/>
      <c r="T40" s="127"/>
      <c r="U40" s="124"/>
      <c r="V40" s="114" t="str">
        <f>Config!N38</f>
        <v>B3, dry mass = est + 15%, impulse iteration for apogee</v>
      </c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</row>
    <row r="41" spans="2:34" ht="12.75" x14ac:dyDescent="0.35">
      <c r="B41" s="152" t="s">
        <v>59</v>
      </c>
      <c r="C41" s="21" t="str">
        <f>Config!B39</f>
        <v>2026_C_PR_B1_CONFIG37</v>
      </c>
      <c r="D41" s="16">
        <v>5.21</v>
      </c>
      <c r="E41" s="17">
        <f>Budget!R147 - Budget!L147 - Budget!M147 - Budget!Q147</f>
        <v>11.456632110091746</v>
      </c>
      <c r="F41" s="18">
        <f>Budget!Q147</f>
        <v>0.57699999999999996</v>
      </c>
      <c r="G41" s="17">
        <f>Budget!R200 -Budget!Q200</f>
        <v>8.1874076197757386</v>
      </c>
      <c r="H41" s="18">
        <f>Budget!Q200</f>
        <v>0.40499999999999903</v>
      </c>
      <c r="I41" s="17">
        <f>Config!D39</f>
        <v>7000</v>
      </c>
      <c r="J41" s="17">
        <f>Config!D39</f>
        <v>7000</v>
      </c>
      <c r="K41" s="33">
        <f>Config!M39</f>
        <v>38850</v>
      </c>
      <c r="L41" s="17">
        <f>Budget!F41</f>
        <v>0.4</v>
      </c>
      <c r="M41" s="17">
        <f>Budget!G41</f>
        <v>5.25</v>
      </c>
      <c r="N41" s="18">
        <f>Budget!I41</f>
        <v>0.2</v>
      </c>
      <c r="O41" s="19" t="str">
        <f>Config!N39</f>
        <v>B3, dry mass = est, ISP iteration</v>
      </c>
      <c r="Q41" s="152" t="s">
        <v>59</v>
      </c>
      <c r="R41" s="20" t="str">
        <f>Config!B39</f>
        <v>2026_C_PR_B1_CONFIG37</v>
      </c>
      <c r="S41" s="115">
        <v>3146</v>
      </c>
      <c r="T41" s="115">
        <v>3.532</v>
      </c>
      <c r="U41" s="117">
        <v>31.561</v>
      </c>
      <c r="V41" s="118" t="str">
        <f>Config!N39</f>
        <v>B3, dry mass = est, ISP iteration</v>
      </c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</row>
    <row r="42" spans="2:34" ht="12.75" x14ac:dyDescent="0.35">
      <c r="B42" s="153"/>
      <c r="C42" s="21" t="str">
        <f>Config!B40</f>
        <v>2026_C_PR_B1_CONFIG38</v>
      </c>
      <c r="D42" s="16">
        <v>5.21</v>
      </c>
      <c r="E42" s="17">
        <f>Budget!R148 - Budget!L148 - Budget!M148 - Budget!Q148</f>
        <v>11.182521570821214</v>
      </c>
      <c r="F42" s="18">
        <f>Budget!Q148</f>
        <v>0.57699999999999996</v>
      </c>
      <c r="G42" s="17">
        <f>Budget!R201 -Budget!Q201</f>
        <v>8.0037970680738919</v>
      </c>
      <c r="H42" s="18">
        <f>Budget!Q201</f>
        <v>0.40499999999999903</v>
      </c>
      <c r="I42" s="17">
        <f>Config!D40</f>
        <v>7000</v>
      </c>
      <c r="J42" s="17">
        <f>Config!D40</f>
        <v>7000</v>
      </c>
      <c r="K42" s="33">
        <f>Config!M40</f>
        <v>38850</v>
      </c>
      <c r="L42" s="17">
        <f>Budget!F42</f>
        <v>0.4</v>
      </c>
      <c r="M42" s="17">
        <f>Budget!G42</f>
        <v>5.25</v>
      </c>
      <c r="N42" s="18">
        <f>Budget!I42</f>
        <v>0.2</v>
      </c>
      <c r="O42" s="19" t="str">
        <f>Config!N40</f>
        <v>B3, dry mass = est, ISP iteration</v>
      </c>
      <c r="Q42" s="153"/>
      <c r="R42" s="20" t="str">
        <f>Config!B40</f>
        <v>2026_C_PR_B1_CONFIG38</v>
      </c>
      <c r="S42" s="115">
        <v>3156</v>
      </c>
      <c r="T42" s="115">
        <v>3.5419999999999998</v>
      </c>
      <c r="U42" s="117">
        <v>31.617999999999999</v>
      </c>
      <c r="V42" s="118" t="str">
        <f>Config!N40</f>
        <v>B3, dry mass = est, ISP iteration</v>
      </c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</row>
    <row r="43" spans="2:34" ht="12.75" x14ac:dyDescent="0.35">
      <c r="B43" s="153"/>
      <c r="C43" s="21" t="str">
        <f>Config!B41</f>
        <v>2026_C_PR_B1_CONFIG39</v>
      </c>
      <c r="D43" s="16">
        <v>5.21</v>
      </c>
      <c r="E43" s="17">
        <f>Budget!R149 - Budget!L149 - Budget!M149 - Budget!Q149</f>
        <v>10.921463914373092</v>
      </c>
      <c r="F43" s="18">
        <f>Budget!Q149</f>
        <v>0.57699999999999996</v>
      </c>
      <c r="G43" s="17">
        <f>Budget!R202 -Budget!Q202</f>
        <v>7.828929875976895</v>
      </c>
      <c r="H43" s="18">
        <f>Budget!Q202</f>
        <v>0.40499999999999903</v>
      </c>
      <c r="I43" s="17">
        <f>Config!D41</f>
        <v>7000</v>
      </c>
      <c r="J43" s="17">
        <f>Config!D41</f>
        <v>7000</v>
      </c>
      <c r="K43" s="33">
        <f>Config!M41</f>
        <v>38850</v>
      </c>
      <c r="L43" s="17">
        <f>Budget!F43</f>
        <v>0.4</v>
      </c>
      <c r="M43" s="17">
        <f>Budget!G43</f>
        <v>5.25</v>
      </c>
      <c r="N43" s="18">
        <f>Budget!I43</f>
        <v>0.2</v>
      </c>
      <c r="O43" s="19" t="str">
        <f>Config!N41</f>
        <v>B3, dry mass = est, ISP iteration</v>
      </c>
      <c r="Q43" s="153"/>
      <c r="R43" s="20" t="str">
        <f>Config!B41</f>
        <v>2026_C_PR_B1_CONFIG39</v>
      </c>
      <c r="S43" s="115">
        <v>3165</v>
      </c>
      <c r="T43" s="115">
        <v>3.5510000000000002</v>
      </c>
      <c r="U43" s="117">
        <v>31.675000000000001</v>
      </c>
      <c r="V43" s="118" t="str">
        <f>Config!N41</f>
        <v>B3, dry mass = est, ISP iteration</v>
      </c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</row>
    <row r="44" spans="2:34" ht="12.75" x14ac:dyDescent="0.35">
      <c r="B44" s="153"/>
      <c r="C44" s="21" t="str">
        <f>Config!B42</f>
        <v>2026_C_PR_B1_CONFIG40</v>
      </c>
      <c r="D44" s="16">
        <v>5.21</v>
      </c>
      <c r="E44" s="17">
        <f>Budget!R150 - Budget!L150 - Budget!M150 - Budget!Q150</f>
        <v>10.67254847450395</v>
      </c>
      <c r="F44" s="18">
        <f>Budget!Q150</f>
        <v>0.57699999999999996</v>
      </c>
      <c r="G44" s="17">
        <f>Budget!R203 -Budget!Q203</f>
        <v>7.662196041651848</v>
      </c>
      <c r="H44" s="18">
        <f>Budget!Q203</f>
        <v>0.40499999999999903</v>
      </c>
      <c r="I44" s="17">
        <f>Config!D42</f>
        <v>7000</v>
      </c>
      <c r="J44" s="17">
        <f>Config!D42</f>
        <v>7000</v>
      </c>
      <c r="K44" s="33">
        <f>Config!M42</f>
        <v>38850</v>
      </c>
      <c r="L44" s="17">
        <f>Budget!F44</f>
        <v>0.4</v>
      </c>
      <c r="M44" s="17">
        <f>Budget!G44</f>
        <v>5.25</v>
      </c>
      <c r="N44" s="18">
        <f>Budget!I44</f>
        <v>0.2</v>
      </c>
      <c r="O44" s="19" t="str">
        <f>Config!N42</f>
        <v>B3, dry mass = est, ISP iteration</v>
      </c>
      <c r="Q44" s="153"/>
      <c r="R44" s="20" t="str">
        <f>Config!B42</f>
        <v>2026_C_PR_B1_CONFIG40</v>
      </c>
      <c r="S44" s="115">
        <v>3175</v>
      </c>
      <c r="T44" s="115">
        <v>3.56</v>
      </c>
      <c r="U44" s="117">
        <v>31.728000000000002</v>
      </c>
      <c r="V44" s="118" t="str">
        <f>Config!N42</f>
        <v>B3, dry mass = est, ISP iteration</v>
      </c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</row>
    <row r="45" spans="2:34" ht="12.75" x14ac:dyDescent="0.35">
      <c r="B45" s="153"/>
      <c r="C45" s="21" t="str">
        <f>Config!B43</f>
        <v>2026_C_PR_B1_CONFIG41</v>
      </c>
      <c r="D45" s="16">
        <v>5.21</v>
      </c>
      <c r="E45" s="17">
        <f>Budget!R151 - Budget!L151 - Budget!M151 - Budget!Q151</f>
        <v>10.434947372810676</v>
      </c>
      <c r="F45" s="18">
        <f>Budget!Q151</f>
        <v>0.57699999999999996</v>
      </c>
      <c r="G45" s="17">
        <f>Budget!R204 -Budget!Q204</f>
        <v>7.5030410179779432</v>
      </c>
      <c r="H45" s="18">
        <f>Budget!Q204</f>
        <v>0.40499999999999903</v>
      </c>
      <c r="I45" s="17">
        <f>Config!D43</f>
        <v>7000</v>
      </c>
      <c r="J45" s="17">
        <f>Config!D43</f>
        <v>7000</v>
      </c>
      <c r="K45" s="33">
        <f>Config!M43</f>
        <v>38850</v>
      </c>
      <c r="L45" s="17">
        <f>Budget!F45</f>
        <v>0.4</v>
      </c>
      <c r="M45" s="17">
        <f>Budget!G45</f>
        <v>5.25</v>
      </c>
      <c r="N45" s="18">
        <f>Budget!I45</f>
        <v>0.2</v>
      </c>
      <c r="O45" s="19" t="str">
        <f>Config!N43</f>
        <v>B3, dry mass = est, ISP iteration</v>
      </c>
      <c r="Q45" s="153"/>
      <c r="R45" s="20" t="str">
        <f>Config!B43</f>
        <v>2026_C_PR_B1_CONFIG41</v>
      </c>
      <c r="S45" s="115">
        <v>3184</v>
      </c>
      <c r="T45" s="115">
        <v>3.569</v>
      </c>
      <c r="U45" s="117">
        <v>31.777999999999999</v>
      </c>
      <c r="V45" s="118" t="str">
        <f>Config!N43</f>
        <v>B3, dry mass = est, ISP iteration</v>
      </c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</row>
    <row r="46" spans="2:34" ht="12.75" x14ac:dyDescent="0.35">
      <c r="B46" s="153"/>
      <c r="C46" s="21" t="str">
        <f>Config!B44</f>
        <v>2026_C_PR_B1_CONFIG42</v>
      </c>
      <c r="D46" s="16">
        <v>5.21</v>
      </c>
      <c r="E46" s="17">
        <f>Budget!R152 - Budget!L152 - Budget!M152 - Budget!Q152</f>
        <v>10.207906320081552</v>
      </c>
      <c r="F46" s="18">
        <f>Budget!Q152</f>
        <v>0.57699999999999996</v>
      </c>
      <c r="G46" s="17">
        <f>Budget!R205 -Budget!Q205</f>
        <v>7.3509595509117682</v>
      </c>
      <c r="H46" s="18">
        <f>Budget!Q205</f>
        <v>0.40499999999999903</v>
      </c>
      <c r="I46" s="17">
        <f>Config!D44</f>
        <v>7000</v>
      </c>
      <c r="J46" s="17">
        <f>Config!D44</f>
        <v>7000</v>
      </c>
      <c r="K46" s="33">
        <f>Config!M44</f>
        <v>38850</v>
      </c>
      <c r="L46" s="17">
        <f>Budget!F46</f>
        <v>0.4</v>
      </c>
      <c r="M46" s="17">
        <f>Budget!G46</f>
        <v>5.25</v>
      </c>
      <c r="N46" s="18">
        <f>Budget!I46</f>
        <v>0.2</v>
      </c>
      <c r="O46" s="19" t="str">
        <f>Config!N44</f>
        <v>B3, dry mass = est, ISP iteration</v>
      </c>
      <c r="Q46" s="153"/>
      <c r="R46" s="20" t="str">
        <f>Config!B44</f>
        <v>2026_C_PR_B1_CONFIG42</v>
      </c>
      <c r="S46" s="115">
        <v>3193</v>
      </c>
      <c r="T46" s="115">
        <v>3.5779999999999998</v>
      </c>
      <c r="U46" s="117">
        <v>31.818999999999999</v>
      </c>
      <c r="V46" s="118" t="str">
        <f>Config!N44</f>
        <v>B3, dry mass = est, ISP iteration</v>
      </c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</row>
    <row r="47" spans="2:34" ht="12.75" x14ac:dyDescent="0.35">
      <c r="B47" s="153"/>
      <c r="C47" s="21" t="str">
        <f>Config!B45</f>
        <v>2026_C_PR_B1_CONFIG43</v>
      </c>
      <c r="D47" s="16">
        <v>5.21</v>
      </c>
      <c r="E47" s="17">
        <f>Budget!R153 - Budget!L153 - Budget!M153 - Budget!Q153</f>
        <v>9.9907366174710823</v>
      </c>
      <c r="F47" s="18">
        <f>Budget!Q153</f>
        <v>0.57699999999999996</v>
      </c>
      <c r="G47" s="17">
        <f>Budget!R206 -Budget!Q206</f>
        <v>7.2054903215441213</v>
      </c>
      <c r="H47" s="18">
        <f>Budget!Q206</f>
        <v>0.40499999999999903</v>
      </c>
      <c r="I47" s="17">
        <f>Config!D45</f>
        <v>7000</v>
      </c>
      <c r="J47" s="17">
        <f>Config!D45</f>
        <v>7000</v>
      </c>
      <c r="K47" s="33">
        <f>Config!M45</f>
        <v>38850</v>
      </c>
      <c r="L47" s="17">
        <f>Budget!F47</f>
        <v>0.4</v>
      </c>
      <c r="M47" s="17">
        <f>Budget!G47</f>
        <v>5.25</v>
      </c>
      <c r="N47" s="18">
        <f>Budget!I47</f>
        <v>0.2</v>
      </c>
      <c r="O47" s="19" t="str">
        <f>Config!N45</f>
        <v>B3, dry mass = est, ISP iteration</v>
      </c>
      <c r="Q47" s="153"/>
      <c r="R47" s="20" t="str">
        <f>Config!B45</f>
        <v>2026_C_PR_B1_CONFIG43</v>
      </c>
      <c r="S47" s="115">
        <v>3201</v>
      </c>
      <c r="T47" s="115">
        <v>3.5859999999999999</v>
      </c>
      <c r="U47" s="117">
        <v>31.864000000000001</v>
      </c>
      <c r="V47" s="118" t="str">
        <f>Config!N45</f>
        <v>B3, dry mass = est, ISP iteration</v>
      </c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</row>
    <row r="48" spans="2:34" ht="12.75" x14ac:dyDescent="0.35">
      <c r="B48" s="154"/>
      <c r="C48" s="26" t="str">
        <f>Config!B46</f>
        <v>2026_C_PR_B1_CONFIG44</v>
      </c>
      <c r="D48" s="16">
        <v>5.21</v>
      </c>
      <c r="E48" s="11">
        <f>Budget!R154 - Budget!L154 - Budget!M154 - Budget!Q154</f>
        <v>9.7828081788014849</v>
      </c>
      <c r="F48" s="12">
        <f>Budget!Q154</f>
        <v>0.57699999999999996</v>
      </c>
      <c r="G48" s="11">
        <f>Budget!R207 -Budget!Q207</f>
        <v>7.066211272149566</v>
      </c>
      <c r="H48" s="12">
        <f>Budget!Q207</f>
        <v>0.40499999999999903</v>
      </c>
      <c r="I48" s="11">
        <f>Config!D46</f>
        <v>7000</v>
      </c>
      <c r="J48" s="11">
        <f>Config!D46</f>
        <v>7000</v>
      </c>
      <c r="K48" s="41">
        <f>Config!M46</f>
        <v>38850</v>
      </c>
      <c r="L48" s="11">
        <f>Budget!F48</f>
        <v>0.4</v>
      </c>
      <c r="M48" s="11">
        <f>Budget!G48</f>
        <v>5.25</v>
      </c>
      <c r="N48" s="12">
        <f>Budget!I48</f>
        <v>0.2</v>
      </c>
      <c r="O48" s="14" t="str">
        <f>Config!N46</f>
        <v>B3, dry mass = est, ISP iteration</v>
      </c>
      <c r="Q48" s="154"/>
      <c r="R48" s="23" t="str">
        <f>Config!B46</f>
        <v>2026_C_PR_B1_CONFIG44</v>
      </c>
      <c r="S48" s="127">
        <v>3209</v>
      </c>
      <c r="T48" s="127">
        <v>3.5939999999999999</v>
      </c>
      <c r="U48" s="124">
        <v>31.908000000000001</v>
      </c>
      <c r="V48" s="114" t="str">
        <f>Config!N46</f>
        <v>B3, dry mass = est, ISP iteration</v>
      </c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</row>
    <row r="49" spans="2:34" ht="12.75" x14ac:dyDescent="0.35">
      <c r="B49" s="152"/>
      <c r="C49" s="20" t="str">
        <f>Config!B47</f>
        <v>2026_C_PR_B1_CONFIG45</v>
      </c>
      <c r="D49" s="18">
        <f>Budget!E102</f>
        <v>0</v>
      </c>
      <c r="E49" s="17"/>
      <c r="F49" s="18"/>
      <c r="G49" s="63"/>
      <c r="H49" s="18">
        <f>Budget!Q208</f>
        <v>0</v>
      </c>
      <c r="I49" s="17">
        <f>Config!D47</f>
        <v>0</v>
      </c>
      <c r="J49" s="17">
        <f>Config!D47</f>
        <v>0</v>
      </c>
      <c r="K49" s="33">
        <f>Config!M47</f>
        <v>0</v>
      </c>
      <c r="L49" s="17">
        <f>Budget!F49</f>
        <v>0</v>
      </c>
      <c r="M49" s="17">
        <f>Budget!G49</f>
        <v>0</v>
      </c>
      <c r="N49" s="18">
        <f>Budget!I49</f>
        <v>0</v>
      </c>
      <c r="O49" s="19">
        <f>Config!N47</f>
        <v>0</v>
      </c>
      <c r="Q49" s="152"/>
      <c r="R49" s="20" t="str">
        <f>Config!B47</f>
        <v>2026_C_PR_B1_CONFIG45</v>
      </c>
      <c r="S49" s="115"/>
      <c r="T49" s="115"/>
      <c r="U49" s="117"/>
      <c r="V49" s="118">
        <f>Config!N47</f>
        <v>0</v>
      </c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</row>
    <row r="50" spans="2:34" ht="12.75" x14ac:dyDescent="0.35">
      <c r="B50" s="153"/>
      <c r="C50" s="20" t="str">
        <f>Config!B48</f>
        <v>2026_C_PR_B1_CONFIG46</v>
      </c>
      <c r="D50" s="18">
        <f>Budget!E103</f>
        <v>0</v>
      </c>
      <c r="E50" s="17"/>
      <c r="F50" s="18"/>
      <c r="G50" s="63"/>
      <c r="H50" s="18">
        <f>Budget!Q209</f>
        <v>0</v>
      </c>
      <c r="I50" s="17">
        <f>Config!D48</f>
        <v>0</v>
      </c>
      <c r="J50" s="17">
        <f>Config!D48</f>
        <v>0</v>
      </c>
      <c r="K50" s="33">
        <f>Config!M48</f>
        <v>0</v>
      </c>
      <c r="L50" s="17">
        <f>Budget!F50</f>
        <v>0</v>
      </c>
      <c r="M50" s="17">
        <f>Budget!G50</f>
        <v>0</v>
      </c>
      <c r="N50" s="18">
        <f>Budget!I50</f>
        <v>0</v>
      </c>
      <c r="O50" s="19">
        <f>Config!N48</f>
        <v>0</v>
      </c>
      <c r="Q50" s="153"/>
      <c r="R50" s="20" t="str">
        <f>Config!B48</f>
        <v>2026_C_PR_B1_CONFIG46</v>
      </c>
      <c r="S50" s="115"/>
      <c r="T50" s="115"/>
      <c r="U50" s="117"/>
      <c r="V50" s="118">
        <f>Config!N48</f>
        <v>0</v>
      </c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</row>
    <row r="51" spans="2:34" ht="12.75" x14ac:dyDescent="0.35">
      <c r="B51" s="153"/>
      <c r="C51" s="20" t="str">
        <f>Config!B49</f>
        <v>2026_C_PR_B1_CONFIG47</v>
      </c>
      <c r="D51" s="18">
        <f>Budget!E104</f>
        <v>0</v>
      </c>
      <c r="E51" s="17"/>
      <c r="F51" s="18"/>
      <c r="G51" s="63"/>
      <c r="H51" s="18">
        <f>Budget!Q210</f>
        <v>0</v>
      </c>
      <c r="I51" s="17">
        <f>Config!D49</f>
        <v>0</v>
      </c>
      <c r="J51" s="17">
        <f>Config!D49</f>
        <v>0</v>
      </c>
      <c r="K51" s="33">
        <f>Config!M49</f>
        <v>0</v>
      </c>
      <c r="L51" s="17">
        <f>Budget!F51</f>
        <v>0</v>
      </c>
      <c r="M51" s="17">
        <f>Budget!G51</f>
        <v>0</v>
      </c>
      <c r="N51" s="18">
        <f>Budget!I51</f>
        <v>0</v>
      </c>
      <c r="O51" s="19">
        <f>Config!N49</f>
        <v>0</v>
      </c>
      <c r="Q51" s="153"/>
      <c r="R51" s="20" t="str">
        <f>Config!B49</f>
        <v>2026_C_PR_B1_CONFIG47</v>
      </c>
      <c r="S51" s="115"/>
      <c r="T51" s="115"/>
      <c r="U51" s="117"/>
      <c r="V51" s="118">
        <f>Config!N49</f>
        <v>0</v>
      </c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</row>
    <row r="52" spans="2:34" ht="12.75" x14ac:dyDescent="0.35">
      <c r="B52" s="154"/>
      <c r="C52" s="23" t="str">
        <f>Config!B50</f>
        <v>2026_C_PR_B1_CONFIG48</v>
      </c>
      <c r="D52" s="12">
        <f>Budget!E105</f>
        <v>0</v>
      </c>
      <c r="E52" s="11"/>
      <c r="F52" s="12"/>
      <c r="G52" s="10"/>
      <c r="H52" s="12">
        <f>Budget!Q211</f>
        <v>0</v>
      </c>
      <c r="I52" s="11">
        <f>Config!D50</f>
        <v>0</v>
      </c>
      <c r="J52" s="11">
        <f>Config!D50</f>
        <v>0</v>
      </c>
      <c r="K52" s="41">
        <f>Config!M50</f>
        <v>0</v>
      </c>
      <c r="L52" s="11">
        <f>Budget!F52</f>
        <v>0</v>
      </c>
      <c r="M52" s="11">
        <f>Budget!G52</f>
        <v>0</v>
      </c>
      <c r="N52" s="12">
        <f>Budget!I52</f>
        <v>0</v>
      </c>
      <c r="O52" s="14">
        <f>Config!N50</f>
        <v>0</v>
      </c>
      <c r="Q52" s="154"/>
      <c r="R52" s="23" t="str">
        <f>Config!B50</f>
        <v>2026_C_PR_B1_CONFIG48</v>
      </c>
      <c r="S52" s="127"/>
      <c r="T52" s="127"/>
      <c r="U52" s="124"/>
      <c r="V52" s="114">
        <f>Config!N50</f>
        <v>0</v>
      </c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</row>
    <row r="53" spans="2:34" ht="12.75" x14ac:dyDescent="0.35"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</row>
    <row r="54" spans="2:34" ht="12.75" x14ac:dyDescent="0.35"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2:34" ht="12.75" x14ac:dyDescent="0.35"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</row>
    <row r="56" spans="2:34" ht="12.75" x14ac:dyDescent="0.35"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</row>
    <row r="57" spans="2:34" ht="12.75" x14ac:dyDescent="0.35"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</row>
    <row r="58" spans="2:34" ht="12.75" x14ac:dyDescent="0.35"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</row>
    <row r="59" spans="2:34" ht="12.75" x14ac:dyDescent="0.35"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</row>
    <row r="60" spans="2:34" ht="12.75" x14ac:dyDescent="0.35"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</row>
    <row r="61" spans="2:34" ht="12.75" x14ac:dyDescent="0.35"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</row>
    <row r="62" spans="2:34" ht="12.75" x14ac:dyDescent="0.35"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</row>
    <row r="63" spans="2:34" ht="12.75" x14ac:dyDescent="0.35"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</row>
    <row r="64" spans="2:34" ht="12.75" x14ac:dyDescent="0.35"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</row>
    <row r="65" spans="22:34" ht="12.75" x14ac:dyDescent="0.35"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</row>
    <row r="66" spans="22:34" ht="12.75" x14ac:dyDescent="0.35"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</row>
    <row r="67" spans="22:34" ht="12.75" x14ac:dyDescent="0.35"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</row>
    <row r="68" spans="22:34" ht="12.75" x14ac:dyDescent="0.35"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</row>
    <row r="69" spans="22:34" ht="12.75" x14ac:dyDescent="0.35"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</row>
    <row r="70" spans="22:34" ht="12.75" x14ac:dyDescent="0.35"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</row>
    <row r="71" spans="22:34" ht="12.75" x14ac:dyDescent="0.35"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</row>
    <row r="72" spans="22:34" ht="12.75" x14ac:dyDescent="0.35"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</row>
    <row r="73" spans="22:34" ht="12.75" x14ac:dyDescent="0.35"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</row>
    <row r="74" spans="22:34" ht="12.75" x14ac:dyDescent="0.35"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</row>
    <row r="75" spans="22:34" ht="12.75" x14ac:dyDescent="0.35"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</row>
    <row r="76" spans="22:34" ht="12.75" x14ac:dyDescent="0.35"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</row>
    <row r="77" spans="22:34" ht="12.75" x14ac:dyDescent="0.35"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</row>
    <row r="78" spans="22:34" ht="12.75" x14ac:dyDescent="0.35"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</row>
    <row r="79" spans="22:34" ht="12.75" x14ac:dyDescent="0.35"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</row>
    <row r="80" spans="22:34" ht="12.75" x14ac:dyDescent="0.35"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</row>
    <row r="81" spans="22:34" ht="12.75" x14ac:dyDescent="0.35"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</row>
    <row r="82" spans="22:34" ht="12.75" x14ac:dyDescent="0.35"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</row>
    <row r="83" spans="22:34" ht="12.75" x14ac:dyDescent="0.35"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</row>
    <row r="84" spans="22:34" ht="12.75" x14ac:dyDescent="0.35"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22:34" ht="12.75" x14ac:dyDescent="0.35"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</row>
    <row r="86" spans="22:34" ht="12.75" x14ac:dyDescent="0.35"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</row>
    <row r="87" spans="22:34" ht="12.75" x14ac:dyDescent="0.35"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</row>
    <row r="88" spans="22:34" ht="12.75" x14ac:dyDescent="0.35"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</row>
    <row r="89" spans="22:34" ht="12.75" x14ac:dyDescent="0.35"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</row>
    <row r="90" spans="22:34" ht="12.75" x14ac:dyDescent="0.35"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</row>
    <row r="91" spans="22:34" ht="12.75" x14ac:dyDescent="0.35"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22:34" ht="12.75" x14ac:dyDescent="0.35"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22:34" ht="12.75" x14ac:dyDescent="0.35"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</row>
    <row r="94" spans="22:34" ht="12.75" x14ac:dyDescent="0.35"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</row>
    <row r="95" spans="22:34" ht="12.75" x14ac:dyDescent="0.35"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</row>
    <row r="96" spans="22:34" ht="12.75" x14ac:dyDescent="0.35"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</row>
    <row r="97" spans="22:34" ht="12.75" x14ac:dyDescent="0.35"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</row>
    <row r="98" spans="22:34" ht="12.75" x14ac:dyDescent="0.35"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</row>
    <row r="99" spans="22:34" ht="12.75" x14ac:dyDescent="0.35"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</row>
    <row r="100" spans="22:34" ht="12.75" x14ac:dyDescent="0.35"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</row>
    <row r="101" spans="22:34" ht="12.75" x14ac:dyDescent="0.35"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</row>
    <row r="102" spans="22:34" ht="12.75" x14ac:dyDescent="0.35"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</row>
    <row r="103" spans="22:34" ht="12.75" x14ac:dyDescent="0.35"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</row>
    <row r="104" spans="22:34" ht="12.75" x14ac:dyDescent="0.35"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</row>
    <row r="105" spans="22:34" ht="12.75" x14ac:dyDescent="0.35"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</row>
    <row r="106" spans="22:34" ht="12.75" x14ac:dyDescent="0.35"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</row>
    <row r="107" spans="22:34" ht="12.75" x14ac:dyDescent="0.35"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</row>
    <row r="108" spans="22:34" ht="12.75" x14ac:dyDescent="0.35"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</row>
    <row r="109" spans="22:34" ht="12.75" x14ac:dyDescent="0.35"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</row>
    <row r="110" spans="22:34" ht="12.75" x14ac:dyDescent="0.35"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</row>
    <row r="111" spans="22:34" ht="12.75" x14ac:dyDescent="0.35"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</row>
    <row r="112" spans="22:34" ht="12.75" x14ac:dyDescent="0.35"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</row>
    <row r="113" spans="22:34" ht="12.75" x14ac:dyDescent="0.35"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</row>
    <row r="114" spans="22:34" ht="12.75" x14ac:dyDescent="0.35"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</row>
    <row r="115" spans="22:34" ht="12.75" x14ac:dyDescent="0.35"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</row>
    <row r="116" spans="22:34" ht="12.75" x14ac:dyDescent="0.35"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</row>
    <row r="117" spans="22:34" ht="12.75" x14ac:dyDescent="0.35"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</row>
    <row r="118" spans="22:34" ht="12.75" x14ac:dyDescent="0.35"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</row>
    <row r="119" spans="22:34" ht="12.75" x14ac:dyDescent="0.35"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</row>
    <row r="120" spans="22:34" ht="12.75" x14ac:dyDescent="0.35"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</row>
    <row r="121" spans="22:34" ht="12.75" x14ac:dyDescent="0.35"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</row>
    <row r="122" spans="22:34" ht="12.75" x14ac:dyDescent="0.35"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</row>
    <row r="123" spans="22:34" ht="12.75" x14ac:dyDescent="0.35"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</row>
    <row r="124" spans="22:34" ht="12.75" x14ac:dyDescent="0.35"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</row>
    <row r="125" spans="22:34" ht="12.75" x14ac:dyDescent="0.35"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</row>
    <row r="126" spans="22:34" ht="12.75" x14ac:dyDescent="0.35"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</row>
    <row r="127" spans="22:34" ht="12.75" x14ac:dyDescent="0.35"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</row>
    <row r="128" spans="22:34" ht="12.75" x14ac:dyDescent="0.35"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</row>
    <row r="129" spans="22:34" ht="12.75" x14ac:dyDescent="0.35"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</row>
    <row r="130" spans="22:34" ht="12.75" x14ac:dyDescent="0.35"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</row>
    <row r="131" spans="22:34" ht="12.75" x14ac:dyDescent="0.35"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</row>
    <row r="132" spans="22:34" ht="12.75" x14ac:dyDescent="0.35"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</row>
    <row r="133" spans="22:34" ht="12.75" x14ac:dyDescent="0.35"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</row>
    <row r="134" spans="22:34" ht="12.75" x14ac:dyDescent="0.35"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</row>
    <row r="135" spans="22:34" ht="12.75" x14ac:dyDescent="0.35"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</row>
    <row r="136" spans="22:34" ht="12.75" x14ac:dyDescent="0.35"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</row>
    <row r="137" spans="22:34" ht="12.75" x14ac:dyDescent="0.35"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</row>
    <row r="138" spans="22:34" ht="12.75" x14ac:dyDescent="0.35"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</row>
    <row r="139" spans="22:34" ht="12.75" x14ac:dyDescent="0.35"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</row>
    <row r="140" spans="22:34" ht="12.75" x14ac:dyDescent="0.35"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</row>
    <row r="141" spans="22:34" ht="12.75" x14ac:dyDescent="0.35"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</row>
    <row r="142" spans="22:34" ht="12.75" x14ac:dyDescent="0.35"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</row>
    <row r="143" spans="22:34" ht="12.75" x14ac:dyDescent="0.35"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</row>
    <row r="144" spans="22:34" ht="12.75" x14ac:dyDescent="0.35"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</row>
    <row r="145" spans="22:34" ht="12.75" x14ac:dyDescent="0.35"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</row>
    <row r="146" spans="22:34" ht="12.75" x14ac:dyDescent="0.35"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</row>
    <row r="147" spans="22:34" ht="12.75" x14ac:dyDescent="0.35"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</row>
    <row r="148" spans="22:34" ht="12.75" x14ac:dyDescent="0.35"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</row>
    <row r="149" spans="22:34" ht="12.75" x14ac:dyDescent="0.35"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</row>
    <row r="150" spans="22:34" ht="12.75" x14ac:dyDescent="0.35"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</row>
    <row r="151" spans="22:34" ht="12.75" x14ac:dyDescent="0.35"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</row>
    <row r="152" spans="22:34" ht="12.75" x14ac:dyDescent="0.35"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</row>
    <row r="153" spans="22:34" ht="12.75" x14ac:dyDescent="0.35"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</row>
    <row r="154" spans="22:34" ht="12.75" x14ac:dyDescent="0.35"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</row>
    <row r="155" spans="22:34" ht="12.75" x14ac:dyDescent="0.35"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</row>
    <row r="156" spans="22:34" ht="12.75" x14ac:dyDescent="0.35"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</row>
    <row r="157" spans="22:34" ht="12.75" x14ac:dyDescent="0.35"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</row>
    <row r="158" spans="22:34" ht="12.75" x14ac:dyDescent="0.35"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</row>
    <row r="159" spans="22:34" ht="12.75" x14ac:dyDescent="0.35"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</row>
    <row r="160" spans="22:34" ht="12.75" x14ac:dyDescent="0.35"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</row>
    <row r="161" spans="22:34" ht="12.75" x14ac:dyDescent="0.35"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</row>
    <row r="162" spans="22:34" ht="12.75" x14ac:dyDescent="0.35"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</row>
    <row r="163" spans="22:34" ht="12.75" x14ac:dyDescent="0.35"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</row>
    <row r="164" spans="22:34" ht="12.75" x14ac:dyDescent="0.35"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</row>
    <row r="165" spans="22:34" ht="12.75" x14ac:dyDescent="0.35"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</row>
    <row r="166" spans="22:34" ht="12.75" x14ac:dyDescent="0.35"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</row>
    <row r="167" spans="22:34" ht="12.75" x14ac:dyDescent="0.35"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</row>
    <row r="168" spans="22:34" ht="12.75" x14ac:dyDescent="0.35"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</row>
    <row r="169" spans="22:34" ht="12.75" x14ac:dyDescent="0.35"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</row>
    <row r="170" spans="22:34" ht="12.75" x14ac:dyDescent="0.35"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</row>
    <row r="171" spans="22:34" ht="12.75" x14ac:dyDescent="0.35"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</row>
    <row r="172" spans="22:34" ht="12.75" x14ac:dyDescent="0.35"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</row>
    <row r="173" spans="22:34" ht="12.75" x14ac:dyDescent="0.35"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</row>
    <row r="174" spans="22:34" ht="12.75" x14ac:dyDescent="0.35"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</row>
    <row r="175" spans="22:34" ht="12.75" x14ac:dyDescent="0.35"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</row>
    <row r="176" spans="22:34" ht="12.75" x14ac:dyDescent="0.35"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</row>
    <row r="177" spans="22:34" ht="12.75" x14ac:dyDescent="0.35"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</row>
    <row r="178" spans="22:34" ht="12.75" x14ac:dyDescent="0.35"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</row>
    <row r="179" spans="22:34" ht="12.75" x14ac:dyDescent="0.35"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</row>
    <row r="180" spans="22:34" ht="12.75" x14ac:dyDescent="0.35"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</row>
    <row r="181" spans="22:34" ht="12.75" x14ac:dyDescent="0.35"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</row>
    <row r="182" spans="22:34" ht="12.75" x14ac:dyDescent="0.35"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</row>
    <row r="183" spans="22:34" ht="12.75" x14ac:dyDescent="0.35"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</row>
    <row r="184" spans="22:34" ht="12.75" x14ac:dyDescent="0.35"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</row>
    <row r="185" spans="22:34" ht="12.75" x14ac:dyDescent="0.35"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</row>
    <row r="186" spans="22:34" ht="12.75" x14ac:dyDescent="0.35"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</row>
    <row r="187" spans="22:34" ht="12.75" x14ac:dyDescent="0.35"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</row>
    <row r="188" spans="22:34" ht="12.75" x14ac:dyDescent="0.35"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</row>
    <row r="189" spans="22:34" ht="12.75" x14ac:dyDescent="0.35"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</row>
    <row r="190" spans="22:34" ht="12.75" x14ac:dyDescent="0.35"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</row>
    <row r="191" spans="22:34" ht="12.75" x14ac:dyDescent="0.35"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</row>
    <row r="192" spans="22:34" ht="12.75" x14ac:dyDescent="0.35"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</row>
    <row r="193" spans="22:34" ht="12.75" x14ac:dyDescent="0.35"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</row>
    <row r="194" spans="22:34" ht="12.75" x14ac:dyDescent="0.35"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</row>
    <row r="195" spans="22:34" ht="12.75" x14ac:dyDescent="0.35"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</row>
    <row r="196" spans="22:34" ht="12.75" x14ac:dyDescent="0.35"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</row>
    <row r="197" spans="22:34" ht="12.75" x14ac:dyDescent="0.35"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</row>
    <row r="198" spans="22:34" ht="12.75" x14ac:dyDescent="0.35"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</row>
    <row r="199" spans="22:34" ht="12.75" x14ac:dyDescent="0.35"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</row>
    <row r="200" spans="22:34" ht="12.75" x14ac:dyDescent="0.35"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</row>
    <row r="201" spans="22:34" ht="12.75" x14ac:dyDescent="0.35"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</row>
    <row r="202" spans="22:34" ht="12.75" x14ac:dyDescent="0.35"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</row>
    <row r="203" spans="22:34" ht="12.75" x14ac:dyDescent="0.35"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</row>
    <row r="204" spans="22:34" ht="12.75" x14ac:dyDescent="0.35"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</row>
    <row r="205" spans="22:34" ht="12.75" x14ac:dyDescent="0.35"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</row>
    <row r="206" spans="22:34" ht="12.75" x14ac:dyDescent="0.35"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</row>
    <row r="207" spans="22:34" ht="12.75" x14ac:dyDescent="0.35"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</row>
    <row r="208" spans="22:34" ht="12.75" x14ac:dyDescent="0.35"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</row>
    <row r="209" spans="22:34" ht="12.75" x14ac:dyDescent="0.35"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</row>
    <row r="210" spans="22:34" ht="12.75" x14ac:dyDescent="0.35"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</row>
    <row r="211" spans="22:34" ht="12.75" x14ac:dyDescent="0.35"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</row>
    <row r="212" spans="22:34" ht="12.75" x14ac:dyDescent="0.35"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</row>
    <row r="213" spans="22:34" ht="12.75" x14ac:dyDescent="0.35"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</row>
    <row r="214" spans="22:34" ht="12.75" x14ac:dyDescent="0.35"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</row>
    <row r="215" spans="22:34" ht="12.75" x14ac:dyDescent="0.35"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</row>
    <row r="216" spans="22:34" ht="12.75" x14ac:dyDescent="0.35"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</row>
    <row r="217" spans="22:34" ht="12.75" x14ac:dyDescent="0.35"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</row>
    <row r="218" spans="22:34" ht="12.75" x14ac:dyDescent="0.35"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</row>
    <row r="219" spans="22:34" ht="12.75" x14ac:dyDescent="0.35"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</row>
    <row r="220" spans="22:34" ht="12.75" x14ac:dyDescent="0.35"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</row>
    <row r="221" spans="22:34" ht="12.75" x14ac:dyDescent="0.35"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</row>
    <row r="222" spans="22:34" ht="12.75" x14ac:dyDescent="0.35"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</row>
    <row r="223" spans="22:34" ht="12.75" x14ac:dyDescent="0.35"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</row>
    <row r="224" spans="22:34" ht="12.75" x14ac:dyDescent="0.35"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</row>
    <row r="225" spans="22:34" ht="12.75" x14ac:dyDescent="0.35"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</row>
    <row r="226" spans="22:34" ht="12.75" x14ac:dyDescent="0.35"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</row>
    <row r="227" spans="22:34" ht="12.75" x14ac:dyDescent="0.35"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</row>
    <row r="228" spans="22:34" ht="12.75" x14ac:dyDescent="0.35"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</row>
    <row r="229" spans="22:34" ht="12.75" x14ac:dyDescent="0.35"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</row>
    <row r="230" spans="22:34" ht="12.75" x14ac:dyDescent="0.35"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</row>
    <row r="231" spans="22:34" ht="12.75" x14ac:dyDescent="0.35"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</row>
    <row r="232" spans="22:34" ht="12.75" x14ac:dyDescent="0.35"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</row>
    <row r="233" spans="22:34" ht="12.75" x14ac:dyDescent="0.35"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</row>
    <row r="234" spans="22:34" ht="12.75" x14ac:dyDescent="0.35"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</row>
    <row r="235" spans="22:34" ht="12.75" x14ac:dyDescent="0.35"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</row>
    <row r="236" spans="22:34" ht="12.75" x14ac:dyDescent="0.35"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</row>
    <row r="237" spans="22:34" ht="12.75" x14ac:dyDescent="0.35"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</row>
    <row r="238" spans="22:34" ht="12.75" x14ac:dyDescent="0.35"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</row>
    <row r="239" spans="22:34" ht="12.75" x14ac:dyDescent="0.35"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</row>
    <row r="240" spans="22:34" ht="12.75" x14ac:dyDescent="0.35"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</row>
    <row r="241" spans="22:34" ht="12.75" x14ac:dyDescent="0.35"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</row>
    <row r="242" spans="22:34" ht="12.75" x14ac:dyDescent="0.35"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</row>
    <row r="243" spans="22:34" ht="12.75" x14ac:dyDescent="0.35"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</row>
    <row r="244" spans="22:34" ht="12.75" x14ac:dyDescent="0.35"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</row>
    <row r="245" spans="22:34" ht="12.75" x14ac:dyDescent="0.35"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</row>
    <row r="246" spans="22:34" ht="12.75" x14ac:dyDescent="0.35"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</row>
    <row r="247" spans="22:34" ht="12.75" x14ac:dyDescent="0.35"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</row>
    <row r="248" spans="22:34" ht="12.75" x14ac:dyDescent="0.35"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</row>
    <row r="249" spans="22:34" ht="12.75" x14ac:dyDescent="0.35"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</row>
    <row r="250" spans="22:34" ht="12.75" x14ac:dyDescent="0.35"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</row>
    <row r="251" spans="22:34" ht="12.75" x14ac:dyDescent="0.35"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</row>
    <row r="252" spans="22:34" ht="12.75" x14ac:dyDescent="0.35"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</row>
    <row r="253" spans="22:34" ht="12.75" x14ac:dyDescent="0.35"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</row>
    <row r="254" spans="22:34" ht="12.75" x14ac:dyDescent="0.35"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</row>
    <row r="255" spans="22:34" ht="12.75" x14ac:dyDescent="0.35"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</row>
    <row r="256" spans="22:34" ht="12.75" x14ac:dyDescent="0.35"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</row>
    <row r="257" spans="22:34" ht="12.75" x14ac:dyDescent="0.35"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</row>
    <row r="258" spans="22:34" ht="12.75" x14ac:dyDescent="0.35"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</row>
    <row r="259" spans="22:34" ht="12.75" x14ac:dyDescent="0.35"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</row>
    <row r="260" spans="22:34" ht="12.75" x14ac:dyDescent="0.35"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</row>
    <row r="261" spans="22:34" ht="12.75" x14ac:dyDescent="0.35"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</row>
    <row r="262" spans="22:34" ht="12.75" x14ac:dyDescent="0.35"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</row>
    <row r="263" spans="22:34" ht="12.75" x14ac:dyDescent="0.35"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</row>
    <row r="264" spans="22:34" ht="12.75" x14ac:dyDescent="0.35"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</row>
    <row r="265" spans="22:34" ht="12.75" x14ac:dyDescent="0.35"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</row>
    <row r="266" spans="22:34" ht="12.75" x14ac:dyDescent="0.35"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</row>
    <row r="267" spans="22:34" ht="12.75" x14ac:dyDescent="0.35"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</row>
    <row r="268" spans="22:34" ht="12.75" x14ac:dyDescent="0.35"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</row>
    <row r="269" spans="22:34" ht="12.75" x14ac:dyDescent="0.35"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</row>
    <row r="270" spans="22:34" ht="12.75" x14ac:dyDescent="0.35"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</row>
    <row r="271" spans="22:34" ht="12.75" x14ac:dyDescent="0.35"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</row>
    <row r="272" spans="22:34" ht="12.75" x14ac:dyDescent="0.35"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</row>
    <row r="273" spans="22:34" ht="12.75" x14ac:dyDescent="0.35"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</row>
    <row r="274" spans="22:34" ht="12.75" x14ac:dyDescent="0.35"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</row>
    <row r="275" spans="22:34" ht="12.75" x14ac:dyDescent="0.35"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</row>
    <row r="276" spans="22:34" ht="12.75" x14ac:dyDescent="0.35"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</row>
    <row r="277" spans="22:34" ht="12.75" x14ac:dyDescent="0.35"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</row>
    <row r="278" spans="22:34" ht="12.75" x14ac:dyDescent="0.35"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</row>
    <row r="279" spans="22:34" ht="12.75" x14ac:dyDescent="0.35"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</row>
    <row r="280" spans="22:34" ht="12.75" x14ac:dyDescent="0.35"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</row>
    <row r="281" spans="22:34" ht="12.75" x14ac:dyDescent="0.35"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</row>
    <row r="282" spans="22:34" ht="12.75" x14ac:dyDescent="0.35"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</row>
    <row r="283" spans="22:34" ht="12.75" x14ac:dyDescent="0.35"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</row>
    <row r="284" spans="22:34" ht="12.75" x14ac:dyDescent="0.35"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</row>
    <row r="285" spans="22:34" ht="12.75" x14ac:dyDescent="0.35"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</row>
    <row r="286" spans="22:34" ht="12.75" x14ac:dyDescent="0.35"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</row>
    <row r="287" spans="22:34" ht="12.75" x14ac:dyDescent="0.35"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</row>
    <row r="288" spans="22:34" ht="12.75" x14ac:dyDescent="0.35"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</row>
    <row r="289" spans="22:34" ht="12.75" x14ac:dyDescent="0.35"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</row>
    <row r="290" spans="22:34" ht="12.75" x14ac:dyDescent="0.35"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</row>
    <row r="291" spans="22:34" ht="12.75" x14ac:dyDescent="0.35"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</row>
    <row r="292" spans="22:34" ht="12.75" x14ac:dyDescent="0.35"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</row>
    <row r="293" spans="22:34" ht="12.75" x14ac:dyDescent="0.35"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</row>
    <row r="294" spans="22:34" ht="12.75" x14ac:dyDescent="0.35"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</row>
    <row r="295" spans="22:34" ht="12.75" x14ac:dyDescent="0.35"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</row>
    <row r="296" spans="22:34" ht="12.75" x14ac:dyDescent="0.35"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</row>
    <row r="297" spans="22:34" ht="12.75" x14ac:dyDescent="0.35"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</row>
    <row r="298" spans="22:34" ht="12.75" x14ac:dyDescent="0.35"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</row>
    <row r="299" spans="22:34" ht="12.75" x14ac:dyDescent="0.35"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</row>
    <row r="300" spans="22:34" ht="12.75" x14ac:dyDescent="0.35"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</row>
    <row r="301" spans="22:34" ht="12.75" x14ac:dyDescent="0.35"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</row>
    <row r="302" spans="22:34" ht="12.75" x14ac:dyDescent="0.35"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</row>
    <row r="303" spans="22:34" ht="12.75" x14ac:dyDescent="0.35"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</row>
    <row r="304" spans="22:34" ht="12.75" x14ac:dyDescent="0.35"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</row>
    <row r="305" spans="22:34" ht="12.75" x14ac:dyDescent="0.35"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</row>
    <row r="306" spans="22:34" ht="12.75" x14ac:dyDescent="0.35"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</row>
    <row r="307" spans="22:34" ht="12.75" x14ac:dyDescent="0.35"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</row>
    <row r="308" spans="22:34" ht="12.75" x14ac:dyDescent="0.35"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</row>
    <row r="309" spans="22:34" ht="12.75" x14ac:dyDescent="0.35"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</row>
    <row r="310" spans="22:34" ht="12.75" x14ac:dyDescent="0.35"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</row>
    <row r="311" spans="22:34" ht="12.75" x14ac:dyDescent="0.35"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</row>
    <row r="312" spans="22:34" ht="12.75" x14ac:dyDescent="0.35"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</row>
    <row r="313" spans="22:34" ht="12.75" x14ac:dyDescent="0.35"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</row>
    <row r="314" spans="22:34" ht="12.75" x14ac:dyDescent="0.35"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</row>
    <row r="315" spans="22:34" ht="12.75" x14ac:dyDescent="0.35"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</row>
    <row r="316" spans="22:34" ht="12.75" x14ac:dyDescent="0.35"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</row>
    <row r="317" spans="22:34" ht="12.75" x14ac:dyDescent="0.35"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</row>
    <row r="318" spans="22:34" ht="12.75" x14ac:dyDescent="0.35"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</row>
    <row r="319" spans="22:34" ht="12.75" x14ac:dyDescent="0.35"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</row>
    <row r="320" spans="22:34" ht="12.75" x14ac:dyDescent="0.35"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</row>
    <row r="321" spans="22:34" ht="12.75" x14ac:dyDescent="0.35"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</row>
    <row r="322" spans="22:34" ht="12.75" x14ac:dyDescent="0.35"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</row>
    <row r="323" spans="22:34" ht="12.75" x14ac:dyDescent="0.35"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</row>
    <row r="324" spans="22:34" ht="12.75" x14ac:dyDescent="0.35"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</row>
    <row r="325" spans="22:34" ht="12.75" x14ac:dyDescent="0.35"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</row>
    <row r="326" spans="22:34" ht="12.75" x14ac:dyDescent="0.35"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</row>
    <row r="327" spans="22:34" ht="12.75" x14ac:dyDescent="0.35"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</row>
    <row r="328" spans="22:34" ht="12.75" x14ac:dyDescent="0.35"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</row>
    <row r="329" spans="22:34" ht="12.75" x14ac:dyDescent="0.35"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</row>
    <row r="330" spans="22:34" ht="12.75" x14ac:dyDescent="0.35"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</row>
    <row r="331" spans="22:34" ht="12.75" x14ac:dyDescent="0.35"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</row>
    <row r="332" spans="22:34" ht="12.75" x14ac:dyDescent="0.35"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</row>
    <row r="333" spans="22:34" ht="12.75" x14ac:dyDescent="0.35"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</row>
    <row r="334" spans="22:34" ht="12.75" x14ac:dyDescent="0.35"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</row>
    <row r="335" spans="22:34" ht="12.75" x14ac:dyDescent="0.35"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</row>
    <row r="336" spans="22:34" ht="12.75" x14ac:dyDescent="0.35"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</row>
    <row r="337" spans="22:34" ht="12.75" x14ac:dyDescent="0.35"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</row>
    <row r="338" spans="22:34" ht="12.75" x14ac:dyDescent="0.35"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</row>
    <row r="339" spans="22:34" ht="12.75" x14ac:dyDescent="0.35"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</row>
    <row r="340" spans="22:34" ht="12.75" x14ac:dyDescent="0.35"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</row>
    <row r="341" spans="22:34" ht="12.75" x14ac:dyDescent="0.35"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</row>
    <row r="342" spans="22:34" ht="12.75" x14ac:dyDescent="0.35"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</row>
    <row r="343" spans="22:34" ht="12.75" x14ac:dyDescent="0.35"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</row>
    <row r="344" spans="22:34" ht="12.75" x14ac:dyDescent="0.35"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</row>
    <row r="345" spans="22:34" ht="12.75" x14ac:dyDescent="0.35"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</row>
    <row r="346" spans="22:34" ht="12.75" x14ac:dyDescent="0.35"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</row>
    <row r="347" spans="22:34" ht="12.75" x14ac:dyDescent="0.35"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  <c r="AH347" s="104"/>
    </row>
    <row r="348" spans="22:34" ht="12.75" x14ac:dyDescent="0.35"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</row>
    <row r="349" spans="22:34" ht="12.75" x14ac:dyDescent="0.35"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</row>
    <row r="350" spans="22:34" ht="12.75" x14ac:dyDescent="0.35"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  <c r="AH350" s="104"/>
    </row>
    <row r="351" spans="22:34" ht="12.75" x14ac:dyDescent="0.35"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  <c r="AH351" s="104"/>
    </row>
    <row r="352" spans="22:34" ht="12.75" x14ac:dyDescent="0.35"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  <c r="AH352" s="104"/>
    </row>
    <row r="353" spans="22:34" ht="12.75" x14ac:dyDescent="0.35"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  <c r="AH353" s="104"/>
    </row>
    <row r="354" spans="22:34" ht="12.75" x14ac:dyDescent="0.35"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  <c r="AH354" s="104"/>
    </row>
    <row r="355" spans="22:34" ht="12.75" x14ac:dyDescent="0.35"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  <c r="AH355" s="104"/>
    </row>
    <row r="356" spans="22:34" ht="12.75" x14ac:dyDescent="0.35"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  <c r="AH356" s="104"/>
    </row>
    <row r="357" spans="22:34" ht="12.75" x14ac:dyDescent="0.35"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  <c r="AH357" s="104"/>
    </row>
    <row r="358" spans="22:34" ht="12.75" x14ac:dyDescent="0.35"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  <c r="AH358" s="104"/>
    </row>
    <row r="359" spans="22:34" ht="12.75" x14ac:dyDescent="0.35"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  <c r="AH359" s="104"/>
    </row>
    <row r="360" spans="22:34" ht="12.75" x14ac:dyDescent="0.35"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</row>
    <row r="361" spans="22:34" ht="12.75" x14ac:dyDescent="0.35"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</row>
    <row r="362" spans="22:34" ht="12.75" x14ac:dyDescent="0.35"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  <c r="AH362" s="104"/>
    </row>
    <row r="363" spans="22:34" ht="12.75" x14ac:dyDescent="0.35"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</row>
    <row r="364" spans="22:34" ht="12.75" x14ac:dyDescent="0.35"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</row>
    <row r="365" spans="22:34" ht="12.75" x14ac:dyDescent="0.35"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</row>
    <row r="366" spans="22:34" ht="12.75" x14ac:dyDescent="0.35"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</row>
    <row r="367" spans="22:34" ht="12.75" x14ac:dyDescent="0.35"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</row>
    <row r="368" spans="22:34" ht="12.75" x14ac:dyDescent="0.35"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</row>
    <row r="369" spans="22:34" ht="12.75" x14ac:dyDescent="0.35"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</row>
    <row r="370" spans="22:34" ht="12.75" x14ac:dyDescent="0.35"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</row>
    <row r="371" spans="22:34" ht="12.75" x14ac:dyDescent="0.35"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</row>
    <row r="372" spans="22:34" ht="12.75" x14ac:dyDescent="0.35"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</row>
    <row r="373" spans="22:34" ht="12.75" x14ac:dyDescent="0.35"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</row>
    <row r="374" spans="22:34" ht="12.75" x14ac:dyDescent="0.35"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</row>
    <row r="375" spans="22:34" ht="12.75" x14ac:dyDescent="0.35"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</row>
    <row r="376" spans="22:34" ht="12.75" x14ac:dyDescent="0.35"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</row>
    <row r="377" spans="22:34" ht="12.75" x14ac:dyDescent="0.35"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  <c r="AH377" s="104"/>
    </row>
    <row r="378" spans="22:34" ht="12.75" x14ac:dyDescent="0.35"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  <c r="AH378" s="104"/>
    </row>
    <row r="379" spans="22:34" ht="12.75" x14ac:dyDescent="0.35"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  <c r="AH379" s="104"/>
    </row>
    <row r="380" spans="22:34" ht="12.75" x14ac:dyDescent="0.35"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</row>
    <row r="381" spans="22:34" ht="12.75" x14ac:dyDescent="0.35"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</row>
    <row r="382" spans="22:34" ht="12.75" x14ac:dyDescent="0.35"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</row>
    <row r="383" spans="22:34" ht="12.75" x14ac:dyDescent="0.35"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</row>
    <row r="384" spans="22:34" ht="12.75" x14ac:dyDescent="0.35"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</row>
    <row r="385" spans="22:34" ht="12.75" x14ac:dyDescent="0.35"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</row>
    <row r="386" spans="22:34" ht="12.75" x14ac:dyDescent="0.35"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</row>
    <row r="387" spans="22:34" ht="12.75" x14ac:dyDescent="0.35"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</row>
    <row r="388" spans="22:34" ht="12.75" x14ac:dyDescent="0.35"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</row>
    <row r="389" spans="22:34" ht="12.75" x14ac:dyDescent="0.35"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</row>
    <row r="390" spans="22:34" ht="12.75" x14ac:dyDescent="0.35"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</row>
    <row r="391" spans="22:34" ht="12.75" x14ac:dyDescent="0.35"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</row>
    <row r="392" spans="22:34" ht="12.75" x14ac:dyDescent="0.35"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</row>
    <row r="393" spans="22:34" ht="12.75" x14ac:dyDescent="0.35"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</row>
    <row r="394" spans="22:34" ht="12.75" x14ac:dyDescent="0.35"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</row>
    <row r="395" spans="22:34" ht="12.75" x14ac:dyDescent="0.35"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</row>
    <row r="396" spans="22:34" ht="12.75" x14ac:dyDescent="0.35"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</row>
    <row r="397" spans="22:34" ht="12.75" x14ac:dyDescent="0.35"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</row>
    <row r="398" spans="22:34" ht="12.75" x14ac:dyDescent="0.35"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</row>
    <row r="399" spans="22:34" ht="12.75" x14ac:dyDescent="0.35"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</row>
    <row r="400" spans="22:34" ht="12.75" x14ac:dyDescent="0.35"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</row>
    <row r="401" spans="22:34" ht="12.75" x14ac:dyDescent="0.35"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</row>
    <row r="402" spans="22:34" ht="12.75" x14ac:dyDescent="0.35"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</row>
    <row r="403" spans="22:34" ht="12.75" x14ac:dyDescent="0.35"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</row>
    <row r="404" spans="22:34" ht="12.75" x14ac:dyDescent="0.35"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</row>
    <row r="405" spans="22:34" ht="12.75" x14ac:dyDescent="0.35"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</row>
    <row r="406" spans="22:34" ht="12.75" x14ac:dyDescent="0.35"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</row>
    <row r="407" spans="22:34" ht="12.75" x14ac:dyDescent="0.35"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</row>
    <row r="408" spans="22:34" ht="12.75" x14ac:dyDescent="0.35"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</row>
    <row r="409" spans="22:34" ht="12.75" x14ac:dyDescent="0.35"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</row>
    <row r="410" spans="22:34" ht="12.75" x14ac:dyDescent="0.35"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</row>
    <row r="411" spans="22:34" ht="12.75" x14ac:dyDescent="0.35"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</row>
    <row r="412" spans="22:34" ht="12.75" x14ac:dyDescent="0.35"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</row>
    <row r="413" spans="22:34" ht="12.75" x14ac:dyDescent="0.35"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04"/>
    </row>
    <row r="414" spans="22:34" ht="12.75" x14ac:dyDescent="0.35"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  <c r="AH414" s="104"/>
    </row>
    <row r="415" spans="22:34" ht="12.75" x14ac:dyDescent="0.35"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  <c r="AH415" s="104"/>
    </row>
    <row r="416" spans="22:34" ht="12.75" x14ac:dyDescent="0.35"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  <c r="AH416" s="104"/>
    </row>
    <row r="417" spans="22:34" ht="12.75" x14ac:dyDescent="0.35"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  <c r="AH417" s="104"/>
    </row>
    <row r="418" spans="22:34" ht="12.75" x14ac:dyDescent="0.35"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  <c r="AH418" s="104"/>
    </row>
    <row r="419" spans="22:34" ht="12.75" x14ac:dyDescent="0.35"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  <c r="AH419" s="104"/>
    </row>
    <row r="420" spans="22:34" ht="12.75" x14ac:dyDescent="0.35"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</row>
    <row r="421" spans="22:34" ht="12.75" x14ac:dyDescent="0.35"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  <c r="AH421" s="104"/>
    </row>
    <row r="422" spans="22:34" ht="12.75" x14ac:dyDescent="0.35"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  <c r="AH422" s="104"/>
    </row>
    <row r="423" spans="22:34" ht="12.75" x14ac:dyDescent="0.35"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</row>
    <row r="424" spans="22:34" ht="12.75" x14ac:dyDescent="0.35"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</row>
    <row r="425" spans="22:34" ht="12.75" x14ac:dyDescent="0.35"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</row>
    <row r="426" spans="22:34" ht="12.75" x14ac:dyDescent="0.35"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</row>
    <row r="427" spans="22:34" ht="12.75" x14ac:dyDescent="0.35"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  <c r="AH427" s="104"/>
    </row>
    <row r="428" spans="22:34" ht="12.75" x14ac:dyDescent="0.35"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  <c r="AH428" s="104"/>
    </row>
    <row r="429" spans="22:34" ht="12.75" x14ac:dyDescent="0.35"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  <c r="AH429" s="104"/>
    </row>
    <row r="430" spans="22:34" ht="12.75" x14ac:dyDescent="0.35"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  <c r="AH430" s="104"/>
    </row>
    <row r="431" spans="22:34" ht="12.75" x14ac:dyDescent="0.35"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  <c r="AH431" s="104"/>
    </row>
    <row r="432" spans="22:34" ht="12.75" x14ac:dyDescent="0.35"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  <c r="AH432" s="104"/>
    </row>
    <row r="433" spans="22:34" ht="12.75" x14ac:dyDescent="0.35"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  <c r="AH433" s="104"/>
    </row>
    <row r="434" spans="22:34" ht="12.75" x14ac:dyDescent="0.35"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  <c r="AH434" s="104"/>
    </row>
    <row r="435" spans="22:34" ht="12.75" x14ac:dyDescent="0.35"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  <c r="AH435" s="104"/>
    </row>
    <row r="436" spans="22:34" ht="12.75" x14ac:dyDescent="0.35"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  <c r="AH436" s="104"/>
    </row>
    <row r="437" spans="22:34" ht="12.75" x14ac:dyDescent="0.35"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  <c r="AH437" s="104"/>
    </row>
    <row r="438" spans="22:34" ht="12.75" x14ac:dyDescent="0.35"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</row>
    <row r="439" spans="22:34" ht="12.75" x14ac:dyDescent="0.35"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  <c r="AH439" s="104"/>
    </row>
    <row r="440" spans="22:34" ht="12.75" x14ac:dyDescent="0.35"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  <c r="AH440" s="104"/>
    </row>
    <row r="441" spans="22:34" ht="12.75" x14ac:dyDescent="0.35"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  <c r="AH441" s="104"/>
    </row>
    <row r="442" spans="22:34" ht="12.75" x14ac:dyDescent="0.35"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  <c r="AH442" s="104"/>
    </row>
    <row r="443" spans="22:34" ht="12.75" x14ac:dyDescent="0.35"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  <c r="AH443" s="104"/>
    </row>
    <row r="444" spans="22:34" ht="12.75" x14ac:dyDescent="0.35"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  <c r="AH444" s="104"/>
    </row>
    <row r="445" spans="22:34" ht="12.75" x14ac:dyDescent="0.35"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  <c r="AH445" s="104"/>
    </row>
    <row r="446" spans="22:34" ht="12.75" x14ac:dyDescent="0.35"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  <c r="AH446" s="104"/>
    </row>
    <row r="447" spans="22:34" ht="12.75" x14ac:dyDescent="0.35"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</row>
    <row r="448" spans="22:34" ht="12.75" x14ac:dyDescent="0.35"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</row>
    <row r="449" spans="22:34" ht="12.75" x14ac:dyDescent="0.35"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</row>
    <row r="450" spans="22:34" ht="12.75" x14ac:dyDescent="0.35"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</row>
    <row r="451" spans="22:34" ht="12.75" x14ac:dyDescent="0.35"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</row>
    <row r="452" spans="22:34" ht="12.75" x14ac:dyDescent="0.35"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</row>
    <row r="453" spans="22:34" ht="12.75" x14ac:dyDescent="0.35"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</row>
    <row r="454" spans="22:34" ht="12.75" x14ac:dyDescent="0.35"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</row>
    <row r="455" spans="22:34" ht="12.75" x14ac:dyDescent="0.35"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</row>
    <row r="456" spans="22:34" ht="12.75" x14ac:dyDescent="0.35"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</row>
    <row r="457" spans="22:34" ht="12.75" x14ac:dyDescent="0.35"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</row>
    <row r="458" spans="22:34" ht="12.75" x14ac:dyDescent="0.35"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</row>
    <row r="459" spans="22:34" ht="12.75" x14ac:dyDescent="0.35"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</row>
    <row r="460" spans="22:34" ht="12.75" x14ac:dyDescent="0.35"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</row>
    <row r="461" spans="22:34" ht="12.75" x14ac:dyDescent="0.35"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</row>
    <row r="462" spans="22:34" ht="12.75" x14ac:dyDescent="0.35"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</row>
    <row r="463" spans="22:34" ht="12.75" x14ac:dyDescent="0.35"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</row>
    <row r="464" spans="22:34" ht="12.75" x14ac:dyDescent="0.35"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</row>
    <row r="465" spans="22:34" ht="12.75" x14ac:dyDescent="0.35"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</row>
    <row r="466" spans="22:34" ht="12.75" x14ac:dyDescent="0.35"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</row>
    <row r="467" spans="22:34" ht="12.75" x14ac:dyDescent="0.35"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</row>
    <row r="468" spans="22:34" ht="12.75" x14ac:dyDescent="0.35"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</row>
    <row r="469" spans="22:34" ht="12.75" x14ac:dyDescent="0.35"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</row>
    <row r="470" spans="22:34" ht="12.75" x14ac:dyDescent="0.35"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</row>
    <row r="471" spans="22:34" ht="12.75" x14ac:dyDescent="0.35"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</row>
    <row r="472" spans="22:34" ht="12.75" x14ac:dyDescent="0.35"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</row>
    <row r="473" spans="22:34" ht="12.75" x14ac:dyDescent="0.35"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</row>
    <row r="474" spans="22:34" ht="12.75" x14ac:dyDescent="0.35"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</row>
    <row r="475" spans="22:34" ht="12.75" x14ac:dyDescent="0.35"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</row>
    <row r="476" spans="22:34" ht="12.75" x14ac:dyDescent="0.35"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</row>
    <row r="477" spans="22:34" ht="12.75" x14ac:dyDescent="0.35"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</row>
    <row r="478" spans="22:34" ht="12.75" x14ac:dyDescent="0.35"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</row>
    <row r="479" spans="22:34" ht="12.75" x14ac:dyDescent="0.35"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</row>
    <row r="480" spans="22:34" ht="12.75" x14ac:dyDescent="0.35"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  <c r="AH480" s="104"/>
    </row>
    <row r="481" spans="22:34" ht="12.75" x14ac:dyDescent="0.35"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  <c r="AH481" s="104"/>
    </row>
    <row r="482" spans="22:34" ht="12.75" x14ac:dyDescent="0.35"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  <c r="AH482" s="104"/>
    </row>
    <row r="483" spans="22:34" ht="12.75" x14ac:dyDescent="0.35"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  <c r="AH483" s="104"/>
    </row>
    <row r="484" spans="22:34" ht="12.75" x14ac:dyDescent="0.35"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</row>
    <row r="485" spans="22:34" ht="12.75" x14ac:dyDescent="0.35"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</row>
    <row r="486" spans="22:34" ht="12.75" x14ac:dyDescent="0.35"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</row>
    <row r="487" spans="22:34" ht="12.75" x14ac:dyDescent="0.35"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</row>
    <row r="488" spans="22:34" ht="12.75" x14ac:dyDescent="0.35"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</row>
    <row r="489" spans="22:34" ht="12.75" x14ac:dyDescent="0.35"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</row>
    <row r="490" spans="22:34" ht="12.75" x14ac:dyDescent="0.35"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</row>
    <row r="491" spans="22:34" ht="12.75" x14ac:dyDescent="0.35"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</row>
    <row r="492" spans="22:34" ht="12.75" x14ac:dyDescent="0.35"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</row>
    <row r="493" spans="22:34" ht="12.75" x14ac:dyDescent="0.35"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</row>
    <row r="494" spans="22:34" ht="12.75" x14ac:dyDescent="0.35"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</row>
    <row r="495" spans="22:34" ht="12.75" x14ac:dyDescent="0.35"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</row>
    <row r="496" spans="22:34" ht="12.75" x14ac:dyDescent="0.35"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</row>
    <row r="497" spans="22:34" ht="12.75" x14ac:dyDescent="0.35"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</row>
    <row r="498" spans="22:34" ht="12.75" x14ac:dyDescent="0.35"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</row>
    <row r="499" spans="22:34" ht="12.75" x14ac:dyDescent="0.35"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</row>
    <row r="500" spans="22:34" ht="12.75" x14ac:dyDescent="0.35"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</row>
    <row r="501" spans="22:34" ht="12.75" x14ac:dyDescent="0.35"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</row>
    <row r="502" spans="22:34" ht="12.75" x14ac:dyDescent="0.35"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</row>
    <row r="503" spans="22:34" ht="12.75" x14ac:dyDescent="0.35"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</row>
    <row r="504" spans="22:34" ht="12.75" x14ac:dyDescent="0.35"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</row>
    <row r="505" spans="22:34" ht="12.75" x14ac:dyDescent="0.35"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</row>
    <row r="506" spans="22:34" ht="12.75" x14ac:dyDescent="0.35"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</row>
    <row r="507" spans="22:34" ht="12.75" x14ac:dyDescent="0.35"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</row>
    <row r="508" spans="22:34" ht="12.75" x14ac:dyDescent="0.35"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</row>
    <row r="509" spans="22:34" ht="12.75" x14ac:dyDescent="0.35"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</row>
    <row r="510" spans="22:34" ht="12.75" x14ac:dyDescent="0.35"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</row>
    <row r="511" spans="22:34" ht="12.75" x14ac:dyDescent="0.35"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</row>
    <row r="512" spans="22:34" ht="12.75" x14ac:dyDescent="0.35"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</row>
    <row r="513" spans="22:34" ht="12.75" x14ac:dyDescent="0.35"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</row>
    <row r="514" spans="22:34" ht="12.75" x14ac:dyDescent="0.35"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</row>
    <row r="515" spans="22:34" ht="12.75" x14ac:dyDescent="0.35"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</row>
    <row r="516" spans="22:34" ht="12.75" x14ac:dyDescent="0.35"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</row>
    <row r="517" spans="22:34" ht="12.75" x14ac:dyDescent="0.35"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  <c r="AH517" s="104"/>
    </row>
    <row r="518" spans="22:34" ht="12.75" x14ac:dyDescent="0.35"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  <c r="AH518" s="104"/>
    </row>
    <row r="519" spans="22:34" ht="12.75" x14ac:dyDescent="0.35"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</row>
    <row r="520" spans="22:34" ht="12.75" x14ac:dyDescent="0.35"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  <c r="AH520" s="104"/>
    </row>
    <row r="521" spans="22:34" ht="12.75" x14ac:dyDescent="0.35"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</row>
    <row r="522" spans="22:34" ht="12.75" x14ac:dyDescent="0.35"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</row>
    <row r="523" spans="22:34" ht="12.75" x14ac:dyDescent="0.35"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</row>
    <row r="524" spans="22:34" ht="12.75" x14ac:dyDescent="0.35"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</row>
    <row r="525" spans="22:34" ht="12.75" x14ac:dyDescent="0.35"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</row>
    <row r="526" spans="22:34" ht="12.75" x14ac:dyDescent="0.35"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</row>
    <row r="527" spans="22:34" ht="12.75" x14ac:dyDescent="0.35"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</row>
    <row r="528" spans="22:34" ht="12.75" x14ac:dyDescent="0.35"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</row>
    <row r="529" spans="22:34" ht="12.75" x14ac:dyDescent="0.35"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</row>
    <row r="530" spans="22:34" ht="12.75" x14ac:dyDescent="0.35"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</row>
    <row r="531" spans="22:34" ht="12.75" x14ac:dyDescent="0.35"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</row>
    <row r="532" spans="22:34" ht="12.75" x14ac:dyDescent="0.35"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</row>
    <row r="533" spans="22:34" ht="12.75" x14ac:dyDescent="0.35"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</row>
    <row r="534" spans="22:34" ht="12.75" x14ac:dyDescent="0.35"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</row>
    <row r="535" spans="22:34" ht="12.75" x14ac:dyDescent="0.35"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</row>
    <row r="536" spans="22:34" ht="12.75" x14ac:dyDescent="0.35"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</row>
    <row r="537" spans="22:34" ht="12.75" x14ac:dyDescent="0.35"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</row>
    <row r="538" spans="22:34" ht="12.75" x14ac:dyDescent="0.35"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</row>
    <row r="539" spans="22:34" ht="12.75" x14ac:dyDescent="0.35"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</row>
    <row r="540" spans="22:34" ht="12.75" x14ac:dyDescent="0.35"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</row>
    <row r="541" spans="22:34" ht="12.75" x14ac:dyDescent="0.35"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</row>
    <row r="542" spans="22:34" ht="12.75" x14ac:dyDescent="0.35"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</row>
    <row r="543" spans="22:34" ht="12.75" x14ac:dyDescent="0.35"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</row>
    <row r="544" spans="22:34" ht="12.75" x14ac:dyDescent="0.35"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</row>
    <row r="545" spans="22:34" ht="12.75" x14ac:dyDescent="0.35"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</row>
    <row r="546" spans="22:34" ht="12.75" x14ac:dyDescent="0.35"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</row>
    <row r="547" spans="22:34" ht="12.75" x14ac:dyDescent="0.35"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</row>
    <row r="548" spans="22:34" ht="12.75" x14ac:dyDescent="0.35"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</row>
    <row r="549" spans="22:34" ht="12.75" x14ac:dyDescent="0.35"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</row>
    <row r="550" spans="22:34" ht="12.75" x14ac:dyDescent="0.35"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</row>
    <row r="551" spans="22:34" ht="12.75" x14ac:dyDescent="0.35"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</row>
    <row r="552" spans="22:34" ht="12.75" x14ac:dyDescent="0.35"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</row>
    <row r="553" spans="22:34" ht="12.75" x14ac:dyDescent="0.35"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</row>
    <row r="554" spans="22:34" ht="12.75" x14ac:dyDescent="0.35"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  <c r="AH554" s="104"/>
    </row>
    <row r="555" spans="22:34" ht="12.75" x14ac:dyDescent="0.35"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  <c r="AH555" s="104"/>
    </row>
    <row r="556" spans="22:34" ht="12.75" x14ac:dyDescent="0.35"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  <c r="AH556" s="104"/>
    </row>
    <row r="557" spans="22:34" ht="12.75" x14ac:dyDescent="0.35"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  <c r="AH557" s="104"/>
    </row>
    <row r="558" spans="22:34" ht="12.75" x14ac:dyDescent="0.35"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  <c r="AH558" s="104"/>
    </row>
    <row r="559" spans="22:34" ht="12.75" x14ac:dyDescent="0.35"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  <c r="AH559" s="104"/>
    </row>
    <row r="560" spans="22:34" ht="12.75" x14ac:dyDescent="0.35"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  <c r="AH560" s="104"/>
    </row>
    <row r="561" spans="22:34" ht="12.75" x14ac:dyDescent="0.35"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  <c r="AG561" s="104"/>
      <c r="AH561" s="104"/>
    </row>
    <row r="562" spans="22:34" ht="12.75" x14ac:dyDescent="0.35"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</row>
    <row r="563" spans="22:34" ht="12.75" x14ac:dyDescent="0.35"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</row>
    <row r="564" spans="22:34" ht="12.75" x14ac:dyDescent="0.35"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  <c r="AG564" s="104"/>
      <c r="AH564" s="104"/>
    </row>
    <row r="565" spans="22:34" ht="12.75" x14ac:dyDescent="0.35"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</row>
    <row r="566" spans="22:34" ht="12.75" x14ac:dyDescent="0.35"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</row>
    <row r="567" spans="22:34" ht="12.75" x14ac:dyDescent="0.35"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</row>
    <row r="568" spans="22:34" ht="12.75" x14ac:dyDescent="0.35"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</row>
    <row r="569" spans="22:34" ht="12.75" x14ac:dyDescent="0.35"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</row>
    <row r="570" spans="22:34" ht="12.75" x14ac:dyDescent="0.35"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</row>
    <row r="571" spans="22:34" ht="12.75" x14ac:dyDescent="0.35"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4"/>
      <c r="AH571" s="104"/>
    </row>
    <row r="572" spans="22:34" ht="12.75" x14ac:dyDescent="0.35"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4"/>
      <c r="AH572" s="104"/>
    </row>
    <row r="573" spans="22:34" ht="12.75" x14ac:dyDescent="0.35"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4"/>
      <c r="AH573" s="104"/>
    </row>
    <row r="574" spans="22:34" ht="12.75" x14ac:dyDescent="0.35"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4"/>
      <c r="AH574" s="104"/>
    </row>
    <row r="575" spans="22:34" ht="12.75" x14ac:dyDescent="0.35"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</row>
    <row r="576" spans="22:34" ht="12.75" x14ac:dyDescent="0.35"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</row>
    <row r="577" spans="22:34" ht="12.75" x14ac:dyDescent="0.35"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</row>
    <row r="578" spans="22:34" ht="12.75" x14ac:dyDescent="0.35"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</row>
    <row r="579" spans="22:34" ht="12.75" x14ac:dyDescent="0.35"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</row>
    <row r="580" spans="22:34" ht="12.75" x14ac:dyDescent="0.35"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</row>
    <row r="581" spans="22:34" ht="12.75" x14ac:dyDescent="0.35"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</row>
    <row r="582" spans="22:34" ht="12.75" x14ac:dyDescent="0.35"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</row>
    <row r="583" spans="22:34" ht="12.75" x14ac:dyDescent="0.35"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</row>
    <row r="584" spans="22:34" ht="12.75" x14ac:dyDescent="0.35"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</row>
    <row r="585" spans="22:34" ht="12.75" x14ac:dyDescent="0.35"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</row>
    <row r="586" spans="22:34" ht="12.75" x14ac:dyDescent="0.35"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</row>
    <row r="587" spans="22:34" ht="12.75" x14ac:dyDescent="0.35"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</row>
    <row r="588" spans="22:34" ht="12.75" x14ac:dyDescent="0.35"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</row>
    <row r="589" spans="22:34" ht="12.75" x14ac:dyDescent="0.35"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</row>
    <row r="590" spans="22:34" ht="12.75" x14ac:dyDescent="0.35"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</row>
    <row r="591" spans="22:34" ht="12.75" x14ac:dyDescent="0.35"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</row>
    <row r="592" spans="22:34" ht="12.75" x14ac:dyDescent="0.35"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</row>
    <row r="593" spans="22:34" ht="12.75" x14ac:dyDescent="0.35"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</row>
    <row r="594" spans="22:34" ht="12.75" x14ac:dyDescent="0.35"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</row>
    <row r="595" spans="22:34" ht="12.75" x14ac:dyDescent="0.35"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</row>
    <row r="596" spans="22:34" ht="12.75" x14ac:dyDescent="0.35"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</row>
    <row r="597" spans="22:34" ht="12.75" x14ac:dyDescent="0.35"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</row>
    <row r="598" spans="22:34" ht="12.75" x14ac:dyDescent="0.35"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</row>
    <row r="599" spans="22:34" ht="12.75" x14ac:dyDescent="0.35"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</row>
    <row r="600" spans="22:34" ht="12.75" x14ac:dyDescent="0.35"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</row>
    <row r="601" spans="22:34" ht="12.75" x14ac:dyDescent="0.35"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</row>
    <row r="602" spans="22:34" ht="12.75" x14ac:dyDescent="0.35"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</row>
    <row r="603" spans="22:34" ht="12.75" x14ac:dyDescent="0.35"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4"/>
      <c r="AH603" s="104"/>
    </row>
    <row r="604" spans="22:34" ht="12.75" x14ac:dyDescent="0.35"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4"/>
      <c r="AH604" s="104"/>
    </row>
    <row r="605" spans="22:34" ht="12.75" x14ac:dyDescent="0.35"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4"/>
      <c r="AH605" s="104"/>
    </row>
    <row r="606" spans="22:34" ht="12.75" x14ac:dyDescent="0.35"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4"/>
      <c r="AH606" s="104"/>
    </row>
    <row r="607" spans="22:34" ht="12.75" x14ac:dyDescent="0.35"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4"/>
      <c r="AH607" s="104"/>
    </row>
    <row r="608" spans="22:34" ht="12.75" x14ac:dyDescent="0.35"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</row>
    <row r="609" spans="22:34" ht="12.75" x14ac:dyDescent="0.35"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</row>
    <row r="610" spans="22:34" ht="12.75" x14ac:dyDescent="0.35"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</row>
    <row r="611" spans="22:34" ht="12.75" x14ac:dyDescent="0.35"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</row>
    <row r="612" spans="22:34" ht="12.75" x14ac:dyDescent="0.35"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</row>
    <row r="613" spans="22:34" ht="12.75" x14ac:dyDescent="0.35"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</row>
    <row r="614" spans="22:34" ht="12.75" x14ac:dyDescent="0.35"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</row>
    <row r="615" spans="22:34" ht="12.75" x14ac:dyDescent="0.35"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</row>
    <row r="616" spans="22:34" ht="12.75" x14ac:dyDescent="0.35"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</row>
    <row r="617" spans="22:34" ht="12.75" x14ac:dyDescent="0.35"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</row>
    <row r="618" spans="22:34" ht="12.75" x14ac:dyDescent="0.35"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</row>
    <row r="619" spans="22:34" ht="12.75" x14ac:dyDescent="0.35"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</row>
    <row r="620" spans="22:34" ht="12.75" x14ac:dyDescent="0.35"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</row>
    <row r="621" spans="22:34" ht="12.75" x14ac:dyDescent="0.35"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</row>
    <row r="622" spans="22:34" ht="12.75" x14ac:dyDescent="0.35"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</row>
    <row r="623" spans="22:34" ht="12.75" x14ac:dyDescent="0.35"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</row>
    <row r="624" spans="22:34" ht="12.75" x14ac:dyDescent="0.35"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</row>
    <row r="625" spans="22:34" ht="12.75" x14ac:dyDescent="0.35"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</row>
    <row r="626" spans="22:34" ht="12.75" x14ac:dyDescent="0.35"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</row>
    <row r="627" spans="22:34" ht="12.75" x14ac:dyDescent="0.35"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</row>
    <row r="628" spans="22:34" ht="12.75" x14ac:dyDescent="0.35"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</row>
    <row r="629" spans="22:34" ht="12.75" x14ac:dyDescent="0.35"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</row>
    <row r="630" spans="22:34" ht="12.75" x14ac:dyDescent="0.35"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</row>
    <row r="631" spans="22:34" ht="12.75" x14ac:dyDescent="0.35"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</row>
    <row r="632" spans="22:34" ht="12.75" x14ac:dyDescent="0.35"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</row>
    <row r="633" spans="22:34" ht="12.75" x14ac:dyDescent="0.35"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</row>
    <row r="634" spans="22:34" ht="12.75" x14ac:dyDescent="0.35"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</row>
    <row r="635" spans="22:34" ht="12.75" x14ac:dyDescent="0.35"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</row>
    <row r="636" spans="22:34" ht="12.75" x14ac:dyDescent="0.35"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</row>
    <row r="637" spans="22:34" ht="12.75" x14ac:dyDescent="0.35"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</row>
    <row r="638" spans="22:34" ht="12.75" x14ac:dyDescent="0.35"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</row>
    <row r="639" spans="22:34" ht="12.75" x14ac:dyDescent="0.35"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</row>
    <row r="640" spans="22:34" ht="12.75" x14ac:dyDescent="0.35"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</row>
    <row r="641" spans="22:34" ht="12.75" x14ac:dyDescent="0.35"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4"/>
      <c r="AH641" s="104"/>
    </row>
    <row r="642" spans="22:34" ht="12.75" x14ac:dyDescent="0.35"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4"/>
      <c r="AH642" s="104"/>
    </row>
    <row r="643" spans="22:34" ht="12.75" x14ac:dyDescent="0.35"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</row>
    <row r="644" spans="22:34" ht="12.75" x14ac:dyDescent="0.35"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</row>
    <row r="645" spans="22:34" ht="12.75" x14ac:dyDescent="0.35"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</row>
    <row r="646" spans="22:34" ht="12.75" x14ac:dyDescent="0.35"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</row>
    <row r="647" spans="22:34" ht="12.75" x14ac:dyDescent="0.35"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</row>
    <row r="648" spans="22:34" ht="12.75" x14ac:dyDescent="0.35"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</row>
    <row r="649" spans="22:34" ht="12.75" x14ac:dyDescent="0.35"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</row>
    <row r="650" spans="22:34" ht="12.75" x14ac:dyDescent="0.35"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</row>
    <row r="651" spans="22:34" ht="12.75" x14ac:dyDescent="0.35"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</row>
    <row r="652" spans="22:34" ht="12.75" x14ac:dyDescent="0.35"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</row>
    <row r="653" spans="22:34" ht="12.75" x14ac:dyDescent="0.35"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</row>
    <row r="654" spans="22:34" ht="12.75" x14ac:dyDescent="0.35"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</row>
    <row r="655" spans="22:34" ht="12.75" x14ac:dyDescent="0.35"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</row>
    <row r="656" spans="22:34" ht="12.75" x14ac:dyDescent="0.35"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</row>
    <row r="657" spans="22:34" ht="12.75" x14ac:dyDescent="0.35"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</row>
    <row r="658" spans="22:34" ht="12.75" x14ac:dyDescent="0.35"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</row>
    <row r="659" spans="22:34" ht="12.75" x14ac:dyDescent="0.35"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</row>
    <row r="660" spans="22:34" ht="12.75" x14ac:dyDescent="0.35"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</row>
    <row r="661" spans="22:34" ht="12.75" x14ac:dyDescent="0.35"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</row>
    <row r="662" spans="22:34" ht="12.75" x14ac:dyDescent="0.35"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</row>
    <row r="663" spans="22:34" ht="12.75" x14ac:dyDescent="0.35"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</row>
    <row r="664" spans="22:34" ht="12.75" x14ac:dyDescent="0.35"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</row>
    <row r="665" spans="22:34" ht="12.75" x14ac:dyDescent="0.35"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</row>
    <row r="666" spans="22:34" ht="12.75" x14ac:dyDescent="0.35"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</row>
    <row r="667" spans="22:34" ht="12.75" x14ac:dyDescent="0.35"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</row>
    <row r="668" spans="22:34" ht="12.75" x14ac:dyDescent="0.35"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</row>
    <row r="669" spans="22:34" ht="12.75" x14ac:dyDescent="0.35"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</row>
    <row r="670" spans="22:34" ht="12.75" x14ac:dyDescent="0.35"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</row>
    <row r="671" spans="22:34" ht="12.75" x14ac:dyDescent="0.35"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</row>
    <row r="672" spans="22:34" ht="12.75" x14ac:dyDescent="0.35"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</row>
    <row r="673" spans="22:34" ht="12.75" x14ac:dyDescent="0.35"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</row>
    <row r="674" spans="22:34" ht="12.75" x14ac:dyDescent="0.35"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</row>
    <row r="675" spans="22:34" ht="12.75" x14ac:dyDescent="0.35"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</row>
    <row r="676" spans="22:34" ht="12.75" x14ac:dyDescent="0.35"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</row>
    <row r="677" spans="22:34" ht="12.75" x14ac:dyDescent="0.35"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</row>
    <row r="678" spans="22:34" ht="12.75" x14ac:dyDescent="0.35"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</row>
    <row r="679" spans="22:34" ht="12.75" x14ac:dyDescent="0.35"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</row>
    <row r="680" spans="22:34" ht="12.75" x14ac:dyDescent="0.35"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</row>
    <row r="681" spans="22:34" ht="12.75" x14ac:dyDescent="0.35"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</row>
    <row r="682" spans="22:34" ht="12.75" x14ac:dyDescent="0.35"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</row>
    <row r="683" spans="22:34" ht="12.75" x14ac:dyDescent="0.35"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</row>
    <row r="684" spans="22:34" ht="12.75" x14ac:dyDescent="0.35"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</row>
    <row r="685" spans="22:34" ht="12.75" x14ac:dyDescent="0.35"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</row>
    <row r="686" spans="22:34" ht="12.75" x14ac:dyDescent="0.35"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</row>
    <row r="687" spans="22:34" ht="12.75" x14ac:dyDescent="0.35"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</row>
    <row r="688" spans="22:34" ht="12.75" x14ac:dyDescent="0.35"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</row>
    <row r="689" spans="22:34" ht="12.75" x14ac:dyDescent="0.35"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</row>
    <row r="690" spans="22:34" ht="12.75" x14ac:dyDescent="0.35"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</row>
    <row r="691" spans="22:34" ht="12.75" x14ac:dyDescent="0.35"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</row>
    <row r="692" spans="22:34" ht="12.75" x14ac:dyDescent="0.35"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</row>
    <row r="693" spans="22:34" ht="12.75" x14ac:dyDescent="0.35"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</row>
    <row r="694" spans="22:34" ht="12.75" x14ac:dyDescent="0.35"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</row>
    <row r="695" spans="22:34" ht="12.75" x14ac:dyDescent="0.35"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</row>
    <row r="696" spans="22:34" ht="12.75" x14ac:dyDescent="0.35"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</row>
    <row r="697" spans="22:34" ht="12.75" x14ac:dyDescent="0.35"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</row>
    <row r="698" spans="22:34" ht="12.75" x14ac:dyDescent="0.35"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</row>
    <row r="699" spans="22:34" ht="12.75" x14ac:dyDescent="0.35"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</row>
    <row r="700" spans="22:34" ht="12.75" x14ac:dyDescent="0.35"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</row>
    <row r="701" spans="22:34" ht="12.75" x14ac:dyDescent="0.35"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</row>
    <row r="702" spans="22:34" ht="12.75" x14ac:dyDescent="0.35"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</row>
    <row r="703" spans="22:34" ht="12.75" x14ac:dyDescent="0.35"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</row>
    <row r="704" spans="22:34" ht="12.75" x14ac:dyDescent="0.35"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</row>
    <row r="705" spans="22:34" ht="12.75" x14ac:dyDescent="0.35"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</row>
    <row r="706" spans="22:34" ht="12.75" x14ac:dyDescent="0.35"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</row>
    <row r="707" spans="22:34" ht="12.75" x14ac:dyDescent="0.35"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</row>
    <row r="708" spans="22:34" ht="12.75" x14ac:dyDescent="0.35"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</row>
    <row r="709" spans="22:34" ht="12.75" x14ac:dyDescent="0.35"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</row>
    <row r="710" spans="22:34" ht="12.75" x14ac:dyDescent="0.35"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</row>
    <row r="711" spans="22:34" ht="12.75" x14ac:dyDescent="0.35"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</row>
    <row r="712" spans="22:34" ht="12.75" x14ac:dyDescent="0.35"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</row>
    <row r="713" spans="22:34" ht="12.75" x14ac:dyDescent="0.35"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</row>
    <row r="714" spans="22:34" ht="12.75" x14ac:dyDescent="0.35"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</row>
    <row r="715" spans="22:34" ht="12.75" x14ac:dyDescent="0.35"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</row>
    <row r="716" spans="22:34" ht="12.75" x14ac:dyDescent="0.35"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</row>
    <row r="717" spans="22:34" ht="12.75" x14ac:dyDescent="0.35"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</row>
    <row r="718" spans="22:34" ht="12.75" x14ac:dyDescent="0.35"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</row>
    <row r="719" spans="22:34" ht="12.75" x14ac:dyDescent="0.35"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</row>
    <row r="720" spans="22:34" ht="12.75" x14ac:dyDescent="0.35"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</row>
    <row r="721" spans="22:34" ht="12.75" x14ac:dyDescent="0.35"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</row>
    <row r="722" spans="22:34" ht="12.75" x14ac:dyDescent="0.35"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</row>
    <row r="723" spans="22:34" ht="12.75" x14ac:dyDescent="0.35"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</row>
    <row r="724" spans="22:34" ht="12.75" x14ac:dyDescent="0.35"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</row>
    <row r="725" spans="22:34" ht="12.75" x14ac:dyDescent="0.35"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</row>
    <row r="726" spans="22:34" ht="12.75" x14ac:dyDescent="0.35"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</row>
    <row r="727" spans="22:34" ht="12.75" x14ac:dyDescent="0.35"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</row>
    <row r="728" spans="22:34" ht="12.75" x14ac:dyDescent="0.35"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</row>
    <row r="729" spans="22:34" ht="12.75" x14ac:dyDescent="0.35"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  <c r="AH729" s="104"/>
    </row>
    <row r="730" spans="22:34" ht="12.75" x14ac:dyDescent="0.35"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  <c r="AH730" s="104"/>
    </row>
    <row r="731" spans="22:34" ht="12.75" x14ac:dyDescent="0.35"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  <c r="AH731" s="104"/>
    </row>
    <row r="732" spans="22:34" ht="12.75" x14ac:dyDescent="0.35"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  <c r="AH732" s="104"/>
    </row>
    <row r="733" spans="22:34" ht="12.75" x14ac:dyDescent="0.35"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</row>
    <row r="734" spans="22:34" ht="12.75" x14ac:dyDescent="0.35"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</row>
    <row r="735" spans="22:34" ht="12.75" x14ac:dyDescent="0.35"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</row>
    <row r="736" spans="22:34" ht="12.75" x14ac:dyDescent="0.35"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</row>
    <row r="737" spans="22:34" ht="12.75" x14ac:dyDescent="0.35"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</row>
    <row r="738" spans="22:34" ht="12.75" x14ac:dyDescent="0.35"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</row>
    <row r="739" spans="22:34" ht="12.75" x14ac:dyDescent="0.35"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  <c r="AH739" s="104"/>
    </row>
    <row r="740" spans="22:34" ht="12.75" x14ac:dyDescent="0.35"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  <c r="AH740" s="104"/>
    </row>
    <row r="741" spans="22:34" ht="12.75" x14ac:dyDescent="0.35"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  <c r="AH741" s="104"/>
    </row>
    <row r="742" spans="22:34" ht="12.75" x14ac:dyDescent="0.35"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  <c r="AH742" s="104"/>
    </row>
    <row r="743" spans="22:34" ht="12.75" x14ac:dyDescent="0.35"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</row>
    <row r="744" spans="22:34" ht="12.75" x14ac:dyDescent="0.35"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</row>
    <row r="745" spans="22:34" ht="12.75" x14ac:dyDescent="0.35"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</row>
    <row r="746" spans="22:34" ht="12.75" x14ac:dyDescent="0.35"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</row>
    <row r="747" spans="22:34" ht="12.75" x14ac:dyDescent="0.35"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</row>
    <row r="748" spans="22:34" ht="12.75" x14ac:dyDescent="0.35"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</row>
    <row r="749" spans="22:34" ht="12.75" x14ac:dyDescent="0.35"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</row>
    <row r="750" spans="22:34" ht="12.75" x14ac:dyDescent="0.35"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</row>
    <row r="751" spans="22:34" ht="12.75" x14ac:dyDescent="0.35"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</row>
    <row r="752" spans="22:34" ht="12.75" x14ac:dyDescent="0.35"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</row>
    <row r="753" spans="22:34" ht="12.75" x14ac:dyDescent="0.35"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</row>
    <row r="754" spans="22:34" ht="12.75" x14ac:dyDescent="0.35"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</row>
    <row r="755" spans="22:34" ht="12.75" x14ac:dyDescent="0.35"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</row>
    <row r="756" spans="22:34" ht="12.75" x14ac:dyDescent="0.35"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</row>
    <row r="757" spans="22:34" ht="12.75" x14ac:dyDescent="0.35"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</row>
    <row r="758" spans="22:34" ht="12.75" x14ac:dyDescent="0.35"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</row>
    <row r="759" spans="22:34" ht="12.75" x14ac:dyDescent="0.35"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</row>
    <row r="760" spans="22:34" ht="12.75" x14ac:dyDescent="0.35"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</row>
    <row r="761" spans="22:34" ht="12.75" x14ac:dyDescent="0.35"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</row>
    <row r="762" spans="22:34" ht="12.75" x14ac:dyDescent="0.35"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</row>
    <row r="763" spans="22:34" ht="12.75" x14ac:dyDescent="0.35"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</row>
    <row r="764" spans="22:34" ht="12.75" x14ac:dyDescent="0.35"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</row>
    <row r="765" spans="22:34" ht="12.75" x14ac:dyDescent="0.35"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</row>
    <row r="766" spans="22:34" ht="12.75" x14ac:dyDescent="0.35"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</row>
    <row r="767" spans="22:34" ht="12.75" x14ac:dyDescent="0.35"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</row>
    <row r="768" spans="22:34" ht="12.75" x14ac:dyDescent="0.35"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</row>
    <row r="769" spans="22:34" ht="12.75" x14ac:dyDescent="0.35"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</row>
    <row r="770" spans="22:34" ht="12.75" x14ac:dyDescent="0.35"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</row>
    <row r="771" spans="22:34" ht="12.75" x14ac:dyDescent="0.35"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</row>
    <row r="772" spans="22:34" ht="12.75" x14ac:dyDescent="0.35"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</row>
    <row r="773" spans="22:34" ht="12.75" x14ac:dyDescent="0.35"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</row>
    <row r="774" spans="22:34" ht="12.75" x14ac:dyDescent="0.35"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</row>
    <row r="775" spans="22:34" ht="12.75" x14ac:dyDescent="0.35"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</row>
    <row r="776" spans="22:34" ht="12.75" x14ac:dyDescent="0.35"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  <c r="AH776" s="104"/>
    </row>
    <row r="777" spans="22:34" ht="12.75" x14ac:dyDescent="0.35"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  <c r="AH777" s="104"/>
    </row>
    <row r="778" spans="22:34" ht="12.75" x14ac:dyDescent="0.35"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  <c r="AH778" s="104"/>
    </row>
    <row r="779" spans="22:34" ht="12.75" x14ac:dyDescent="0.35"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  <c r="AH779" s="104"/>
    </row>
    <row r="780" spans="22:34" ht="12.75" x14ac:dyDescent="0.35"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  <c r="AH780" s="104"/>
    </row>
    <row r="781" spans="22:34" ht="12.75" x14ac:dyDescent="0.35"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  <c r="AH781" s="104"/>
    </row>
    <row r="782" spans="22:34" ht="12.75" x14ac:dyDescent="0.35"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  <c r="AH782" s="104"/>
    </row>
    <row r="783" spans="22:34" ht="12.75" x14ac:dyDescent="0.35"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  <c r="AH783" s="104"/>
    </row>
    <row r="784" spans="22:34" ht="12.75" x14ac:dyDescent="0.35"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</row>
    <row r="785" spans="22:34" ht="12.75" x14ac:dyDescent="0.35"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</row>
    <row r="786" spans="22:34" ht="12.75" x14ac:dyDescent="0.35"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</row>
    <row r="787" spans="22:34" ht="12.75" x14ac:dyDescent="0.35"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</row>
    <row r="788" spans="22:34" ht="12.75" x14ac:dyDescent="0.35"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  <c r="AH788" s="104"/>
    </row>
    <row r="789" spans="22:34" ht="12.75" x14ac:dyDescent="0.35"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  <c r="AH789" s="104"/>
    </row>
    <row r="790" spans="22:34" ht="12.75" x14ac:dyDescent="0.35"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  <c r="AH790" s="104"/>
    </row>
    <row r="791" spans="22:34" ht="12.75" x14ac:dyDescent="0.35"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  <c r="AH791" s="104"/>
    </row>
    <row r="792" spans="22:34" ht="12.75" x14ac:dyDescent="0.35"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  <c r="AH792" s="104"/>
    </row>
    <row r="793" spans="22:34" ht="12.75" x14ac:dyDescent="0.35"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  <c r="AH793" s="104"/>
    </row>
    <row r="794" spans="22:34" ht="12.75" x14ac:dyDescent="0.35"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</row>
    <row r="795" spans="22:34" ht="12.75" x14ac:dyDescent="0.35"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</row>
    <row r="796" spans="22:34" ht="12.75" x14ac:dyDescent="0.35"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</row>
    <row r="797" spans="22:34" ht="12.75" x14ac:dyDescent="0.35"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</row>
    <row r="798" spans="22:34" ht="12.75" x14ac:dyDescent="0.35"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</row>
    <row r="799" spans="22:34" ht="12.75" x14ac:dyDescent="0.35"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  <c r="AH799" s="104"/>
    </row>
    <row r="800" spans="22:34" ht="12.75" x14ac:dyDescent="0.35"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  <c r="AH800" s="104"/>
    </row>
    <row r="801" spans="22:34" ht="12.75" x14ac:dyDescent="0.35"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  <c r="AH801" s="104"/>
    </row>
    <row r="802" spans="22:34" ht="12.75" x14ac:dyDescent="0.35"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</row>
    <row r="803" spans="22:34" ht="12.75" x14ac:dyDescent="0.35"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</row>
    <row r="804" spans="22:34" ht="12.75" x14ac:dyDescent="0.35"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</row>
    <row r="805" spans="22:34" ht="12.75" x14ac:dyDescent="0.35"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</row>
    <row r="806" spans="22:34" ht="12.75" x14ac:dyDescent="0.35"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</row>
    <row r="807" spans="22:34" ht="12.75" x14ac:dyDescent="0.35"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</row>
    <row r="808" spans="22:34" ht="12.75" x14ac:dyDescent="0.35"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</row>
    <row r="809" spans="22:34" ht="12.75" x14ac:dyDescent="0.35"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  <c r="AH809" s="104"/>
    </row>
    <row r="810" spans="22:34" ht="12.75" x14ac:dyDescent="0.35"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  <c r="AH810" s="104"/>
    </row>
    <row r="811" spans="22:34" ht="12.75" x14ac:dyDescent="0.35"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  <c r="AH811" s="104"/>
    </row>
    <row r="812" spans="22:34" ht="12.75" x14ac:dyDescent="0.35"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  <c r="AH812" s="104"/>
    </row>
    <row r="813" spans="22:34" ht="12.75" x14ac:dyDescent="0.35"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  <c r="AH813" s="104"/>
    </row>
    <row r="814" spans="22:34" ht="12.75" x14ac:dyDescent="0.35"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  <c r="AH814" s="104"/>
    </row>
    <row r="815" spans="22:34" ht="12.75" x14ac:dyDescent="0.35"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  <c r="AH815" s="104"/>
    </row>
    <row r="816" spans="22:34" ht="12.75" x14ac:dyDescent="0.35"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  <c r="AH816" s="104"/>
    </row>
    <row r="817" spans="22:34" ht="12.75" x14ac:dyDescent="0.35"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  <c r="AH817" s="104"/>
    </row>
    <row r="818" spans="22:34" ht="12.75" x14ac:dyDescent="0.35"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</row>
    <row r="819" spans="22:34" ht="12.75" x14ac:dyDescent="0.35"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</row>
    <row r="820" spans="22:34" ht="12.75" x14ac:dyDescent="0.35"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  <c r="AH820" s="104"/>
    </row>
    <row r="821" spans="22:34" ht="12.75" x14ac:dyDescent="0.35"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</row>
    <row r="822" spans="22:34" ht="12.75" x14ac:dyDescent="0.35"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  <c r="AH822" s="104"/>
    </row>
    <row r="823" spans="22:34" ht="12.75" x14ac:dyDescent="0.35"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  <c r="AH823" s="104"/>
    </row>
    <row r="824" spans="22:34" ht="12.75" x14ac:dyDescent="0.35"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  <c r="AH824" s="104"/>
    </row>
    <row r="825" spans="22:34" ht="12.75" x14ac:dyDescent="0.35"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  <c r="AH825" s="104"/>
    </row>
    <row r="826" spans="22:34" ht="12.75" x14ac:dyDescent="0.35"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  <c r="AH826" s="104"/>
    </row>
    <row r="827" spans="22:34" ht="12.75" x14ac:dyDescent="0.35"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  <c r="AH827" s="104"/>
    </row>
    <row r="828" spans="22:34" ht="12.75" x14ac:dyDescent="0.35"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  <c r="AH828" s="104"/>
    </row>
    <row r="829" spans="22:34" ht="12.75" x14ac:dyDescent="0.35"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  <c r="AH829" s="104"/>
    </row>
    <row r="830" spans="22:34" ht="12.75" x14ac:dyDescent="0.35"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  <c r="AH830" s="104"/>
    </row>
    <row r="831" spans="22:34" ht="12.75" x14ac:dyDescent="0.35"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  <c r="AH831" s="104"/>
    </row>
    <row r="832" spans="22:34" ht="12.75" x14ac:dyDescent="0.35"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  <c r="AH832" s="104"/>
    </row>
    <row r="833" spans="22:34" ht="12.75" x14ac:dyDescent="0.35"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  <c r="AH833" s="104"/>
    </row>
    <row r="834" spans="22:34" ht="12.75" x14ac:dyDescent="0.35"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  <c r="AH834" s="104"/>
    </row>
    <row r="835" spans="22:34" ht="12.75" x14ac:dyDescent="0.35"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  <c r="AH835" s="104"/>
    </row>
    <row r="836" spans="22:34" ht="12.75" x14ac:dyDescent="0.35"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  <c r="AH836" s="104"/>
    </row>
    <row r="837" spans="22:34" ht="12.75" x14ac:dyDescent="0.35"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  <c r="AH837" s="104"/>
    </row>
    <row r="838" spans="22:34" ht="12.75" x14ac:dyDescent="0.35"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  <c r="AH838" s="104"/>
    </row>
    <row r="839" spans="22:34" ht="12.75" x14ac:dyDescent="0.35"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  <c r="AH839" s="104"/>
    </row>
    <row r="840" spans="22:34" ht="12.75" x14ac:dyDescent="0.35"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  <c r="AH840" s="104"/>
    </row>
    <row r="841" spans="22:34" ht="12.75" x14ac:dyDescent="0.35"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  <c r="AH841" s="104"/>
    </row>
    <row r="842" spans="22:34" ht="12.75" x14ac:dyDescent="0.35"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  <c r="AH842" s="104"/>
    </row>
    <row r="843" spans="22:34" ht="12.75" x14ac:dyDescent="0.35"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  <c r="AH843" s="104"/>
    </row>
    <row r="844" spans="22:34" ht="12.75" x14ac:dyDescent="0.35"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  <c r="AH844" s="104"/>
    </row>
    <row r="845" spans="22:34" ht="12.75" x14ac:dyDescent="0.35"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  <c r="AH845" s="104"/>
    </row>
    <row r="846" spans="22:34" ht="12.75" x14ac:dyDescent="0.35"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  <c r="AH846" s="104"/>
    </row>
    <row r="847" spans="22:34" ht="12.75" x14ac:dyDescent="0.35"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  <c r="AH847" s="104"/>
    </row>
    <row r="848" spans="22:34" ht="12.75" x14ac:dyDescent="0.35"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  <c r="AH848" s="104"/>
    </row>
    <row r="849" spans="22:34" ht="12.75" x14ac:dyDescent="0.35"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  <c r="AH849" s="104"/>
    </row>
    <row r="850" spans="22:34" ht="12.75" x14ac:dyDescent="0.35"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  <c r="AH850" s="104"/>
    </row>
    <row r="851" spans="22:34" ht="12.75" x14ac:dyDescent="0.35"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  <c r="AH851" s="104"/>
    </row>
    <row r="852" spans="22:34" ht="12.75" x14ac:dyDescent="0.35"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  <c r="AH852" s="104"/>
    </row>
    <row r="853" spans="22:34" ht="12.75" x14ac:dyDescent="0.35"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  <c r="AH853" s="104"/>
    </row>
    <row r="854" spans="22:34" ht="12.75" x14ac:dyDescent="0.35"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  <c r="AH854" s="104"/>
    </row>
    <row r="855" spans="22:34" ht="12.75" x14ac:dyDescent="0.35"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  <c r="AH855" s="104"/>
    </row>
    <row r="856" spans="22:34" ht="12.75" x14ac:dyDescent="0.35"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  <c r="AH856" s="104"/>
    </row>
    <row r="857" spans="22:34" ht="12.75" x14ac:dyDescent="0.35"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  <c r="AH857" s="104"/>
    </row>
    <row r="858" spans="22:34" ht="12.75" x14ac:dyDescent="0.35"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  <c r="AH858" s="104"/>
    </row>
    <row r="859" spans="22:34" ht="12.75" x14ac:dyDescent="0.35"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  <c r="AH859" s="104"/>
    </row>
    <row r="860" spans="22:34" ht="12.75" x14ac:dyDescent="0.35"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</row>
    <row r="861" spans="22:34" ht="12.75" x14ac:dyDescent="0.35"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  <c r="AH861" s="104"/>
    </row>
    <row r="862" spans="22:34" ht="12.75" x14ac:dyDescent="0.35"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  <c r="AH862" s="104"/>
    </row>
    <row r="863" spans="22:34" ht="12.75" x14ac:dyDescent="0.35"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  <c r="AH863" s="104"/>
    </row>
    <row r="864" spans="22:34" ht="12.75" x14ac:dyDescent="0.35"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  <c r="AH864" s="104"/>
    </row>
    <row r="865" spans="22:34" ht="12.75" x14ac:dyDescent="0.35"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  <c r="AH865" s="104"/>
    </row>
    <row r="866" spans="22:34" ht="12.75" x14ac:dyDescent="0.35"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  <c r="AH866" s="104"/>
    </row>
    <row r="867" spans="22:34" ht="12.75" x14ac:dyDescent="0.35"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  <c r="AH867" s="104"/>
    </row>
    <row r="868" spans="22:34" ht="12.75" x14ac:dyDescent="0.35"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  <c r="AH868" s="104"/>
    </row>
    <row r="869" spans="22:34" ht="12.75" x14ac:dyDescent="0.35"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  <c r="AH869" s="104"/>
    </row>
    <row r="870" spans="22:34" ht="12.75" x14ac:dyDescent="0.35"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  <c r="AH870" s="104"/>
    </row>
    <row r="871" spans="22:34" ht="12.75" x14ac:dyDescent="0.35"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  <c r="AH871" s="104"/>
    </row>
    <row r="872" spans="22:34" ht="12.75" x14ac:dyDescent="0.35"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  <c r="AH872" s="104"/>
    </row>
    <row r="873" spans="22:34" ht="12.75" x14ac:dyDescent="0.35"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  <c r="AH873" s="104"/>
    </row>
    <row r="874" spans="22:34" ht="12.75" x14ac:dyDescent="0.35"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  <c r="AH874" s="104"/>
    </row>
    <row r="875" spans="22:34" ht="12.75" x14ac:dyDescent="0.35"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  <c r="AH875" s="104"/>
    </row>
    <row r="876" spans="22:34" ht="12.75" x14ac:dyDescent="0.35"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  <c r="AH876" s="104"/>
    </row>
    <row r="877" spans="22:34" ht="12.75" x14ac:dyDescent="0.35"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  <c r="AH877" s="104"/>
    </row>
    <row r="878" spans="22:34" ht="12.75" x14ac:dyDescent="0.35"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  <c r="AH878" s="104"/>
    </row>
    <row r="879" spans="22:34" ht="12.75" x14ac:dyDescent="0.35"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  <c r="AH879" s="104"/>
    </row>
    <row r="880" spans="22:34" ht="12.75" x14ac:dyDescent="0.35"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  <c r="AH880" s="104"/>
    </row>
    <row r="881" spans="22:34" ht="12.75" x14ac:dyDescent="0.35"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  <c r="AH881" s="104"/>
    </row>
    <row r="882" spans="22:34" ht="12.75" x14ac:dyDescent="0.35"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  <c r="AH882" s="104"/>
    </row>
    <row r="883" spans="22:34" ht="12.75" x14ac:dyDescent="0.35"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  <c r="AH883" s="104"/>
    </row>
    <row r="884" spans="22:34" ht="12.75" x14ac:dyDescent="0.35"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  <c r="AH884" s="104"/>
    </row>
    <row r="885" spans="22:34" ht="12.75" x14ac:dyDescent="0.35"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  <c r="AH885" s="104"/>
    </row>
    <row r="886" spans="22:34" ht="12.75" x14ac:dyDescent="0.35"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  <c r="AH886" s="104"/>
    </row>
    <row r="887" spans="22:34" ht="12.75" x14ac:dyDescent="0.35"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  <c r="AH887" s="104"/>
    </row>
    <row r="888" spans="22:34" ht="12.75" x14ac:dyDescent="0.35"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  <c r="AH888" s="104"/>
    </row>
    <row r="889" spans="22:34" ht="12.75" x14ac:dyDescent="0.35"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  <c r="AH889" s="104"/>
    </row>
    <row r="890" spans="22:34" ht="12.75" x14ac:dyDescent="0.35"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  <c r="AH890" s="104"/>
    </row>
    <row r="891" spans="22:34" ht="12.75" x14ac:dyDescent="0.35"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  <c r="AH891" s="104"/>
    </row>
    <row r="892" spans="22:34" ht="12.75" x14ac:dyDescent="0.35"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  <c r="AH892" s="104"/>
    </row>
    <row r="893" spans="22:34" ht="12.75" x14ac:dyDescent="0.35"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  <c r="AH893" s="104"/>
    </row>
    <row r="894" spans="22:34" ht="12.75" x14ac:dyDescent="0.35"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  <c r="AH894" s="104"/>
    </row>
    <row r="895" spans="22:34" ht="12.75" x14ac:dyDescent="0.35"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  <c r="AH895" s="104"/>
    </row>
    <row r="896" spans="22:34" ht="12.75" x14ac:dyDescent="0.35"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  <c r="AH896" s="104"/>
    </row>
    <row r="897" spans="22:34" ht="12.75" x14ac:dyDescent="0.35"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  <c r="AH897" s="104"/>
    </row>
    <row r="898" spans="22:34" ht="12.75" x14ac:dyDescent="0.35"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  <c r="AH898" s="104"/>
    </row>
    <row r="899" spans="22:34" ht="12.75" x14ac:dyDescent="0.35"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  <c r="AH899" s="104"/>
    </row>
    <row r="900" spans="22:34" ht="12.75" x14ac:dyDescent="0.35"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  <c r="AH900" s="104"/>
    </row>
    <row r="901" spans="22:34" ht="12.75" x14ac:dyDescent="0.35"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  <c r="AH901" s="104"/>
    </row>
    <row r="902" spans="22:34" ht="12.75" x14ac:dyDescent="0.35"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  <c r="AH902" s="104"/>
    </row>
    <row r="903" spans="22:34" ht="12.75" x14ac:dyDescent="0.35"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</row>
    <row r="904" spans="22:34" ht="12.75" x14ac:dyDescent="0.35"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  <c r="AH904" s="104"/>
    </row>
    <row r="905" spans="22:34" ht="12.75" x14ac:dyDescent="0.35"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  <c r="AH905" s="104"/>
    </row>
    <row r="906" spans="22:34" ht="12.75" x14ac:dyDescent="0.35"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  <c r="AH906" s="104"/>
    </row>
    <row r="907" spans="22:34" ht="12.75" x14ac:dyDescent="0.35"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  <c r="AH907" s="104"/>
    </row>
    <row r="908" spans="22:34" ht="12.75" x14ac:dyDescent="0.35"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  <c r="AH908" s="104"/>
    </row>
    <row r="909" spans="22:34" ht="12.75" x14ac:dyDescent="0.35"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  <c r="AH909" s="104"/>
    </row>
    <row r="910" spans="22:34" ht="12.75" x14ac:dyDescent="0.35"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  <c r="AH910" s="104"/>
    </row>
    <row r="911" spans="22:34" ht="12.75" x14ac:dyDescent="0.35"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  <c r="AH911" s="104"/>
    </row>
    <row r="912" spans="22:34" ht="12.75" x14ac:dyDescent="0.35"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  <c r="AH912" s="104"/>
    </row>
    <row r="913" spans="22:34" ht="12.75" x14ac:dyDescent="0.35"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  <c r="AH913" s="104"/>
    </row>
    <row r="914" spans="22:34" ht="12.75" x14ac:dyDescent="0.35"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  <c r="AH914" s="104"/>
    </row>
    <row r="915" spans="22:34" ht="12.75" x14ac:dyDescent="0.35"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  <c r="AH915" s="104"/>
    </row>
    <row r="916" spans="22:34" ht="12.75" x14ac:dyDescent="0.35"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  <c r="AH916" s="104"/>
    </row>
    <row r="917" spans="22:34" ht="12.75" x14ac:dyDescent="0.35"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  <c r="AH917" s="104"/>
    </row>
    <row r="918" spans="22:34" ht="12.75" x14ac:dyDescent="0.35"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  <c r="AH918" s="104"/>
    </row>
    <row r="919" spans="22:34" ht="12.75" x14ac:dyDescent="0.35"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  <c r="AH919" s="104"/>
    </row>
    <row r="920" spans="22:34" ht="12.75" x14ac:dyDescent="0.35"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  <c r="AH920" s="104"/>
    </row>
    <row r="921" spans="22:34" ht="12.75" x14ac:dyDescent="0.35"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  <c r="AH921" s="104"/>
    </row>
    <row r="922" spans="22:34" ht="12.75" x14ac:dyDescent="0.35"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  <c r="AH922" s="104"/>
    </row>
    <row r="923" spans="22:34" ht="12.75" x14ac:dyDescent="0.35"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  <c r="AH923" s="104"/>
    </row>
    <row r="924" spans="22:34" ht="12.75" x14ac:dyDescent="0.35"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  <c r="AH924" s="104"/>
    </row>
    <row r="925" spans="22:34" ht="12.75" x14ac:dyDescent="0.35"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  <c r="AH925" s="104"/>
    </row>
    <row r="926" spans="22:34" ht="12.75" x14ac:dyDescent="0.35"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  <c r="AH926" s="104"/>
    </row>
    <row r="927" spans="22:34" ht="12.75" x14ac:dyDescent="0.35"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  <c r="AH927" s="104"/>
    </row>
    <row r="928" spans="22:34" ht="12.75" x14ac:dyDescent="0.35"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  <c r="AH928" s="104"/>
    </row>
    <row r="929" spans="22:34" ht="12.75" x14ac:dyDescent="0.35"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  <c r="AH929" s="104"/>
    </row>
    <row r="930" spans="22:34" ht="12.75" x14ac:dyDescent="0.35"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  <c r="AH930" s="104"/>
    </row>
    <row r="931" spans="22:34" ht="12.75" x14ac:dyDescent="0.35"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  <c r="AH931" s="104"/>
    </row>
    <row r="932" spans="22:34" ht="12.75" x14ac:dyDescent="0.35"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  <c r="AH932" s="104"/>
    </row>
    <row r="933" spans="22:34" ht="12.75" x14ac:dyDescent="0.35"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  <c r="AH933" s="104"/>
    </row>
    <row r="934" spans="22:34" ht="12.75" x14ac:dyDescent="0.35"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  <c r="AH934" s="104"/>
    </row>
    <row r="935" spans="22:34" ht="12.75" x14ac:dyDescent="0.35"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  <c r="AH935" s="104"/>
    </row>
    <row r="936" spans="22:34" ht="12.75" x14ac:dyDescent="0.35"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  <c r="AH936" s="104"/>
    </row>
    <row r="937" spans="22:34" ht="12.75" x14ac:dyDescent="0.35"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4"/>
      <c r="AH937" s="104"/>
    </row>
    <row r="938" spans="22:34" ht="12.75" x14ac:dyDescent="0.35"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4"/>
      <c r="AH938" s="104"/>
    </row>
    <row r="939" spans="22:34" ht="12.75" x14ac:dyDescent="0.35"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4"/>
      <c r="AH939" s="104"/>
    </row>
    <row r="940" spans="22:34" ht="12.75" x14ac:dyDescent="0.35"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4"/>
      <c r="AH940" s="104"/>
    </row>
    <row r="941" spans="22:34" ht="12.75" x14ac:dyDescent="0.35"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4"/>
      <c r="AH941" s="104"/>
    </row>
    <row r="942" spans="22:34" ht="12.75" x14ac:dyDescent="0.35"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4"/>
      <c r="AH942" s="104"/>
    </row>
    <row r="943" spans="22:34" ht="12.75" x14ac:dyDescent="0.35"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4"/>
      <c r="AH943" s="104"/>
    </row>
    <row r="944" spans="22:34" ht="12.75" x14ac:dyDescent="0.35"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4"/>
      <c r="AH944" s="104"/>
    </row>
    <row r="945" spans="22:34" ht="12.75" x14ac:dyDescent="0.35"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4"/>
      <c r="AH945" s="104"/>
    </row>
    <row r="946" spans="22:34" ht="12.75" x14ac:dyDescent="0.35"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4"/>
      <c r="AH946" s="104"/>
    </row>
    <row r="947" spans="22:34" ht="12.75" x14ac:dyDescent="0.35"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4"/>
      <c r="AH947" s="104"/>
    </row>
    <row r="948" spans="22:34" ht="12.75" x14ac:dyDescent="0.35"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4"/>
      <c r="AH948" s="104"/>
    </row>
    <row r="949" spans="22:34" ht="12.75" x14ac:dyDescent="0.35"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4"/>
      <c r="AH949" s="104"/>
    </row>
    <row r="950" spans="22:34" ht="12.75" x14ac:dyDescent="0.35"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4"/>
      <c r="AH950" s="104"/>
    </row>
    <row r="951" spans="22:34" ht="12.75" x14ac:dyDescent="0.35"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4"/>
      <c r="AH951" s="104"/>
    </row>
    <row r="952" spans="22:34" ht="12.75" x14ac:dyDescent="0.35"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4"/>
      <c r="AH952" s="104"/>
    </row>
    <row r="953" spans="22:34" ht="12.75" x14ac:dyDescent="0.35"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4"/>
      <c r="AH953" s="104"/>
    </row>
    <row r="954" spans="22:34" ht="12.75" x14ac:dyDescent="0.35"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4"/>
      <c r="AH954" s="104"/>
    </row>
    <row r="955" spans="22:34" ht="12.75" x14ac:dyDescent="0.35"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4"/>
      <c r="AH955" s="104"/>
    </row>
    <row r="956" spans="22:34" ht="12.75" x14ac:dyDescent="0.35"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4"/>
      <c r="AH956" s="104"/>
    </row>
    <row r="957" spans="22:34" ht="12.75" x14ac:dyDescent="0.35"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4"/>
      <c r="AH957" s="104"/>
    </row>
    <row r="958" spans="22:34" ht="12.75" x14ac:dyDescent="0.35"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4"/>
      <c r="AH958" s="104"/>
    </row>
    <row r="959" spans="22:34" ht="12.75" x14ac:dyDescent="0.35"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4"/>
      <c r="AH959" s="104"/>
    </row>
    <row r="960" spans="22:34" ht="12.75" x14ac:dyDescent="0.35"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4"/>
      <c r="AH960" s="104"/>
    </row>
    <row r="961" spans="22:34" ht="12.75" x14ac:dyDescent="0.35"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4"/>
      <c r="AH961" s="104"/>
    </row>
    <row r="962" spans="22:34" ht="12.75" x14ac:dyDescent="0.35"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4"/>
      <c r="AH962" s="104"/>
    </row>
    <row r="963" spans="22:34" ht="12.75" x14ac:dyDescent="0.35"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4"/>
      <c r="AH963" s="104"/>
    </row>
    <row r="964" spans="22:34" ht="12.75" x14ac:dyDescent="0.35"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4"/>
      <c r="AH964" s="104"/>
    </row>
    <row r="965" spans="22:34" ht="12.75" x14ac:dyDescent="0.35"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4"/>
      <c r="AH965" s="104"/>
    </row>
    <row r="966" spans="22:34" ht="12.75" x14ac:dyDescent="0.35"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4"/>
      <c r="AH966" s="104"/>
    </row>
    <row r="967" spans="22:34" ht="12.75" x14ac:dyDescent="0.35"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4"/>
      <c r="AH967" s="104"/>
    </row>
    <row r="968" spans="22:34" ht="12.75" x14ac:dyDescent="0.35"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  <c r="AF968" s="104"/>
      <c r="AG968" s="104"/>
      <c r="AH968" s="104"/>
    </row>
    <row r="969" spans="22:34" ht="12.75" x14ac:dyDescent="0.35"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  <c r="AF969" s="104"/>
      <c r="AG969" s="104"/>
      <c r="AH969" s="104"/>
    </row>
    <row r="970" spans="22:34" ht="12.75" x14ac:dyDescent="0.35"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  <c r="AF970" s="104"/>
      <c r="AG970" s="104"/>
      <c r="AH970" s="104"/>
    </row>
    <row r="971" spans="22:34" ht="12.75" x14ac:dyDescent="0.35"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  <c r="AF971" s="104"/>
      <c r="AG971" s="104"/>
      <c r="AH971" s="104"/>
    </row>
    <row r="972" spans="22:34" ht="12.75" x14ac:dyDescent="0.35"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  <c r="AF972" s="104"/>
      <c r="AG972" s="104"/>
      <c r="AH972" s="104"/>
    </row>
    <row r="973" spans="22:34" ht="12.75" x14ac:dyDescent="0.35"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  <c r="AF973" s="104"/>
      <c r="AG973" s="104"/>
      <c r="AH973" s="104"/>
    </row>
    <row r="974" spans="22:34" ht="12.75" x14ac:dyDescent="0.35"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  <c r="AF974" s="104"/>
      <c r="AG974" s="104"/>
      <c r="AH974" s="104"/>
    </row>
    <row r="975" spans="22:34" ht="12.75" x14ac:dyDescent="0.35"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  <c r="AF975" s="104"/>
      <c r="AG975" s="104"/>
      <c r="AH975" s="104"/>
    </row>
    <row r="976" spans="22:34" ht="12.75" x14ac:dyDescent="0.35"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  <c r="AF976" s="104"/>
      <c r="AG976" s="104"/>
      <c r="AH976" s="104"/>
    </row>
    <row r="977" spans="22:34" ht="12.75" x14ac:dyDescent="0.35"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  <c r="AF977" s="104"/>
      <c r="AG977" s="104"/>
      <c r="AH977" s="104"/>
    </row>
    <row r="978" spans="22:34" ht="12.75" x14ac:dyDescent="0.35"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  <c r="AF978" s="104"/>
      <c r="AG978" s="104"/>
      <c r="AH978" s="104"/>
    </row>
    <row r="979" spans="22:34" ht="12.75" x14ac:dyDescent="0.35"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  <c r="AF979" s="104"/>
      <c r="AG979" s="104"/>
      <c r="AH979" s="104"/>
    </row>
    <row r="980" spans="22:34" ht="12.75" x14ac:dyDescent="0.35"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  <c r="AF980" s="104"/>
      <c r="AG980" s="104"/>
      <c r="AH980" s="104"/>
    </row>
    <row r="981" spans="22:34" ht="12.75" x14ac:dyDescent="0.35"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  <c r="AF981" s="104"/>
      <c r="AG981" s="104"/>
      <c r="AH981" s="104"/>
    </row>
    <row r="982" spans="22:34" ht="12.75" x14ac:dyDescent="0.35"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  <c r="AF982" s="104"/>
      <c r="AG982" s="104"/>
      <c r="AH982" s="104"/>
    </row>
    <row r="983" spans="22:34" ht="12.75" x14ac:dyDescent="0.35"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  <c r="AF983" s="104"/>
      <c r="AG983" s="104"/>
      <c r="AH983" s="104"/>
    </row>
    <row r="984" spans="22:34" ht="12.75" x14ac:dyDescent="0.35"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  <c r="AF984" s="104"/>
      <c r="AG984" s="104"/>
      <c r="AH984" s="104"/>
    </row>
    <row r="985" spans="22:34" ht="12.75" x14ac:dyDescent="0.35"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  <c r="AF985" s="104"/>
      <c r="AG985" s="104"/>
      <c r="AH985" s="104"/>
    </row>
    <row r="986" spans="22:34" ht="12.75" x14ac:dyDescent="0.35"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  <c r="AF986" s="104"/>
      <c r="AG986" s="104"/>
      <c r="AH986" s="104"/>
    </row>
    <row r="987" spans="22:34" ht="12.75" x14ac:dyDescent="0.35"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  <c r="AF987" s="104"/>
      <c r="AG987" s="104"/>
      <c r="AH987" s="104"/>
    </row>
    <row r="988" spans="22:34" ht="12.75" x14ac:dyDescent="0.35"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  <c r="AF988" s="104"/>
      <c r="AG988" s="104"/>
      <c r="AH988" s="104"/>
    </row>
    <row r="989" spans="22:34" ht="12.75" x14ac:dyDescent="0.35"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  <c r="AF989" s="104"/>
      <c r="AG989" s="104"/>
      <c r="AH989" s="104"/>
    </row>
    <row r="990" spans="22:34" ht="12.75" x14ac:dyDescent="0.35"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  <c r="AF990" s="104"/>
      <c r="AG990" s="104"/>
      <c r="AH990" s="104"/>
    </row>
    <row r="991" spans="22:34" ht="12.75" x14ac:dyDescent="0.35"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  <c r="AF991" s="104"/>
      <c r="AG991" s="104"/>
      <c r="AH991" s="104"/>
    </row>
    <row r="992" spans="22:34" ht="12.75" x14ac:dyDescent="0.35"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  <c r="AF992" s="104"/>
      <c r="AG992" s="104"/>
      <c r="AH992" s="104"/>
    </row>
    <row r="993" spans="22:34" ht="12.75" x14ac:dyDescent="0.35"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  <c r="AF993" s="104"/>
      <c r="AG993" s="104"/>
      <c r="AH993" s="104"/>
    </row>
    <row r="994" spans="22:34" ht="12.75" x14ac:dyDescent="0.35"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  <c r="AF994" s="104"/>
      <c r="AG994" s="104"/>
      <c r="AH994" s="104"/>
    </row>
    <row r="995" spans="22:34" ht="12.75" x14ac:dyDescent="0.35"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  <c r="AF995" s="104"/>
      <c r="AG995" s="104"/>
      <c r="AH995" s="104"/>
    </row>
    <row r="996" spans="22:34" ht="12.75" x14ac:dyDescent="0.35"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  <c r="AF996" s="104"/>
      <c r="AG996" s="104"/>
      <c r="AH996" s="104"/>
    </row>
    <row r="997" spans="22:34" ht="12.75" x14ac:dyDescent="0.35"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  <c r="AF997" s="104"/>
      <c r="AG997" s="104"/>
      <c r="AH997" s="104"/>
    </row>
    <row r="998" spans="22:34" ht="12.75" x14ac:dyDescent="0.35"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  <c r="AF998" s="104"/>
      <c r="AG998" s="104"/>
      <c r="AH998" s="104"/>
    </row>
    <row r="999" spans="22:34" ht="12.75" x14ac:dyDescent="0.35"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  <c r="AF999" s="104"/>
      <c r="AG999" s="104"/>
      <c r="AH999" s="104"/>
    </row>
    <row r="1000" spans="22:34" ht="12.75" x14ac:dyDescent="0.35"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  <c r="AF1000" s="104"/>
      <c r="AG1000" s="104"/>
      <c r="AH1000" s="104"/>
    </row>
    <row r="1001" spans="22:34" ht="12.75" x14ac:dyDescent="0.35">
      <c r="V1001" s="104"/>
      <c r="W1001" s="104"/>
      <c r="X1001" s="104"/>
      <c r="Y1001" s="104"/>
      <c r="Z1001" s="104"/>
      <c r="AA1001" s="104"/>
      <c r="AB1001" s="104"/>
      <c r="AC1001" s="104"/>
      <c r="AD1001" s="104"/>
      <c r="AE1001" s="104"/>
      <c r="AF1001" s="104"/>
      <c r="AG1001" s="104"/>
      <c r="AH1001" s="104"/>
    </row>
    <row r="1002" spans="22:34" ht="12.75" x14ac:dyDescent="0.35">
      <c r="V1002" s="104"/>
      <c r="W1002" s="104"/>
      <c r="X1002" s="104"/>
      <c r="Y1002" s="104"/>
      <c r="Z1002" s="104"/>
      <c r="AA1002" s="104"/>
      <c r="AB1002" s="104"/>
      <c r="AC1002" s="104"/>
      <c r="AD1002" s="104"/>
      <c r="AE1002" s="104"/>
      <c r="AF1002" s="104"/>
      <c r="AG1002" s="104"/>
      <c r="AH1002" s="104"/>
    </row>
    <row r="1003" spans="22:34" ht="12.75" x14ac:dyDescent="0.35">
      <c r="V1003" s="104"/>
      <c r="W1003" s="104"/>
      <c r="X1003" s="104"/>
      <c r="Y1003" s="104"/>
      <c r="Z1003" s="104"/>
      <c r="AA1003" s="104"/>
      <c r="AB1003" s="104"/>
      <c r="AC1003" s="104"/>
      <c r="AD1003" s="104"/>
      <c r="AE1003" s="104"/>
      <c r="AF1003" s="104"/>
      <c r="AG1003" s="104"/>
      <c r="AH1003" s="104"/>
    </row>
    <row r="1004" spans="22:34" ht="12.75" x14ac:dyDescent="0.35">
      <c r="V1004" s="104"/>
      <c r="W1004" s="104"/>
      <c r="X1004" s="104"/>
      <c r="Y1004" s="104"/>
      <c r="Z1004" s="104"/>
      <c r="AA1004" s="104"/>
      <c r="AB1004" s="104"/>
      <c r="AC1004" s="104"/>
      <c r="AD1004" s="104"/>
      <c r="AE1004" s="104"/>
      <c r="AF1004" s="104"/>
      <c r="AG1004" s="104"/>
      <c r="AH1004" s="104"/>
    </row>
    <row r="1005" spans="22:34" ht="12.75" x14ac:dyDescent="0.35">
      <c r="V1005" s="104"/>
      <c r="W1005" s="104"/>
      <c r="X1005" s="104"/>
      <c r="Y1005" s="104"/>
      <c r="Z1005" s="104"/>
      <c r="AA1005" s="104"/>
      <c r="AB1005" s="104"/>
      <c r="AC1005" s="104"/>
      <c r="AD1005" s="104"/>
      <c r="AE1005" s="104"/>
      <c r="AF1005" s="104"/>
      <c r="AG1005" s="104"/>
      <c r="AH1005" s="104"/>
    </row>
    <row r="1006" spans="22:34" ht="12.75" x14ac:dyDescent="0.35">
      <c r="V1006" s="104"/>
      <c r="W1006" s="104"/>
      <c r="X1006" s="104"/>
      <c r="Y1006" s="104"/>
      <c r="Z1006" s="104"/>
      <c r="AA1006" s="104"/>
      <c r="AB1006" s="104"/>
      <c r="AC1006" s="104"/>
      <c r="AD1006" s="104"/>
      <c r="AE1006" s="104"/>
      <c r="AF1006" s="104"/>
      <c r="AG1006" s="104"/>
      <c r="AH1006" s="104"/>
    </row>
    <row r="1007" spans="22:34" ht="12.75" x14ac:dyDescent="0.35">
      <c r="V1007" s="104"/>
      <c r="W1007" s="104"/>
      <c r="X1007" s="104"/>
      <c r="Y1007" s="104"/>
      <c r="Z1007" s="104"/>
      <c r="AA1007" s="104"/>
      <c r="AB1007" s="104"/>
      <c r="AC1007" s="104"/>
      <c r="AD1007" s="104"/>
      <c r="AE1007" s="104"/>
      <c r="AF1007" s="104"/>
      <c r="AG1007" s="104"/>
      <c r="AH1007" s="104"/>
    </row>
    <row r="1008" spans="22:34" ht="12.75" x14ac:dyDescent="0.35">
      <c r="V1008" s="104"/>
      <c r="W1008" s="104"/>
      <c r="X1008" s="104"/>
      <c r="Y1008" s="104"/>
      <c r="Z1008" s="104"/>
      <c r="AA1008" s="104"/>
      <c r="AB1008" s="104"/>
      <c r="AC1008" s="104"/>
      <c r="AD1008" s="104"/>
      <c r="AE1008" s="104"/>
      <c r="AF1008" s="104"/>
      <c r="AG1008" s="104"/>
      <c r="AH1008" s="104"/>
    </row>
    <row r="1009" spans="22:34" ht="12.75" x14ac:dyDescent="0.35">
      <c r="V1009" s="104"/>
      <c r="W1009" s="104"/>
      <c r="X1009" s="104"/>
      <c r="Y1009" s="104"/>
      <c r="Z1009" s="104"/>
      <c r="AA1009" s="104"/>
      <c r="AB1009" s="104"/>
      <c r="AC1009" s="104"/>
      <c r="AD1009" s="104"/>
      <c r="AE1009" s="104"/>
      <c r="AF1009" s="104"/>
      <c r="AG1009" s="104"/>
      <c r="AH1009" s="104"/>
    </row>
    <row r="1010" spans="22:34" ht="12.75" x14ac:dyDescent="0.35">
      <c r="V1010" s="104"/>
      <c r="W1010" s="104"/>
      <c r="X1010" s="104"/>
      <c r="Y1010" s="104"/>
      <c r="Z1010" s="104"/>
      <c r="AA1010" s="104"/>
      <c r="AB1010" s="104"/>
      <c r="AC1010" s="104"/>
      <c r="AD1010" s="104"/>
      <c r="AE1010" s="104"/>
      <c r="AF1010" s="104"/>
      <c r="AG1010" s="104"/>
      <c r="AH1010" s="104"/>
    </row>
  </sheetData>
  <mergeCells count="26">
    <mergeCell ref="S2:S3"/>
    <mergeCell ref="T2:T3"/>
    <mergeCell ref="U2:U3"/>
    <mergeCell ref="V2:V3"/>
    <mergeCell ref="Q4:R4"/>
    <mergeCell ref="Q29:Q34"/>
    <mergeCell ref="Q35:Q40"/>
    <mergeCell ref="Q41:Q48"/>
    <mergeCell ref="Q49:Q52"/>
    <mergeCell ref="Q2:R3"/>
    <mergeCell ref="Q5:Q16"/>
    <mergeCell ref="I2:J2"/>
    <mergeCell ref="K2:K3"/>
    <mergeCell ref="L2:N2"/>
    <mergeCell ref="O2:O3"/>
    <mergeCell ref="Q17:Q28"/>
    <mergeCell ref="B41:B48"/>
    <mergeCell ref="B49:B52"/>
    <mergeCell ref="B2:C3"/>
    <mergeCell ref="E2:F2"/>
    <mergeCell ref="G2:H2"/>
    <mergeCell ref="B4:C4"/>
    <mergeCell ref="B5:B16"/>
    <mergeCell ref="B17:B28"/>
    <mergeCell ref="B29:B34"/>
    <mergeCell ref="B35:B40"/>
  </mergeCells>
  <phoneticPr fontId="6" type="noConversion"/>
  <conditionalFormatting sqref="Q2:R52 B4:C52">
    <cfRule type="expression" dxfId="0" priority="1">
      <formula>OR(Q2="N.D.", Q2="N.A.")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I63"/>
  <sheetViews>
    <sheetView workbookViewId="0">
      <selection activeCell="C5" sqref="C5"/>
    </sheetView>
  </sheetViews>
  <sheetFormatPr defaultColWidth="12.59765625" defaultRowHeight="15.75" customHeight="1" x14ac:dyDescent="0.35"/>
  <cols>
    <col min="1" max="1" width="0.3984375" customWidth="1"/>
    <col min="2" max="2" width="14.86328125" customWidth="1"/>
    <col min="3" max="3" width="5.86328125" customWidth="1"/>
    <col min="4" max="4" width="9.3984375" customWidth="1"/>
    <col min="5" max="5" width="18.86328125" customWidth="1"/>
    <col min="6" max="6" width="15.1328125" customWidth="1"/>
    <col min="7" max="7" width="19.73046875" customWidth="1"/>
    <col min="8" max="8" width="16" customWidth="1"/>
    <col min="9" max="9" width="14.1328125" customWidth="1"/>
  </cols>
  <sheetData>
    <row r="1" spans="2:9" ht="1.5" customHeight="1" x14ac:dyDescent="0.35"/>
    <row r="2" spans="2:9" ht="12.75" x14ac:dyDescent="0.35"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153</v>
      </c>
      <c r="I2" s="5" t="s">
        <v>11</v>
      </c>
    </row>
    <row r="3" spans="2:9" ht="12.75" x14ac:dyDescent="0.35">
      <c r="B3" s="130">
        <v>6500</v>
      </c>
      <c r="C3" s="16">
        <v>200</v>
      </c>
      <c r="D3" s="16">
        <v>1.5</v>
      </c>
      <c r="E3" s="17">
        <f t="shared" ref="E3:E63" si="0">B3/(C3*9.81)</f>
        <v>3.3129459734964324</v>
      </c>
      <c r="F3" s="17">
        <f t="shared" ref="F3:F63" si="1">E3/(1+1/D3)</f>
        <v>1.9877675840978597</v>
      </c>
      <c r="G3" s="17">
        <f t="shared" ref="G3:G63" si="2">E3 / (1 +D3 )</f>
        <v>1.3251783893985729</v>
      </c>
      <c r="H3" s="131">
        <f t="shared" ref="H3:H63" si="3">1.075*G3</f>
        <v>1.4245667686034658</v>
      </c>
    </row>
    <row r="4" spans="2:9" ht="12.75" x14ac:dyDescent="0.35">
      <c r="B4" s="130">
        <v>6500</v>
      </c>
      <c r="C4" s="16">
        <v>201</v>
      </c>
      <c r="D4" s="16">
        <v>1.5</v>
      </c>
      <c r="E4" s="17">
        <f t="shared" si="0"/>
        <v>3.2964636552203301</v>
      </c>
      <c r="F4" s="17">
        <f t="shared" si="1"/>
        <v>1.9778781931321983</v>
      </c>
      <c r="G4" s="17">
        <f t="shared" si="2"/>
        <v>1.3185854620881321</v>
      </c>
      <c r="H4" s="131">
        <f t="shared" si="3"/>
        <v>1.417479371744742</v>
      </c>
    </row>
    <row r="5" spans="2:9" ht="12.75" x14ac:dyDescent="0.35">
      <c r="B5" s="130">
        <v>6500</v>
      </c>
      <c r="C5" s="16">
        <v>202</v>
      </c>
      <c r="D5" s="16">
        <v>1.5</v>
      </c>
      <c r="E5" s="17">
        <f t="shared" si="0"/>
        <v>3.2801445282142891</v>
      </c>
      <c r="F5" s="17">
        <f t="shared" si="1"/>
        <v>1.9680867169285736</v>
      </c>
      <c r="G5" s="17">
        <f t="shared" si="2"/>
        <v>1.3120578112857157</v>
      </c>
      <c r="H5" s="131">
        <f t="shared" si="3"/>
        <v>1.4104621471321444</v>
      </c>
    </row>
    <row r="6" spans="2:9" ht="12.75" x14ac:dyDescent="0.35">
      <c r="B6" s="130">
        <v>6500</v>
      </c>
      <c r="C6" s="16">
        <v>203</v>
      </c>
      <c r="D6" s="16">
        <v>1.5</v>
      </c>
      <c r="E6" s="17">
        <f t="shared" si="0"/>
        <v>3.263986180784662</v>
      </c>
      <c r="F6" s="17">
        <f t="shared" si="1"/>
        <v>1.9583917084707974</v>
      </c>
      <c r="G6" s="17">
        <f t="shared" si="2"/>
        <v>1.3055944723138648</v>
      </c>
      <c r="H6" s="131">
        <f t="shared" si="3"/>
        <v>1.4035140577374046</v>
      </c>
    </row>
    <row r="7" spans="2:9" ht="12.75" x14ac:dyDescent="0.35">
      <c r="B7" s="130">
        <v>6500</v>
      </c>
      <c r="C7" s="16">
        <v>204</v>
      </c>
      <c r="D7" s="16">
        <v>1.5</v>
      </c>
      <c r="E7" s="17">
        <f t="shared" si="0"/>
        <v>3.2479862485259141</v>
      </c>
      <c r="F7" s="17">
        <f t="shared" si="1"/>
        <v>1.9487917491155486</v>
      </c>
      <c r="G7" s="17">
        <f t="shared" si="2"/>
        <v>1.2991944994103657</v>
      </c>
      <c r="H7" s="131">
        <f t="shared" si="3"/>
        <v>1.3966340868661431</v>
      </c>
    </row>
    <row r="8" spans="2:9" ht="12.75" x14ac:dyDescent="0.35">
      <c r="B8" s="130">
        <v>6500</v>
      </c>
      <c r="C8" s="16">
        <v>205</v>
      </c>
      <c r="D8" s="16">
        <v>1.5</v>
      </c>
      <c r="E8" s="17">
        <f t="shared" si="0"/>
        <v>3.2321424131672507</v>
      </c>
      <c r="F8" s="17">
        <f t="shared" si="1"/>
        <v>1.9392854479003505</v>
      </c>
      <c r="G8" s="17">
        <f t="shared" si="2"/>
        <v>1.2928569652669002</v>
      </c>
      <c r="H8" s="131">
        <f t="shared" si="3"/>
        <v>1.3898212376619177</v>
      </c>
    </row>
    <row r="9" spans="2:9" ht="12.75" x14ac:dyDescent="0.35">
      <c r="B9" s="130">
        <v>6500</v>
      </c>
      <c r="C9" s="16">
        <v>206</v>
      </c>
      <c r="D9" s="16">
        <v>1.5</v>
      </c>
      <c r="E9" s="17">
        <f t="shared" si="0"/>
        <v>3.2164524014528464</v>
      </c>
      <c r="F9" s="17">
        <f t="shared" si="1"/>
        <v>1.9298714408717079</v>
      </c>
      <c r="G9" s="17">
        <f t="shared" si="2"/>
        <v>1.2865809605811385</v>
      </c>
      <c r="H9" s="131">
        <f t="shared" si="3"/>
        <v>1.3830745326247238</v>
      </c>
    </row>
    <row r="10" spans="2:9" ht="12.75" x14ac:dyDescent="0.35">
      <c r="B10" s="130">
        <v>6500</v>
      </c>
      <c r="C10" s="16">
        <v>207</v>
      </c>
      <c r="D10" s="16">
        <v>1.5</v>
      </c>
      <c r="E10" s="17">
        <f t="shared" si="0"/>
        <v>3.2009139840545235</v>
      </c>
      <c r="F10" s="17">
        <f t="shared" si="1"/>
        <v>1.9205483904327143</v>
      </c>
      <c r="G10" s="17">
        <f t="shared" si="2"/>
        <v>1.2803655936218095</v>
      </c>
      <c r="H10" s="131">
        <f t="shared" si="3"/>
        <v>1.3763930131434452</v>
      </c>
    </row>
    <row r="11" spans="2:9" ht="12.75" x14ac:dyDescent="0.35">
      <c r="B11" s="130">
        <v>6500</v>
      </c>
      <c r="C11" s="16">
        <v>208</v>
      </c>
      <c r="D11" s="16">
        <v>1.5</v>
      </c>
      <c r="E11" s="17">
        <f t="shared" si="0"/>
        <v>3.1855249745158001</v>
      </c>
      <c r="F11" s="17">
        <f t="shared" si="1"/>
        <v>1.9113149847094801</v>
      </c>
      <c r="G11" s="17">
        <f t="shared" si="2"/>
        <v>1.2742099898063199</v>
      </c>
      <c r="H11" s="131">
        <f t="shared" si="3"/>
        <v>1.3697757390417939</v>
      </c>
    </row>
    <row r="12" spans="2:9" ht="12.75" x14ac:dyDescent="0.35">
      <c r="B12" s="130">
        <v>6500</v>
      </c>
      <c r="C12" s="16">
        <v>209</v>
      </c>
      <c r="D12" s="16">
        <v>1.5</v>
      </c>
      <c r="E12" s="17">
        <f t="shared" si="0"/>
        <v>3.1702832282262512</v>
      </c>
      <c r="F12" s="17">
        <f t="shared" si="1"/>
        <v>1.902169936935751</v>
      </c>
      <c r="G12" s="17">
        <f t="shared" si="2"/>
        <v>1.2681132912905004</v>
      </c>
      <c r="H12" s="131">
        <f t="shared" si="3"/>
        <v>1.3632217881372879</v>
      </c>
    </row>
    <row r="13" spans="2:9" ht="12.75" x14ac:dyDescent="0.35">
      <c r="B13" s="130">
        <v>6500</v>
      </c>
      <c r="C13" s="16">
        <v>210</v>
      </c>
      <c r="D13" s="16">
        <v>1.5</v>
      </c>
      <c r="E13" s="17">
        <f t="shared" si="0"/>
        <v>3.1551866414251735</v>
      </c>
      <c r="F13" s="17">
        <f t="shared" si="1"/>
        <v>1.8931119848551043</v>
      </c>
      <c r="G13" s="17">
        <f t="shared" si="2"/>
        <v>1.2620746565700693</v>
      </c>
      <c r="H13" s="131">
        <f t="shared" si="3"/>
        <v>1.3567302558128245</v>
      </c>
    </row>
    <row r="14" spans="2:9" ht="12.75" x14ac:dyDescent="0.35">
      <c r="B14" s="130">
        <v>6500</v>
      </c>
      <c r="C14" s="16">
        <v>211</v>
      </c>
      <c r="D14" s="16">
        <v>1.5</v>
      </c>
      <c r="E14" s="17">
        <f t="shared" si="0"/>
        <v>3.1402331502335845</v>
      </c>
      <c r="F14" s="17">
        <f t="shared" si="1"/>
        <v>1.8841398901401509</v>
      </c>
      <c r="G14" s="17">
        <f t="shared" si="2"/>
        <v>1.2560932600934338</v>
      </c>
      <c r="H14" s="131">
        <f t="shared" si="3"/>
        <v>1.3503002546004412</v>
      </c>
    </row>
    <row r="15" spans="2:9" ht="12.75" x14ac:dyDescent="0.35">
      <c r="B15" s="130">
        <v>6500</v>
      </c>
      <c r="C15" s="16">
        <v>212</v>
      </c>
      <c r="D15" s="16">
        <v>1.5</v>
      </c>
      <c r="E15" s="17">
        <f t="shared" si="0"/>
        <v>3.125420729713615</v>
      </c>
      <c r="F15" s="17">
        <f t="shared" si="1"/>
        <v>1.8752524378281692</v>
      </c>
      <c r="G15" s="17">
        <f t="shared" si="2"/>
        <v>1.250168291885446</v>
      </c>
      <c r="H15" s="131">
        <f t="shared" si="3"/>
        <v>1.3439309137768545</v>
      </c>
    </row>
    <row r="16" spans="2:9" ht="12.75" x14ac:dyDescent="0.35">
      <c r="B16" s="130">
        <v>6500</v>
      </c>
      <c r="C16" s="16">
        <v>213</v>
      </c>
      <c r="D16" s="16">
        <v>1.5</v>
      </c>
      <c r="E16" s="17">
        <f t="shared" si="0"/>
        <v>3.1107473929543961</v>
      </c>
      <c r="F16" s="17">
        <f t="shared" si="1"/>
        <v>1.8664484357726379</v>
      </c>
      <c r="G16" s="17">
        <f t="shared" si="2"/>
        <v>1.2442989571817584</v>
      </c>
      <c r="H16" s="131">
        <f t="shared" si="3"/>
        <v>1.3376213789703904</v>
      </c>
    </row>
    <row r="17" spans="2:8" ht="12.75" x14ac:dyDescent="0.35">
      <c r="B17" s="130">
        <v>6500</v>
      </c>
      <c r="C17" s="16">
        <v>214</v>
      </c>
      <c r="D17" s="16">
        <v>1.5</v>
      </c>
      <c r="E17" s="17">
        <f t="shared" si="0"/>
        <v>3.0962111901835812</v>
      </c>
      <c r="F17" s="17">
        <f t="shared" si="1"/>
        <v>1.8577267141101488</v>
      </c>
      <c r="G17" s="17">
        <f t="shared" si="2"/>
        <v>1.2384844760734324</v>
      </c>
      <c r="H17" s="131">
        <f t="shared" si="3"/>
        <v>1.3313708117789398</v>
      </c>
    </row>
    <row r="18" spans="2:8" ht="12.75" x14ac:dyDescent="0.35">
      <c r="B18" s="130">
        <v>6500</v>
      </c>
      <c r="C18" s="16">
        <v>215</v>
      </c>
      <c r="D18" s="16">
        <v>1.5</v>
      </c>
      <c r="E18" s="17">
        <f t="shared" si="0"/>
        <v>3.0818102079036578</v>
      </c>
      <c r="F18" s="17">
        <f t="shared" si="1"/>
        <v>1.8490861247421948</v>
      </c>
      <c r="G18" s="17">
        <f t="shared" si="2"/>
        <v>1.2327240831614632</v>
      </c>
      <c r="H18" s="131">
        <f t="shared" si="3"/>
        <v>1.3251783893985729</v>
      </c>
    </row>
    <row r="19" spans="2:8" ht="12.75" x14ac:dyDescent="0.35">
      <c r="B19" s="130">
        <v>6500</v>
      </c>
      <c r="C19" s="16">
        <v>216</v>
      </c>
      <c r="D19" s="16">
        <v>1.5</v>
      </c>
      <c r="E19" s="17">
        <f t="shared" si="0"/>
        <v>3.0675425680522519</v>
      </c>
      <c r="F19" s="17">
        <f t="shared" si="1"/>
        <v>1.8405255408313512</v>
      </c>
      <c r="G19" s="17">
        <f t="shared" si="2"/>
        <v>1.2270170272209007</v>
      </c>
      <c r="H19" s="131">
        <f t="shared" si="3"/>
        <v>1.3190433042624681</v>
      </c>
    </row>
    <row r="20" spans="2:8" ht="12.75" x14ac:dyDescent="0.35">
      <c r="B20" s="130">
        <v>6500</v>
      </c>
      <c r="C20" s="16">
        <v>217</v>
      </c>
      <c r="D20" s="16">
        <v>1.5</v>
      </c>
      <c r="E20" s="17">
        <f t="shared" si="0"/>
        <v>3.053406427185652</v>
      </c>
      <c r="F20" s="17">
        <f t="shared" si="1"/>
        <v>1.8320438563113914</v>
      </c>
      <c r="G20" s="17">
        <f t="shared" si="2"/>
        <v>1.2213625708742608</v>
      </c>
      <c r="H20" s="131">
        <f t="shared" si="3"/>
        <v>1.3129647636898303</v>
      </c>
    </row>
    <row r="21" spans="2:8" ht="12.75" x14ac:dyDescent="0.35">
      <c r="B21" s="130">
        <v>6500</v>
      </c>
      <c r="C21" s="16">
        <v>218</v>
      </c>
      <c r="D21" s="16">
        <v>1.5</v>
      </c>
      <c r="E21" s="17">
        <f t="shared" si="0"/>
        <v>3.0393999756848005</v>
      </c>
      <c r="F21" s="17">
        <f t="shared" si="1"/>
        <v>1.8236399854108805</v>
      </c>
      <c r="G21" s="17">
        <f t="shared" si="2"/>
        <v>1.2157599902739202</v>
      </c>
      <c r="H21" s="131">
        <f t="shared" si="3"/>
        <v>1.3069419895444643</v>
      </c>
    </row>
    <row r="22" spans="2:8" ht="12.75" x14ac:dyDescent="0.35">
      <c r="B22" s="130">
        <v>6500</v>
      </c>
      <c r="C22" s="16">
        <v>219</v>
      </c>
      <c r="D22" s="16">
        <v>1.5</v>
      </c>
      <c r="E22" s="17">
        <f t="shared" si="0"/>
        <v>3.0255214369830425</v>
      </c>
      <c r="F22" s="17">
        <f t="shared" si="1"/>
        <v>1.8153128621898258</v>
      </c>
      <c r="G22" s="17">
        <f t="shared" si="2"/>
        <v>1.210208574793217</v>
      </c>
      <c r="H22" s="131">
        <f t="shared" si="3"/>
        <v>1.3009742179027082</v>
      </c>
    </row>
    <row r="23" spans="2:8" ht="12.75" x14ac:dyDescent="0.35">
      <c r="B23" s="130">
        <v>6500</v>
      </c>
      <c r="C23" s="16">
        <v>220</v>
      </c>
      <c r="D23" s="16">
        <v>1.5</v>
      </c>
      <c r="E23" s="17">
        <f t="shared" si="0"/>
        <v>3.0117690668149382</v>
      </c>
      <c r="F23" s="17">
        <f t="shared" si="1"/>
        <v>1.8070614400889631</v>
      </c>
      <c r="G23" s="17">
        <f t="shared" si="2"/>
        <v>1.2047076267259753</v>
      </c>
      <c r="H23" s="131">
        <f t="shared" si="3"/>
        <v>1.2950606987304234</v>
      </c>
    </row>
    <row r="24" spans="2:8" ht="12.75" x14ac:dyDescent="0.35">
      <c r="B24" s="130">
        <v>6500</v>
      </c>
      <c r="C24" s="16">
        <v>221</v>
      </c>
      <c r="D24" s="16">
        <v>1.5</v>
      </c>
      <c r="E24" s="17">
        <f t="shared" si="0"/>
        <v>2.9981411524854589</v>
      </c>
      <c r="F24" s="17">
        <f t="shared" si="1"/>
        <v>1.7988846914912755</v>
      </c>
      <c r="G24" s="17">
        <f t="shared" si="2"/>
        <v>1.1992564609941836</v>
      </c>
      <c r="H24" s="131">
        <f t="shared" si="3"/>
        <v>1.2892006955687474</v>
      </c>
    </row>
    <row r="25" spans="2:8" ht="12.75" x14ac:dyDescent="0.35">
      <c r="B25" s="130">
        <v>6500</v>
      </c>
      <c r="C25" s="16">
        <v>222</v>
      </c>
      <c r="D25" s="16">
        <v>1.5</v>
      </c>
      <c r="E25" s="17">
        <f t="shared" si="0"/>
        <v>2.9846360121589477</v>
      </c>
      <c r="F25" s="17">
        <f t="shared" si="1"/>
        <v>1.7907816072953688</v>
      </c>
      <c r="G25" s="17">
        <f t="shared" si="2"/>
        <v>1.1938544048635791</v>
      </c>
      <c r="H25" s="131">
        <f t="shared" si="3"/>
        <v>1.2833934852283475</v>
      </c>
    </row>
    <row r="26" spans="2:8" ht="12.75" x14ac:dyDescent="0.35">
      <c r="B26" s="130">
        <v>6500</v>
      </c>
      <c r="C26" s="16">
        <v>223</v>
      </c>
      <c r="D26" s="16">
        <v>1.5</v>
      </c>
      <c r="E26" s="17">
        <f t="shared" si="0"/>
        <v>2.9712519941672038</v>
      </c>
      <c r="F26" s="17">
        <f t="shared" si="1"/>
        <v>1.7827511965003224</v>
      </c>
      <c r="G26" s="17">
        <f t="shared" si="2"/>
        <v>1.1885007976668815</v>
      </c>
      <c r="H26" s="131">
        <f t="shared" si="3"/>
        <v>1.2776383574918977</v>
      </c>
    </row>
    <row r="27" spans="2:8" ht="12.75" x14ac:dyDescent="0.35">
      <c r="B27" s="130">
        <v>6500</v>
      </c>
      <c r="C27" s="16">
        <v>224</v>
      </c>
      <c r="D27" s="16">
        <v>1.5</v>
      </c>
      <c r="E27" s="17">
        <f t="shared" si="0"/>
        <v>2.9579874763361</v>
      </c>
      <c r="F27" s="17">
        <f t="shared" si="1"/>
        <v>1.7747924858016602</v>
      </c>
      <c r="G27" s="17">
        <f t="shared" si="2"/>
        <v>1.1831949905344401</v>
      </c>
      <c r="H27" s="131">
        <f t="shared" si="3"/>
        <v>1.271934614824523</v>
      </c>
    </row>
    <row r="28" spans="2:8" ht="12.75" x14ac:dyDescent="0.35">
      <c r="B28" s="130">
        <v>6500</v>
      </c>
      <c r="C28" s="16">
        <v>225</v>
      </c>
      <c r="D28" s="16">
        <v>1.5</v>
      </c>
      <c r="E28" s="17">
        <f t="shared" si="0"/>
        <v>2.9448408653301619</v>
      </c>
      <c r="F28" s="17">
        <f t="shared" si="1"/>
        <v>1.7669045191980972</v>
      </c>
      <c r="G28" s="17">
        <f t="shared" si="2"/>
        <v>1.1779363461320647</v>
      </c>
      <c r="H28" s="131">
        <f t="shared" si="3"/>
        <v>1.2662815720919696</v>
      </c>
    </row>
    <row r="29" spans="2:8" ht="12.75" x14ac:dyDescent="0.35">
      <c r="B29" s="130">
        <v>6500</v>
      </c>
      <c r="C29" s="16">
        <v>226</v>
      </c>
      <c r="D29" s="16">
        <v>1.5</v>
      </c>
      <c r="E29" s="17">
        <f t="shared" si="0"/>
        <v>2.9318105960145417</v>
      </c>
      <c r="F29" s="17">
        <f t="shared" si="1"/>
        <v>1.7590863576087252</v>
      </c>
      <c r="G29" s="17">
        <f t="shared" si="2"/>
        <v>1.1727242384058167</v>
      </c>
      <c r="H29" s="131">
        <f t="shared" si="3"/>
        <v>1.260678556286253</v>
      </c>
    </row>
    <row r="30" spans="2:8" ht="12.75" x14ac:dyDescent="0.35">
      <c r="B30" s="130">
        <v>6500</v>
      </c>
      <c r="C30" s="16">
        <v>227</v>
      </c>
      <c r="D30" s="16">
        <v>1.5</v>
      </c>
      <c r="E30" s="17">
        <f t="shared" si="0"/>
        <v>2.9188951308338611</v>
      </c>
      <c r="F30" s="17">
        <f t="shared" si="1"/>
        <v>1.7513370785003168</v>
      </c>
      <c r="G30" s="17">
        <f t="shared" si="2"/>
        <v>1.1675580523335445</v>
      </c>
      <c r="H30" s="131">
        <f t="shared" si="3"/>
        <v>1.2551249062585603</v>
      </c>
    </row>
    <row r="31" spans="2:8" ht="12.75" x14ac:dyDescent="0.35">
      <c r="B31" s="130">
        <v>6500</v>
      </c>
      <c r="C31" s="16">
        <v>228</v>
      </c>
      <c r="D31" s="16">
        <v>1.5</v>
      </c>
      <c r="E31" s="17">
        <f t="shared" si="0"/>
        <v>2.9060929592073963</v>
      </c>
      <c r="F31" s="17">
        <f t="shared" si="1"/>
        <v>1.743655775524438</v>
      </c>
      <c r="G31" s="17">
        <f t="shared" si="2"/>
        <v>1.1624371836829586</v>
      </c>
      <c r="H31" s="131">
        <f t="shared" si="3"/>
        <v>1.2496199724591803</v>
      </c>
    </row>
    <row r="32" spans="2:8" ht="12.75" x14ac:dyDescent="0.35">
      <c r="B32" s="130">
        <v>6500</v>
      </c>
      <c r="C32" s="16">
        <v>229</v>
      </c>
      <c r="D32" s="16">
        <v>1.5</v>
      </c>
      <c r="E32" s="17">
        <f t="shared" si="0"/>
        <v>2.8934025969401151</v>
      </c>
      <c r="F32" s="17">
        <f t="shared" si="1"/>
        <v>1.7360415581640691</v>
      </c>
      <c r="G32" s="17">
        <f t="shared" si="2"/>
        <v>1.157361038776046</v>
      </c>
      <c r="H32" s="131">
        <f t="shared" si="3"/>
        <v>1.2441631166842495</v>
      </c>
    </row>
    <row r="33" spans="2:8" ht="12.75" x14ac:dyDescent="0.35">
      <c r="B33" s="130">
        <v>6500</v>
      </c>
      <c r="C33" s="16">
        <v>230</v>
      </c>
      <c r="D33" s="16">
        <v>1.5</v>
      </c>
      <c r="E33" s="17">
        <f t="shared" si="0"/>
        <v>2.8808225856490712</v>
      </c>
      <c r="F33" s="17">
        <f t="shared" si="1"/>
        <v>1.7284935513894428</v>
      </c>
      <c r="G33" s="17">
        <f t="shared" si="2"/>
        <v>1.1523290342596284</v>
      </c>
      <c r="H33" s="131">
        <f t="shared" si="3"/>
        <v>1.2387537118291005</v>
      </c>
    </row>
    <row r="34" spans="2:8" ht="12.75" x14ac:dyDescent="0.35">
      <c r="B34" s="130">
        <v>6500</v>
      </c>
      <c r="C34" s="16">
        <v>231</v>
      </c>
      <c r="D34" s="16">
        <v>1.5</v>
      </c>
      <c r="E34" s="17">
        <f t="shared" si="0"/>
        <v>2.8683514922047029</v>
      </c>
      <c r="F34" s="17">
        <f t="shared" si="1"/>
        <v>1.7210108953228218</v>
      </c>
      <c r="G34" s="17">
        <f t="shared" si="2"/>
        <v>1.1473405968818811</v>
      </c>
      <c r="H34" s="131">
        <f t="shared" si="3"/>
        <v>1.2333911416480221</v>
      </c>
    </row>
    <row r="35" spans="2:8" ht="12.75" x14ac:dyDescent="0.35">
      <c r="B35" s="130">
        <v>6500</v>
      </c>
      <c r="C35" s="16">
        <v>232</v>
      </c>
      <c r="D35" s="16">
        <v>1.5</v>
      </c>
      <c r="E35" s="17">
        <f t="shared" si="0"/>
        <v>2.8559879081865795</v>
      </c>
      <c r="F35" s="17">
        <f t="shared" si="1"/>
        <v>1.7135927449119479</v>
      </c>
      <c r="G35" s="17">
        <f t="shared" si="2"/>
        <v>1.1423951632746319</v>
      </c>
      <c r="H35" s="131">
        <f t="shared" si="3"/>
        <v>1.2280748005202291</v>
      </c>
    </row>
    <row r="36" spans="2:8" ht="12.75" x14ac:dyDescent="0.35">
      <c r="B36" s="130">
        <v>6500</v>
      </c>
      <c r="C36" s="16">
        <v>233</v>
      </c>
      <c r="D36" s="16">
        <v>1.5</v>
      </c>
      <c r="E36" s="17">
        <f t="shared" si="0"/>
        <v>2.8437304493531608</v>
      </c>
      <c r="F36" s="17">
        <f t="shared" si="1"/>
        <v>1.7062382696118965</v>
      </c>
      <c r="G36" s="17">
        <f t="shared" si="2"/>
        <v>1.1374921797412643</v>
      </c>
      <c r="H36" s="131">
        <f t="shared" si="3"/>
        <v>1.2228040932218591</v>
      </c>
    </row>
    <row r="37" spans="2:8" ht="12.75" x14ac:dyDescent="0.35">
      <c r="B37" s="130">
        <v>6500</v>
      </c>
      <c r="C37" s="16">
        <v>234</v>
      </c>
      <c r="D37" s="16">
        <v>1.5</v>
      </c>
      <c r="E37" s="17">
        <f t="shared" si="0"/>
        <v>2.831577755125156</v>
      </c>
      <c r="F37" s="17">
        <f t="shared" si="1"/>
        <v>1.6989466530750936</v>
      </c>
      <c r="G37" s="17">
        <f t="shared" si="2"/>
        <v>1.1326311020500623</v>
      </c>
      <c r="H37" s="131">
        <f t="shared" si="3"/>
        <v>1.217578434703817</v>
      </c>
    </row>
    <row r="38" spans="2:8" ht="12.75" x14ac:dyDescent="0.35">
      <c r="B38" s="132">
        <v>6500</v>
      </c>
      <c r="C38" s="22">
        <v>235</v>
      </c>
      <c r="D38" s="22">
        <v>1.5</v>
      </c>
      <c r="E38" s="133">
        <f t="shared" si="0"/>
        <v>2.8195284880820699</v>
      </c>
      <c r="F38" s="133">
        <f t="shared" si="1"/>
        <v>1.691717092849242</v>
      </c>
      <c r="G38" s="133">
        <f t="shared" si="2"/>
        <v>1.1278113952328279</v>
      </c>
      <c r="H38" s="131">
        <f t="shared" si="3"/>
        <v>1.21239724987529</v>
      </c>
    </row>
    <row r="39" spans="2:8" ht="12.75" x14ac:dyDescent="0.35">
      <c r="B39" s="130">
        <v>6500</v>
      </c>
      <c r="C39" s="16">
        <v>236</v>
      </c>
      <c r="D39" s="16">
        <v>1.5</v>
      </c>
      <c r="E39" s="17">
        <f t="shared" si="0"/>
        <v>2.8075813334715525</v>
      </c>
      <c r="F39" s="17">
        <f t="shared" si="1"/>
        <v>1.6845488000829316</v>
      </c>
      <c r="G39" s="17">
        <f t="shared" si="2"/>
        <v>1.1230325333886211</v>
      </c>
      <c r="H39" s="131">
        <f t="shared" si="3"/>
        <v>1.2072599733927676</v>
      </c>
    </row>
    <row r="40" spans="2:8" ht="12.75" x14ac:dyDescent="0.35">
      <c r="B40" s="130">
        <v>6500</v>
      </c>
      <c r="C40" s="16">
        <v>237</v>
      </c>
      <c r="D40" s="16">
        <v>1.5</v>
      </c>
      <c r="E40" s="17">
        <f t="shared" si="0"/>
        <v>2.7957349987311662</v>
      </c>
      <c r="F40" s="17">
        <f t="shared" si="1"/>
        <v>1.6774409992386998</v>
      </c>
      <c r="G40" s="17">
        <f t="shared" si="2"/>
        <v>1.1182939994924666</v>
      </c>
      <c r="H40" s="131">
        <f t="shared" si="3"/>
        <v>1.2021660494544015</v>
      </c>
    </row>
    <row r="41" spans="2:8" ht="12.75" x14ac:dyDescent="0.35">
      <c r="B41" s="130">
        <v>6500</v>
      </c>
      <c r="C41" s="16">
        <v>238</v>
      </c>
      <c r="D41" s="16">
        <v>1.5</v>
      </c>
      <c r="E41" s="17">
        <f t="shared" si="0"/>
        <v>2.7839882130222118</v>
      </c>
      <c r="F41" s="17">
        <f t="shared" si="1"/>
        <v>1.6703929278133272</v>
      </c>
      <c r="G41" s="17">
        <f t="shared" si="2"/>
        <v>1.1135952852088846</v>
      </c>
      <c r="H41" s="131">
        <f t="shared" si="3"/>
        <v>1.1971149315995508</v>
      </c>
    </row>
    <row r="42" spans="2:8" ht="12.75" x14ac:dyDescent="0.35">
      <c r="B42" s="130">
        <v>6500</v>
      </c>
      <c r="C42" s="16">
        <v>239</v>
      </c>
      <c r="D42" s="16">
        <v>1.5</v>
      </c>
      <c r="E42" s="17">
        <f t="shared" si="0"/>
        <v>2.772339726775257</v>
      </c>
      <c r="F42" s="17">
        <f t="shared" si="1"/>
        <v>1.6634038360651544</v>
      </c>
      <c r="G42" s="17">
        <f t="shared" si="2"/>
        <v>1.1089358907101028</v>
      </c>
      <c r="H42" s="131">
        <f t="shared" si="3"/>
        <v>1.1921060825133605</v>
      </c>
    </row>
    <row r="43" spans="2:8" ht="12.75" x14ac:dyDescent="0.35">
      <c r="B43" s="130">
        <v>6500</v>
      </c>
      <c r="C43" s="16">
        <v>240</v>
      </c>
      <c r="D43" s="16">
        <v>1.5</v>
      </c>
      <c r="E43" s="17">
        <f t="shared" si="0"/>
        <v>2.7607883112470266</v>
      </c>
      <c r="F43" s="17">
        <f t="shared" si="1"/>
        <v>1.6564729867482162</v>
      </c>
      <c r="G43" s="17">
        <f t="shared" si="2"/>
        <v>1.1043153244988106</v>
      </c>
      <c r="H43" s="131">
        <f t="shared" si="3"/>
        <v>1.1871389738362215</v>
      </c>
    </row>
    <row r="44" spans="2:8" ht="12.75" x14ac:dyDescent="0.35">
      <c r="B44" s="130">
        <v>6500</v>
      </c>
      <c r="C44" s="16">
        <v>241</v>
      </c>
      <c r="D44" s="16">
        <v>1.5</v>
      </c>
      <c r="E44" s="17">
        <f t="shared" si="0"/>
        <v>2.7493327580883253</v>
      </c>
      <c r="F44" s="17">
        <f t="shared" si="1"/>
        <v>1.6495996548529954</v>
      </c>
      <c r="G44" s="17">
        <f t="shared" si="2"/>
        <v>1.0997331032353301</v>
      </c>
      <c r="H44" s="131">
        <f t="shared" si="3"/>
        <v>1.1822130859779798</v>
      </c>
    </row>
    <row r="45" spans="2:8" ht="12.75" x14ac:dyDescent="0.35">
      <c r="B45" s="130">
        <v>6500</v>
      </c>
      <c r="C45" s="16">
        <v>242</v>
      </c>
      <c r="D45" s="16">
        <v>1.5</v>
      </c>
      <c r="E45" s="17">
        <f t="shared" si="0"/>
        <v>2.7379718789226715</v>
      </c>
      <c r="F45" s="17">
        <f t="shared" si="1"/>
        <v>1.6427831273536031</v>
      </c>
      <c r="G45" s="17">
        <f t="shared" si="2"/>
        <v>1.0951887515690686</v>
      </c>
      <c r="H45" s="131">
        <f t="shared" si="3"/>
        <v>1.1773279079367487</v>
      </c>
    </row>
    <row r="46" spans="2:8" ht="12.75" x14ac:dyDescent="0.35">
      <c r="B46" s="130">
        <v>6500</v>
      </c>
      <c r="C46" s="16">
        <v>243</v>
      </c>
      <c r="D46" s="16">
        <v>1.5</v>
      </c>
      <c r="E46" s="17">
        <f t="shared" si="0"/>
        <v>2.7267045049353351</v>
      </c>
      <c r="F46" s="17">
        <f t="shared" si="1"/>
        <v>1.6360227029612011</v>
      </c>
      <c r="G46" s="17">
        <f t="shared" si="2"/>
        <v>1.090681801974134</v>
      </c>
      <c r="H46" s="131">
        <f t="shared" si="3"/>
        <v>1.1724829371221941</v>
      </c>
    </row>
    <row r="47" spans="2:8" ht="12.75" x14ac:dyDescent="0.35">
      <c r="B47" s="130">
        <v>6500</v>
      </c>
      <c r="C47" s="16">
        <v>244</v>
      </c>
      <c r="D47" s="16">
        <v>1.5</v>
      </c>
      <c r="E47" s="17">
        <f t="shared" si="0"/>
        <v>2.715529486472485</v>
      </c>
      <c r="F47" s="17">
        <f t="shared" si="1"/>
        <v>1.6293176918834911</v>
      </c>
      <c r="G47" s="17">
        <f t="shared" si="2"/>
        <v>1.086211794588994</v>
      </c>
      <c r="H47" s="131">
        <f t="shared" si="3"/>
        <v>1.1676776791831684</v>
      </c>
    </row>
    <row r="48" spans="2:8" ht="12.75" x14ac:dyDescent="0.35">
      <c r="B48" s="130">
        <v>6500</v>
      </c>
      <c r="C48" s="16">
        <v>245</v>
      </c>
      <c r="D48" s="16">
        <v>1.5</v>
      </c>
      <c r="E48" s="17">
        <f t="shared" si="0"/>
        <v>2.7044456926501486</v>
      </c>
      <c r="F48" s="17">
        <f t="shared" si="1"/>
        <v>1.6226674155900893</v>
      </c>
      <c r="G48" s="17">
        <f t="shared" si="2"/>
        <v>1.0817782770600595</v>
      </c>
      <c r="H48" s="131">
        <f t="shared" si="3"/>
        <v>1.1629116478395638</v>
      </c>
    </row>
    <row r="49" spans="2:8" ht="12.75" x14ac:dyDescent="0.35">
      <c r="B49" s="130">
        <v>6500</v>
      </c>
      <c r="C49" s="16">
        <v>246</v>
      </c>
      <c r="D49" s="16">
        <v>1.5</v>
      </c>
      <c r="E49" s="17">
        <f t="shared" si="0"/>
        <v>2.6934520109727087</v>
      </c>
      <c r="F49" s="17">
        <f t="shared" si="1"/>
        <v>1.6160712065836254</v>
      </c>
      <c r="G49" s="17">
        <f t="shared" si="2"/>
        <v>1.0773808043890836</v>
      </c>
      <c r="H49" s="131">
        <f t="shared" si="3"/>
        <v>1.1581843647182648</v>
      </c>
    </row>
    <row r="50" spans="2:8" ht="12.75" x14ac:dyDescent="0.35">
      <c r="B50" s="130">
        <v>6500</v>
      </c>
      <c r="C50" s="16">
        <v>247</v>
      </c>
      <c r="D50" s="16">
        <v>1.5</v>
      </c>
      <c r="E50" s="17">
        <f t="shared" si="0"/>
        <v>2.6825473469606735</v>
      </c>
      <c r="F50" s="17">
        <f t="shared" si="1"/>
        <v>1.6095284081764043</v>
      </c>
      <c r="G50" s="17">
        <f t="shared" si="2"/>
        <v>1.0730189387842695</v>
      </c>
      <c r="H50" s="131">
        <f t="shared" si="3"/>
        <v>1.1534953591930897</v>
      </c>
    </row>
    <row r="51" spans="2:8" ht="12.75" x14ac:dyDescent="0.35">
      <c r="B51" s="130">
        <v>6500</v>
      </c>
      <c r="C51" s="16">
        <v>248</v>
      </c>
      <c r="D51" s="16">
        <v>1.5</v>
      </c>
      <c r="E51" s="17">
        <f t="shared" si="0"/>
        <v>2.6717306237874454</v>
      </c>
      <c r="F51" s="17">
        <f t="shared" si="1"/>
        <v>1.6030383742724674</v>
      </c>
      <c r="G51" s="17">
        <f t="shared" si="2"/>
        <v>1.0686922495149782</v>
      </c>
      <c r="H51" s="131">
        <f t="shared" si="3"/>
        <v>1.1488441682286015</v>
      </c>
    </row>
    <row r="52" spans="2:8" ht="12.75" x14ac:dyDescent="0.35">
      <c r="B52" s="130">
        <v>6500</v>
      </c>
      <c r="C52" s="16">
        <v>249</v>
      </c>
      <c r="D52" s="16">
        <v>1.5</v>
      </c>
      <c r="E52" s="17">
        <f t="shared" si="0"/>
        <v>2.6610007819248449</v>
      </c>
      <c r="F52" s="17">
        <f t="shared" si="1"/>
        <v>1.5966004691549072</v>
      </c>
      <c r="G52" s="17">
        <f t="shared" si="2"/>
        <v>1.064400312769938</v>
      </c>
      <c r="H52" s="131">
        <f t="shared" si="3"/>
        <v>1.1442303362276833</v>
      </c>
    </row>
    <row r="53" spans="2:8" ht="12.75" x14ac:dyDescent="0.35">
      <c r="B53" s="130">
        <v>6500</v>
      </c>
      <c r="C53" s="16">
        <v>250</v>
      </c>
      <c r="D53" s="16">
        <v>1.5</v>
      </c>
      <c r="E53" s="17">
        <f t="shared" si="0"/>
        <v>2.6503567787971458</v>
      </c>
      <c r="F53" s="17">
        <f t="shared" si="1"/>
        <v>1.5902140672782876</v>
      </c>
      <c r="G53" s="17">
        <f t="shared" si="2"/>
        <v>1.0601427115188584</v>
      </c>
      <c r="H53" s="131">
        <f t="shared" si="3"/>
        <v>1.1396534148827728</v>
      </c>
    </row>
    <row r="54" spans="2:8" ht="12.75" x14ac:dyDescent="0.35">
      <c r="B54" s="130">
        <v>6500</v>
      </c>
      <c r="C54" s="16">
        <v>251</v>
      </c>
      <c r="D54" s="16">
        <v>1.5</v>
      </c>
      <c r="E54" s="17">
        <f t="shared" si="0"/>
        <v>2.6397975884433724</v>
      </c>
      <c r="F54" s="17">
        <f t="shared" si="1"/>
        <v>1.5838785530660235</v>
      </c>
      <c r="G54" s="17">
        <f t="shared" si="2"/>
        <v>1.0559190353773489</v>
      </c>
      <c r="H54" s="131">
        <f t="shared" si="3"/>
        <v>1.13511296303065</v>
      </c>
    </row>
    <row r="55" spans="2:8" ht="12.75" x14ac:dyDescent="0.35">
      <c r="B55" s="130">
        <v>6500</v>
      </c>
      <c r="C55" s="16">
        <v>252</v>
      </c>
      <c r="D55" s="16">
        <v>1.5</v>
      </c>
      <c r="E55" s="17">
        <f t="shared" si="0"/>
        <v>2.629322201187644</v>
      </c>
      <c r="F55" s="17">
        <f t="shared" si="1"/>
        <v>1.5775933207125865</v>
      </c>
      <c r="G55" s="17">
        <f t="shared" si="2"/>
        <v>1.0517288804750575</v>
      </c>
      <c r="H55" s="131">
        <f t="shared" si="3"/>
        <v>1.1306085465106868</v>
      </c>
    </row>
    <row r="56" spans="2:8" ht="12.75" x14ac:dyDescent="0.35">
      <c r="B56" s="130">
        <v>6500</v>
      </c>
      <c r="C56" s="16">
        <v>253</v>
      </c>
      <c r="D56" s="16">
        <v>1.5</v>
      </c>
      <c r="E56" s="17">
        <f t="shared" si="0"/>
        <v>2.6189296233173374</v>
      </c>
      <c r="F56" s="17">
        <f t="shared" si="1"/>
        <v>1.5713577739904026</v>
      </c>
      <c r="G56" s="17">
        <f t="shared" si="2"/>
        <v>1.047571849326935</v>
      </c>
      <c r="H56" s="131">
        <f t="shared" si="3"/>
        <v>1.1261397380264551</v>
      </c>
    </row>
    <row r="57" spans="2:8" ht="12.75" x14ac:dyDescent="0.35">
      <c r="B57" s="130">
        <v>6500</v>
      </c>
      <c r="C57" s="16">
        <v>254</v>
      </c>
      <c r="D57" s="16">
        <v>1.5</v>
      </c>
      <c r="E57" s="17">
        <f t="shared" si="0"/>
        <v>2.6086188767688441</v>
      </c>
      <c r="F57" s="17">
        <f t="shared" si="1"/>
        <v>1.5651713260613065</v>
      </c>
      <c r="G57" s="17">
        <f t="shared" si="2"/>
        <v>1.0434475507075376</v>
      </c>
      <c r="H57" s="131">
        <f t="shared" si="3"/>
        <v>1.1217061170106029</v>
      </c>
    </row>
    <row r="58" spans="2:8" ht="12.75" x14ac:dyDescent="0.35">
      <c r="B58" s="130">
        <v>6500</v>
      </c>
      <c r="C58" s="16">
        <v>255</v>
      </c>
      <c r="D58" s="16">
        <v>1.5</v>
      </c>
      <c r="E58" s="17">
        <f t="shared" si="0"/>
        <v>2.5983889988207309</v>
      </c>
      <c r="F58" s="17">
        <f t="shared" si="1"/>
        <v>1.5590333992924388</v>
      </c>
      <c r="G58" s="17">
        <f t="shared" si="2"/>
        <v>1.0393555995282924</v>
      </c>
      <c r="H58" s="131">
        <f t="shared" si="3"/>
        <v>1.1173072694929143</v>
      </c>
    </row>
    <row r="59" spans="2:8" ht="12.75" x14ac:dyDescent="0.35">
      <c r="B59" s="130">
        <v>6500</v>
      </c>
      <c r="C59" s="16">
        <v>256</v>
      </c>
      <c r="D59" s="16">
        <v>1.5</v>
      </c>
      <c r="E59" s="17">
        <f t="shared" si="0"/>
        <v>2.5882390417940875</v>
      </c>
      <c r="F59" s="17">
        <f t="shared" si="1"/>
        <v>1.5529434250764527</v>
      </c>
      <c r="G59" s="17">
        <f t="shared" si="2"/>
        <v>1.035295616717635</v>
      </c>
      <c r="H59" s="131">
        <f t="shared" si="3"/>
        <v>1.1129427879714575</v>
      </c>
    </row>
    <row r="60" spans="2:8" ht="12.75" x14ac:dyDescent="0.35">
      <c r="B60" s="130">
        <v>6500</v>
      </c>
      <c r="C60" s="16">
        <v>257</v>
      </c>
      <c r="D60" s="16">
        <v>1.5</v>
      </c>
      <c r="E60" s="17">
        <f t="shared" si="0"/>
        <v>2.5781680727598695</v>
      </c>
      <c r="F60" s="17">
        <f t="shared" si="1"/>
        <v>1.5469008436559217</v>
      </c>
      <c r="G60" s="17">
        <f t="shared" si="2"/>
        <v>1.0312672291039477</v>
      </c>
      <c r="H60" s="131">
        <f t="shared" si="3"/>
        <v>1.1086122712867439</v>
      </c>
    </row>
    <row r="61" spans="2:8" ht="12.75" x14ac:dyDescent="0.35">
      <c r="B61" s="130">
        <v>6500</v>
      </c>
      <c r="C61" s="16">
        <v>258</v>
      </c>
      <c r="D61" s="16">
        <v>1.5</v>
      </c>
      <c r="E61" s="17">
        <f t="shared" si="0"/>
        <v>2.568175173253048</v>
      </c>
      <c r="F61" s="17">
        <f t="shared" si="1"/>
        <v>1.5409051039518289</v>
      </c>
      <c r="G61" s="17">
        <f t="shared" si="2"/>
        <v>1.0272700693012191</v>
      </c>
      <c r="H61" s="131">
        <f t="shared" si="3"/>
        <v>1.1043153244988104</v>
      </c>
    </row>
    <row r="62" spans="2:8" ht="12.75" x14ac:dyDescent="0.35">
      <c r="B62" s="130">
        <v>6500</v>
      </c>
      <c r="C62" s="16">
        <v>259</v>
      </c>
      <c r="D62" s="16">
        <v>1.5</v>
      </c>
      <c r="E62" s="17">
        <f t="shared" si="0"/>
        <v>2.5582594389933839</v>
      </c>
      <c r="F62" s="17">
        <f t="shared" si="1"/>
        <v>1.5349556633960304</v>
      </c>
      <c r="G62" s="17">
        <f t="shared" si="2"/>
        <v>1.0233037755973535</v>
      </c>
      <c r="H62" s="131">
        <f t="shared" si="3"/>
        <v>1.1000515587671551</v>
      </c>
    </row>
    <row r="63" spans="2:8" ht="12.75" x14ac:dyDescent="0.35">
      <c r="B63" s="134">
        <v>6500</v>
      </c>
      <c r="C63" s="9">
        <v>260</v>
      </c>
      <c r="D63" s="9">
        <v>1.5</v>
      </c>
      <c r="E63" s="11">
        <f t="shared" si="0"/>
        <v>2.5484199796126403</v>
      </c>
      <c r="F63" s="11">
        <f t="shared" si="1"/>
        <v>1.5290519877675843</v>
      </c>
      <c r="G63" s="11">
        <f t="shared" si="2"/>
        <v>1.0193679918450562</v>
      </c>
      <c r="H63" s="131">
        <f t="shared" si="3"/>
        <v>1.0958205912334353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Budget</vt:lpstr>
      <vt:lpstr>Simulations</vt:lpstr>
      <vt:lpstr>ISP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Shang</cp:lastModifiedBy>
  <dcterms:modified xsi:type="dcterms:W3CDTF">2026-04-27T13:15:17Z</dcterms:modified>
</cp:coreProperties>
</file>