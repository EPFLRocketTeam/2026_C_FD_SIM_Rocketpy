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Budget" sheetId="2" r:id="rId6"/>
    <sheet state="visible" name="Simulations" sheetId="3" r:id="rId7"/>
    <sheet state="visible" name="ISP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From RPA</t>
      </text>
    </comment>
    <comment authorId="0" ref="F5">
      <text>
        <t xml:space="preserve">From RPA</t>
      </text>
    </comment>
    <comment authorId="0" ref="F6">
      <text>
        <t xml:space="preserve">From RPA</t>
      </text>
    </comment>
    <comment authorId="0" ref="F7">
      <text>
        <t xml:space="preserve">From RPA</t>
      </text>
    </comment>
    <comment authorId="0" ref="F8">
      <text>
        <t xml:space="preserve">From RPA</t>
      </text>
    </comment>
    <comment authorId="0" ref="F9">
      <text>
        <t xml:space="preserve">From RPA</t>
      </text>
    </comment>
    <comment authorId="0" ref="F10">
      <text>
        <t xml:space="preserve">From RPA</t>
      </text>
    </comment>
    <comment authorId="0" ref="F11">
      <text>
        <t xml:space="preserve">From RPA</t>
      </text>
    </comment>
    <comment authorId="0" ref="F12">
      <text>
        <t xml:space="preserve">From RPA</t>
      </text>
    </comment>
    <comment authorId="0" ref="F13">
      <text>
        <t xml:space="preserve">From RPA</t>
      </text>
    </comment>
    <comment authorId="0" ref="F14">
      <text>
        <t xml:space="preserve">From RPA</t>
      </text>
    </comment>
    <comment authorId="0" ref="F15">
      <text>
        <t xml:space="preserve">From RPA</t>
      </text>
    </comment>
    <comment authorId="0" ref="F16">
      <text>
        <t xml:space="preserve">From RPA</t>
      </text>
    </comment>
    <comment authorId="0" ref="F17">
      <text>
        <t xml:space="preserve">From RPA</t>
      </text>
    </comment>
    <comment authorId="0" ref="F18">
      <text>
        <t xml:space="preserve">From RPA</t>
      </text>
    </comment>
    <comment authorId="0" ref="F19">
      <text>
        <t xml:space="preserve">From RPA</t>
      </text>
    </comment>
    <comment authorId="0" ref="F20">
      <text>
        <t xml:space="preserve">From RPA</t>
      </text>
    </comment>
    <comment authorId="0" ref="F21">
      <text>
        <t xml:space="preserve">From RPA</t>
      </text>
    </comment>
    <comment authorId="0" ref="F22">
      <text>
        <t xml:space="preserve">From RPA</t>
      </text>
    </comment>
    <comment authorId="0" ref="F23">
      <text>
        <t xml:space="preserve">From RPA</t>
      </text>
    </comment>
    <comment authorId="0" ref="F24">
      <text>
        <t xml:space="preserve">From RPA</t>
      </text>
    </comment>
    <comment authorId="0" ref="F25">
      <text>
        <t xml:space="preserve">From RPA</t>
      </text>
    </comment>
    <comment authorId="0" ref="F26">
      <text>
        <t xml:space="preserve">From RPA</t>
      </text>
    </comment>
    <comment authorId="0" ref="F27">
      <text>
        <t xml:space="preserve">From RPA</t>
      </text>
    </comment>
    <comment authorId="0" ref="F28">
      <text>
        <t xml:space="preserve">From RPA</t>
      </text>
    </comment>
    <comment authorId="0" ref="F29">
      <text>
        <t xml:space="preserve">From RPA</t>
      </text>
    </comment>
    <comment authorId="0" ref="F30">
      <text>
        <t xml:space="preserve">From RPA</t>
      </text>
    </comment>
    <comment authorId="0" ref="F31">
      <text>
        <t xml:space="preserve">From RPA</t>
      </text>
    </comment>
    <comment authorId="0" ref="F32">
      <text>
        <t xml:space="preserve">From RPA</t>
      </text>
    </comment>
    <comment authorId="0" ref="F33">
      <text>
        <t xml:space="preserve">From RPA</t>
      </text>
    </comment>
    <comment authorId="0" ref="F34">
      <text>
        <t xml:space="preserve">From RPA</t>
      </text>
    </comment>
    <comment authorId="0" ref="F35">
      <text>
        <t xml:space="preserve">From RPA</t>
      </text>
    </comment>
    <comment authorId="0" ref="F36">
      <text>
        <t xml:space="preserve">From RPA</t>
      </text>
    </comment>
    <comment authorId="0" ref="F37">
      <text>
        <t xml:space="preserve">From RPA</t>
      </text>
    </comment>
    <comment authorId="0" ref="F38">
      <text>
        <t xml:space="preserve">From RPA</t>
      </text>
    </comment>
    <comment authorId="0" ref="F39">
      <text>
        <t xml:space="preserve">From RPA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Post LOx fill duration until burn</t>
      </text>
    </comment>
    <comment authorId="0" ref="E3">
      <text>
        <t xml:space="preserve">LOx Prechill duration</t>
      </text>
    </comment>
    <comment authorId="0" ref="F3">
      <text>
        <t xml:space="preserve">Opening delay beetween fuel and ox valve</t>
      </text>
    </comment>
    <comment authorId="0" ref="G3">
      <text>
        <t xml:space="preserve">Chamber pressure ramp up duration</t>
      </text>
    </comment>
    <comment authorId="0" ref="H3">
      <text>
        <t xml:space="preserve">Nominal burn duration</t>
      </text>
    </comment>
    <comment authorId="0" ref="I3">
      <text>
        <t xml:space="preserve">Closure delay beetween MO and ME</t>
      </text>
    </comment>
    <comment authorId="0" ref="J3">
      <text>
        <t xml:space="preserve">Chamber pressure ramp down</t>
      </text>
    </comment>
    <comment authorId="0" ref="G4">
      <text>
        <t xml:space="preserve">VSFT Average</t>
      </text>
    </comment>
    <comment authorId="0" ref="H4">
      <text>
        <t xml:space="preserve">If engine de-rates according to the N2 computations.</t>
      </text>
    </comment>
    <comment authorId="0" ref="J4">
      <text>
        <t xml:space="preserve">VSFT Average</t>
      </text>
    </comment>
    <comment authorId="0" ref="F56">
      <text>
        <t xml:space="preserve">Onboard N2 mass</t>
      </text>
    </comment>
    <comment authorId="0" ref="G56">
      <text>
        <t xml:space="preserve">COPV volume</t>
      </text>
    </comment>
    <comment authorId="0" ref="D109">
      <text>
        <t xml:space="preserve">At 40 bars, -183 degrees
</t>
      </text>
    </comment>
    <comment authorId="0" ref="E109">
      <text>
        <t xml:space="preserve">Burn start</t>
      </text>
    </comment>
    <comment authorId="0" ref="H109">
      <text>
        <t xml:space="preserve">LOx boil-off massflow (from LOx to GOx)</t>
      </text>
    </comment>
    <comment authorId="0" ref="I109">
      <text>
        <t xml:space="preserve">Massflow during delay beetween ethanol and oxydizer valve during ignition.</t>
      </text>
    </comment>
    <comment authorId="0" ref="J109">
      <text>
        <t xml:space="preserve">Massflow during LOx injector pre-chill</t>
      </text>
    </comment>
    <comment authorId="0" ref="L109">
      <text>
        <t xml:space="preserve">Full burn massflow</t>
      </text>
    </comment>
    <comment authorId="0" ref="M109">
      <text>
        <t xml:space="preserve">LOx mass converted to GOx during hold</t>
      </text>
    </comment>
    <comment authorId="0" ref="N109">
      <text>
        <t xml:space="preserve">oxydizer mass expelled during prechill</t>
      </text>
    </comment>
    <comment authorId="0" ref="O109">
      <text>
        <t xml:space="preserve">Oxydizer mass used during ignition 
</t>
      </text>
    </comment>
    <comment authorId="0" ref="P109">
      <text>
        <t xml:space="preserve">Mass consumed during burn</t>
      </text>
    </comment>
    <comment authorId="0" ref="Q109">
      <text>
        <t xml:space="preserve">LOx mass consumed at engine cutoff</t>
      </text>
    </comment>
    <comment authorId="0" ref="R109">
      <text>
        <t xml:space="preserve">Mass at test end</t>
      </text>
    </comment>
    <comment authorId="0" ref="S109">
      <text>
        <t xml:space="preserve">Total mass consumed</t>
      </text>
    </comment>
    <comment authorId="0" ref="U109">
      <text>
        <t xml:space="preserve">Volume at test start</t>
      </text>
    </comment>
    <comment authorId="0" ref="V109">
      <text>
        <t xml:space="preserve">Mass at test end</t>
      </text>
    </comment>
    <comment authorId="0" ref="W109">
      <text>
        <t xml:space="preserve">Total volume consumed</t>
      </text>
    </comment>
    <comment authorId="0" ref="I112">
      <text>
        <t xml:space="preserve">FH1 flight </t>
      </text>
    </comment>
    <comment authorId="0" ref="J112">
      <text>
        <t xml:space="preserve">FH1 flight
</t>
      </text>
    </comment>
    <comment authorId="0" ref="R112">
      <text>
        <t xml:space="preserve">1cm of liquid height in the tank at the end of the burn
</t>
      </text>
    </comment>
    <comment authorId="0" ref="D162">
      <text>
        <t xml:space="preserve">Fuel density at 20 degrees and 40 bars</t>
      </text>
    </comment>
    <comment authorId="0" ref="E162">
      <text>
        <t xml:space="preserve">Fuel temperature</t>
      </text>
    </comment>
    <comment authorId="0" ref="F162">
      <text>
        <t xml:space="preserve">Water mass ratio of fuel</t>
      </text>
    </comment>
    <comment authorId="0" ref="G162">
      <text>
        <t xml:space="preserve">film cooling massflow ratio (compared to injected massflow).</t>
      </text>
    </comment>
    <comment authorId="0" ref="I162">
      <text>
        <t xml:space="preserve">Massflow during delay beetween ethanol and oxydizer valve during ignition.</t>
      </text>
    </comment>
    <comment authorId="0" ref="J162">
      <text>
        <t xml:space="preserve">Film cooling massflow</t>
      </text>
    </comment>
    <comment authorId="0" ref="K162">
      <text>
        <t xml:space="preserve">Fuel massflow rate during burn (without taking account the film cooling).</t>
      </text>
    </comment>
    <comment authorId="0" ref="L162">
      <text>
        <t xml:space="preserve">Fuel massflow rate during burn (while taking account the film cooling).</t>
      </text>
    </comment>
    <comment authorId="0" ref="M162">
      <text>
        <t xml:space="preserve">Ground segment line fuel mass
</t>
      </text>
    </comment>
    <comment authorId="0" ref="O162">
      <text>
        <t xml:space="preserve">Mass consumed due to ethanol / LOx valve ignition delay</t>
      </text>
    </comment>
    <comment authorId="0" ref="V162">
      <text>
        <t xml:space="preserve">Mass at test end</t>
      </text>
    </comment>
    <comment authorId="0" ref="W162">
      <text>
        <t xml:space="preserve">Total mass consumed</t>
      </text>
    </comment>
    <comment authorId="0" ref="O165">
      <text>
        <t xml:space="preserve">O if MO open before ME
</t>
      </text>
    </comment>
    <comment authorId="0" ref="R165">
      <text>
        <t xml:space="preserve">1cm of liquid height in the tank at the end of the burn
</t>
      </text>
    </comment>
  </commentList>
</comments>
</file>

<file path=xl/sharedStrings.xml><?xml version="1.0" encoding="utf-8"?>
<sst xmlns="http://schemas.openxmlformats.org/spreadsheetml/2006/main" count="353" uniqueCount="169">
  <si>
    <t>Configurations</t>
  </si>
  <si>
    <t>Dry mass [kg]</t>
  </si>
  <si>
    <t>Nominal Thurst [N]</t>
  </si>
  <si>
    <t>ISP [s]</t>
  </si>
  <si>
    <t>core O/F [-]</t>
  </si>
  <si>
    <t>Mass flow tot core [kg/s]</t>
  </si>
  <si>
    <t>Mass flow ox [kg/s]</t>
  </si>
  <si>
    <t>Mass flow fuel core [kg/s]</t>
  </si>
  <si>
    <t>Ramp up time [s]</t>
  </si>
  <si>
    <t>Ramp down time [s]</t>
  </si>
  <si>
    <t>Total impulse burn [Ns]</t>
  </si>
  <si>
    <t>Total impulse [Ns]</t>
  </si>
  <si>
    <t xml:space="preserve">Description </t>
  </si>
  <si>
    <t>Firehorn 1</t>
  </si>
  <si>
    <t>B1 flight configuration of FH1 for reference</t>
  </si>
  <si>
    <t>THRUST1</t>
  </si>
  <si>
    <t>2026_C_PR_B3_CONFIG1</t>
  </si>
  <si>
    <t>B3, dry mass = est, thrust iteration for exit velocity</t>
  </si>
  <si>
    <t>2025_C_PR_B3_CONFIG2</t>
  </si>
  <si>
    <t>2026_C_PR_B3_CONFIG3</t>
  </si>
  <si>
    <t>2025_C_PR_B3_CONFIG4</t>
  </si>
  <si>
    <t>2026_C_PR_B3_CONFIG5</t>
  </si>
  <si>
    <t>2025_C_PR_B3_CONFIG6</t>
  </si>
  <si>
    <t>2026_C_PR_B3_CONFIG7</t>
  </si>
  <si>
    <t>2025_C_PR_B3_CONFIG8</t>
  </si>
  <si>
    <t>2026_C_PR_B3_CONFIG9</t>
  </si>
  <si>
    <t>2026_C_PR_B3_CONFIG10</t>
  </si>
  <si>
    <t>2026_C_PR_B3_CONFIG11</t>
  </si>
  <si>
    <t>2026_C_PR_B3_CONFIG12</t>
  </si>
  <si>
    <t>THRUST2</t>
  </si>
  <si>
    <t>2026_C_PR_B3_CONFIG13</t>
  </si>
  <si>
    <t>B3, dry mass = est + 15%, thrust iteration for exit velocity</t>
  </si>
  <si>
    <t>2026_C_PR_B3_CONFIG14</t>
  </si>
  <si>
    <t>2026_C_PR_B3_CONFIG15</t>
  </si>
  <si>
    <t>2026_C_PR_B3_CONFIG16</t>
  </si>
  <si>
    <t>2026_C_PR_B3_CONFIG17</t>
  </si>
  <si>
    <t>2026_C_PR_B3_CONFIG18</t>
  </si>
  <si>
    <t>2026_C_PR_B3_CONFIG19</t>
  </si>
  <si>
    <t>2026_C_PR_B3_CONFIG20</t>
  </si>
  <si>
    <t>2026_C_PR_B3_CONFIG21</t>
  </si>
  <si>
    <t>2026_C_PR_B3_CONFIG22</t>
  </si>
  <si>
    <t>2026_C_PR_B3_CONFIG23</t>
  </si>
  <si>
    <t>2026_C_PR_B3_CONFIG24</t>
  </si>
  <si>
    <t>IMPULSE1</t>
  </si>
  <si>
    <t>2026_C_PR_B3_CONFIG25</t>
  </si>
  <si>
    <t>B3, dry mass = est, impulse iteration for apogee</t>
  </si>
  <si>
    <t>2026_C_PR_B3_CONFIG26</t>
  </si>
  <si>
    <t>2026_C_PR_B3_CONFIG27</t>
  </si>
  <si>
    <t>2026_C_PR_B3_CONFIG28</t>
  </si>
  <si>
    <t>2026_C_PR_B3_CONFIG29</t>
  </si>
  <si>
    <t>2026_C_PR_B3_CONFIG30</t>
  </si>
  <si>
    <t>IMPULSE2</t>
  </si>
  <si>
    <t>2026_C_PR_B3_CONFIG31</t>
  </si>
  <si>
    <t>B3, dry mass = est + 15%, impulse iteration for apogee</t>
  </si>
  <si>
    <t>2026_C_PR_B3_CONFIG32</t>
  </si>
  <si>
    <t>2026_C_PR_B3_CONFIG33</t>
  </si>
  <si>
    <t>2026_C_PR_B3_CONFIG34</t>
  </si>
  <si>
    <t>2026_C_PR_B1_CONFIG35</t>
  </si>
  <si>
    <t>2026_C_PR_B1_CONFIG36</t>
  </si>
  <si>
    <t>ISP</t>
  </si>
  <si>
    <t>2026_C_PR_B1_CONFIG37</t>
  </si>
  <si>
    <t>B3, dry mass = est, ISP iteration</t>
  </si>
  <si>
    <t>2026_C_PR_B1_CONFIG38</t>
  </si>
  <si>
    <t>2026_C_PR_B1_CONFIG39</t>
  </si>
  <si>
    <t>2026_C_PR_B1_CONFIG40</t>
  </si>
  <si>
    <t>2026_C_PR_B1_CONFIG41</t>
  </si>
  <si>
    <t>2026_C_PR_B1_CONFIG42</t>
  </si>
  <si>
    <t>2026_C_PR_B1_CONFIG43</t>
  </si>
  <si>
    <t>2026_C_PR_B1_CONFIG44</t>
  </si>
  <si>
    <t>2026_C_PR_B1_CONFIG45</t>
  </si>
  <si>
    <t>2026_C_PR_B1_CONFIG46</t>
  </si>
  <si>
    <t>2026_C_PR_B1_CONFIG47</t>
  </si>
  <si>
    <t>2026_C_PR_B1_CONFIG48</t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</si>
  <si>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wanted thrust in COLUMN E, GOAL: Find the thrust at which the LV exit rail velocity ∈ [32, 35] m/s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</si>
  <si>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wanted thrust in COLUMN E, GOAL: Find the thrust at which the LV exit rail velocity ∈ [32, 35] m/s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</si>
  <si>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thrust found with THRUST1 in COLUMN E, 2. </t>
    </r>
    <r>
      <rPr>
        <rFont val="Arial"/>
        <color rgb="FFFF0000"/>
      </rPr>
      <t>SET</t>
    </r>
    <r>
      <rPr>
        <rFont val="Arial"/>
        <color theme="1"/>
      </rPr>
      <t xml:space="preserve"> the wanted impulse in COLUMN M, GOAL: Find the impulse at which the LV reach a apogee ∈ [3200, 3500] m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</si>
  <si>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thrust found with THRUST2 in COLUMN E, 2. </t>
    </r>
    <r>
      <rPr>
        <rFont val="Arial"/>
        <color rgb="FFFF0000"/>
      </rPr>
      <t>SET</t>
    </r>
    <r>
      <rPr>
        <rFont val="Arial"/>
        <color theme="1"/>
      </rPr>
      <t xml:space="preserve"> the wanted impulse in COLUMN M, GOAL: Find the impulse at which the LV reach a apogee ∈ [3200, 3500] m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</si>
  <si>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thrust found with THRUST1 in COLUMN E, 2. </t>
    </r>
    <r>
      <rPr>
        <rFont val="Arial"/>
        <color rgb="FFFF0000"/>
      </rPr>
      <t>SET</t>
    </r>
    <r>
      <rPr>
        <rFont val="Arial"/>
        <color theme="1"/>
      </rPr>
      <t xml:space="preserve"> the impulse found with IMPULSE1 in COLUMN M, GOAL: Find the influence of the ISP on the flight</t>
    </r>
  </si>
  <si>
    <t>Timings</t>
  </si>
  <si>
    <t>Hold</t>
  </si>
  <si>
    <t>Prechill</t>
  </si>
  <si>
    <t>Ignition</t>
  </si>
  <si>
    <t>Ramp Up</t>
  </si>
  <si>
    <t>Burn</t>
  </si>
  <si>
    <t>Cutoff</t>
  </si>
  <si>
    <t>Ramp Down</t>
  </si>
  <si>
    <t>duration</t>
  </si>
  <si>
    <t>ignition_delay</t>
  </si>
  <si>
    <t>ramp_up_duration</t>
  </si>
  <si>
    <t>nominal_duration</t>
  </si>
  <si>
    <t>delay</t>
  </si>
  <si>
    <t>ramp_down_duration</t>
  </si>
  <si>
    <t>Pressurant</t>
  </si>
  <si>
    <t>Density [kg/m3]</t>
  </si>
  <si>
    <t>Temperature [K]</t>
  </si>
  <si>
    <t>Mass [kg]</t>
  </si>
  <si>
    <t>Volume [L]</t>
  </si>
  <si>
    <t>ρ_n2</t>
  </si>
  <si>
    <t>T_n2_copv</t>
  </si>
  <si>
    <t>m_n2_copv</t>
  </si>
  <si>
    <t>v_n2_copv</t>
  </si>
  <si>
    <t>Oxidizer</t>
  </si>
  <si>
    <t>Massflows [kg/s]</t>
  </si>
  <si>
    <t>ρ_ox</t>
  </si>
  <si>
    <t>T_ox</t>
  </si>
  <si>
    <t>ṁ_ox_boil-off</t>
  </si>
  <si>
    <t>ṁ_ox_ignition</t>
  </si>
  <si>
    <t>ṁ_ox_prechill</t>
  </si>
  <si>
    <t>ṁ_ox_burn</t>
  </si>
  <si>
    <t>m_ox_boil-off</t>
  </si>
  <si>
    <t>m_ox_prechill</t>
  </si>
  <si>
    <t>m_ox_delay</t>
  </si>
  <si>
    <t>m_ox_burn</t>
  </si>
  <si>
    <t>m_ox_end</t>
  </si>
  <si>
    <t>m_ox_total</t>
  </si>
  <si>
    <t>v_ox_boil_off</t>
  </si>
  <si>
    <t>v_ox_start</t>
  </si>
  <si>
    <t>v_ox_end</t>
  </si>
  <si>
    <t>v_ox_total</t>
  </si>
  <si>
    <t>N.A.</t>
  </si>
  <si>
    <t>Fuel</t>
  </si>
  <si>
    <t>Fuel Composition</t>
  </si>
  <si>
    <t>Film Cooling</t>
  </si>
  <si>
    <t>ρ_fuel</t>
  </si>
  <si>
    <t>T_fuel</t>
  </si>
  <si>
    <t>water_frac</t>
  </si>
  <si>
    <t>frac_film_cooling</t>
  </si>
  <si>
    <t>ṁ_fuel_ignition</t>
  </si>
  <si>
    <t>ṁ_film_cooling</t>
  </si>
  <si>
    <t>ṁ_fuel_core</t>
  </si>
  <si>
    <t>ṁ_fuel_burn</t>
  </si>
  <si>
    <t>m_fuel_delay</t>
  </si>
  <si>
    <t>m_fuel_burn</t>
  </si>
  <si>
    <t>m_fuel_cutoff</t>
  </si>
  <si>
    <t>m_fuel_end</t>
  </si>
  <si>
    <t>m_fuel_total</t>
  </si>
  <si>
    <t>v_fuel_end</t>
  </si>
  <si>
    <t>v_fuel_total</t>
  </si>
  <si>
    <t>N.D.</t>
  </si>
  <si>
    <t>Thrust Curve</t>
  </si>
  <si>
    <t>Parameters</t>
  </si>
  <si>
    <t>Event</t>
  </si>
  <si>
    <t>Time [s]</t>
  </si>
  <si>
    <t>Thrust [N]</t>
  </si>
  <si>
    <t>B1 (nominal flight)</t>
  </si>
  <si>
    <t>Full Thrust</t>
  </si>
  <si>
    <t>Shutdown</t>
  </si>
  <si>
    <t>B3 minimal burn time</t>
  </si>
  <si>
    <t>B3 maximal burn time</t>
  </si>
  <si>
    <t>Simulations inputs</t>
  </si>
  <si>
    <t>N2</t>
  </si>
  <si>
    <t>Total Impulse</t>
  </si>
  <si>
    <t>Timing [s]</t>
  </si>
  <si>
    <t>Simulations outputs</t>
  </si>
  <si>
    <t>Apogee [m]</t>
  </si>
  <si>
    <t>Rail exit static margin [c]</t>
  </si>
  <si>
    <t>Rail exit velocity [m/s]</t>
  </si>
  <si>
    <t>Mass total [kg]</t>
  </si>
  <si>
    <t>Mass remaining [kg]</t>
  </si>
  <si>
    <t xml:space="preserve">Full </t>
  </si>
  <si>
    <t>Derated</t>
  </si>
  <si>
    <t>Ramp up</t>
  </si>
  <si>
    <t>Burn time</t>
  </si>
  <si>
    <t>Ramp down</t>
  </si>
  <si>
    <t>ND</t>
  </si>
  <si>
    <r>
      <rPr>
        <rFont val="Arial"/>
        <color theme="1"/>
      </rPr>
      <t xml:space="preserve">B1 flight configuration of FH1 for reference </t>
    </r>
    <r>
      <rPr>
        <rFont val="Arial"/>
        <color rgb="FFFF0000"/>
      </rPr>
      <t>(no simulation needed)</t>
    </r>
  </si>
  <si>
    <t>/</t>
  </si>
  <si>
    <r>
      <rPr>
        <rFont val="Arial"/>
        <color theme="1"/>
      </rPr>
      <t xml:space="preserve">B1 flight configuration of FH1 for reference </t>
    </r>
    <r>
      <rPr>
        <rFont val="Arial"/>
        <color rgb="FFFF0000"/>
      </rPr>
      <t>(no simulation needed)</t>
    </r>
  </si>
  <si>
    <t>Mass flow fuel [kg/s]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</si>
</sst>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2" fillId="2" fontId="1" numFmtId="164" xfId="0" applyAlignment="1" applyBorder="1" applyFont="1" applyNumberFormat="1">
      <alignment horizontal="center" readingOrder="0" vertical="center"/>
    </xf>
    <xf borderId="3" fillId="2" fontId="1" numFmtId="164" xfId="0" applyAlignment="1" applyBorder="1" applyFont="1" applyNumberFormat="1">
      <alignment horizontal="center" readingOrder="0" vertical="center"/>
    </xf>
    <xf borderId="3" fillId="2" fontId="1" numFmtId="3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6" fillId="0" fontId="1" numFmtId="0" xfId="0" applyAlignment="1" applyBorder="1" applyFont="1">
      <alignment horizontal="left" readingOrder="0" vertical="center"/>
    </xf>
    <xf borderId="7" fillId="0" fontId="1" numFmtId="0" xfId="0" applyAlignment="1" applyBorder="1" applyFont="1">
      <alignment horizontal="left" readingOrder="0" vertical="center"/>
    </xf>
    <xf borderId="7" fillId="0" fontId="1" numFmtId="164" xfId="0" applyAlignment="1" applyBorder="1" applyFont="1" applyNumberFormat="1">
      <alignment horizontal="left" readingOrder="0" vertical="center"/>
    </xf>
    <xf borderId="6" fillId="0" fontId="1" numFmtId="164" xfId="0" applyAlignment="1" applyBorder="1" applyFont="1" applyNumberFormat="1">
      <alignment horizontal="left" readingOrder="0" vertical="center"/>
    </xf>
    <xf borderId="6" fillId="0" fontId="1" numFmtId="3" xfId="0" applyAlignment="1" applyBorder="1" applyFont="1" applyNumberFormat="1">
      <alignment horizontal="left" readingOrder="0" vertical="center"/>
    </xf>
    <xf borderId="8" fillId="0" fontId="1" numFmtId="0" xfId="0" applyAlignment="1" applyBorder="1" applyFont="1">
      <alignment readingOrder="0" shrinkToFit="0" vertical="center" wrapText="1"/>
    </xf>
    <xf borderId="9" fillId="0" fontId="1" numFmtId="164" xfId="0" applyAlignment="1" applyBorder="1" applyFont="1" applyNumberFormat="1">
      <alignment horizontal="center" readingOrder="0" textRotation="90" vertical="center"/>
    </xf>
    <xf borderId="10" fillId="0" fontId="3" numFmtId="164" xfId="0" applyBorder="1" applyFont="1" applyNumberFormat="1"/>
    <xf borderId="11" fillId="0" fontId="1" numFmtId="0" xfId="0" applyAlignment="1" applyBorder="1" applyFont="1">
      <alignment horizontal="left" readingOrder="0" vertical="center"/>
    </xf>
    <xf borderId="11" fillId="0" fontId="3" numFmtId="0" xfId="0" applyBorder="1" applyFont="1"/>
    <xf borderId="0" fillId="0" fontId="1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11" fillId="0" fontId="1" numFmtId="164" xfId="0" applyAlignment="1" applyBorder="1" applyFont="1" applyNumberFormat="1">
      <alignment horizontal="left" readingOrder="0" vertical="center"/>
    </xf>
    <xf borderId="11" fillId="0" fontId="3" numFmtId="3" xfId="0" applyBorder="1" applyFont="1" applyNumberFormat="1"/>
    <xf borderId="11" fillId="0" fontId="1" numFmtId="3" xfId="0" applyAlignment="1" applyBorder="1" applyFont="1" applyNumberFormat="1">
      <alignment horizontal="left" readingOrder="0" vertical="center"/>
    </xf>
    <xf borderId="12" fillId="0" fontId="1" numFmtId="0" xfId="0" applyAlignment="1" applyBorder="1" applyFont="1">
      <alignment readingOrder="0" shrinkToFit="0" vertical="center" wrapText="1"/>
    </xf>
    <xf borderId="13" fillId="0" fontId="2" numFmtId="0" xfId="0" applyBorder="1" applyFont="1"/>
    <xf borderId="11" fillId="0" fontId="3" numFmtId="164" xfId="0" applyBorder="1" applyFont="1" applyNumberFormat="1"/>
    <xf borderId="11" fillId="3" fontId="3" numFmtId="164" xfId="0" applyBorder="1" applyFill="1" applyFont="1" applyNumberFormat="1"/>
    <xf borderId="12" fillId="3" fontId="1" numFmtId="0" xfId="0" applyAlignment="1" applyBorder="1" applyFont="1">
      <alignment readingOrder="0" shrinkToFit="0" vertical="center" wrapText="1"/>
    </xf>
    <xf borderId="5" fillId="0" fontId="2" numFmtId="0" xfId="0" applyBorder="1" applyFont="1"/>
    <xf borderId="6" fillId="0" fontId="3" numFmtId="164" xfId="0" applyBorder="1" applyFont="1" applyNumberFormat="1"/>
    <xf borderId="6" fillId="0" fontId="3" numFmtId="0" xfId="0" applyBorder="1" applyFont="1"/>
    <xf borderId="7" fillId="0" fontId="1" numFmtId="164" xfId="0" applyAlignment="1" applyBorder="1" applyFont="1" applyNumberFormat="1">
      <alignment horizontal="left" vertical="center"/>
    </xf>
    <xf borderId="6" fillId="0" fontId="3" numFmtId="3" xfId="0" applyBorder="1" applyFont="1" applyNumberFormat="1"/>
    <xf borderId="11" fillId="4" fontId="3" numFmtId="164" xfId="0" applyBorder="1" applyFill="1" applyFont="1" applyNumberFormat="1"/>
    <xf borderId="12" fillId="4" fontId="1" numFmtId="0" xfId="0" applyAlignment="1" applyBorder="1" applyFont="1">
      <alignment readingOrder="0" shrinkToFit="0" vertical="center" wrapText="1"/>
    </xf>
    <xf borderId="11" fillId="2" fontId="3" numFmtId="164" xfId="0" applyBorder="1" applyFont="1" applyNumberFormat="1"/>
    <xf borderId="11" fillId="2" fontId="1" numFmtId="0" xfId="0" applyAlignment="1" applyBorder="1" applyFont="1">
      <alignment horizontal="left" readingOrder="0" vertical="center"/>
    </xf>
    <xf borderId="11" fillId="2" fontId="3" numFmtId="0" xfId="0" applyBorder="1" applyFont="1"/>
    <xf borderId="0" fillId="2" fontId="1" numFmtId="164" xfId="0" applyAlignment="1" applyFont="1" applyNumberFormat="1">
      <alignment horizontal="left" readingOrder="0" vertical="center"/>
    </xf>
    <xf borderId="0" fillId="2" fontId="1" numFmtId="164" xfId="0" applyAlignment="1" applyFont="1" applyNumberFormat="1">
      <alignment horizontal="left" vertical="center"/>
    </xf>
    <xf borderId="11" fillId="2" fontId="1" numFmtId="164" xfId="0" applyAlignment="1" applyBorder="1" applyFont="1" applyNumberFormat="1">
      <alignment horizontal="left" readingOrder="0" vertical="center"/>
    </xf>
    <xf borderId="11" fillId="2" fontId="3" numFmtId="3" xfId="0" applyBorder="1" applyFont="1" applyNumberFormat="1"/>
    <xf borderId="11" fillId="2" fontId="1" numFmtId="3" xfId="0" applyAlignment="1" applyBorder="1" applyFont="1" applyNumberFormat="1">
      <alignment horizontal="left" readingOrder="0" vertical="center"/>
    </xf>
    <xf borderId="12" fillId="2" fontId="1" numFmtId="0" xfId="0" applyAlignment="1" applyBorder="1" applyFont="1">
      <alignment readingOrder="0" shrinkToFit="0" vertical="center" wrapText="1"/>
    </xf>
    <xf borderId="6" fillId="4" fontId="3" numFmtId="164" xfId="0" applyBorder="1" applyFont="1" applyNumberFormat="1"/>
    <xf borderId="8" fillId="4" fontId="1" numFmtId="0" xfId="0" applyAlignment="1" applyBorder="1" applyFont="1">
      <alignment readingOrder="0" shrinkToFit="0" vertical="center" wrapText="1"/>
    </xf>
    <xf borderId="11" fillId="0" fontId="3" numFmtId="164" xfId="0" applyAlignment="1" applyBorder="1" applyFont="1" applyNumberFormat="1">
      <alignment readingOrder="0" vertical="center"/>
    </xf>
    <xf borderId="6" fillId="0" fontId="3" numFmtId="164" xfId="0" applyAlignment="1" applyBorder="1" applyFont="1" applyNumberFormat="1">
      <alignment readingOrder="0" vertical="center"/>
    </xf>
    <xf borderId="9" fillId="0" fontId="1" numFmtId="0" xfId="0" applyAlignment="1" applyBorder="1" applyFont="1">
      <alignment readingOrder="0" vertical="center"/>
    </xf>
    <xf borderId="10" fillId="0" fontId="2" numFmtId="0" xfId="0" applyBorder="1" applyFont="1"/>
    <xf borderId="14" fillId="0" fontId="1" numFmtId="0" xfId="0" applyAlignment="1" applyBorder="1" applyFont="1">
      <alignment readingOrder="0" vertical="center"/>
    </xf>
    <xf borderId="14" fillId="0" fontId="2" numFmtId="0" xfId="0" applyBorder="1" applyFont="1"/>
    <xf borderId="13" fillId="0" fontId="1" numFmtId="0" xfId="0" applyAlignment="1" applyBorder="1" applyFont="1">
      <alignment readingOrder="0" vertical="center"/>
    </xf>
    <xf borderId="11" fillId="0" fontId="2" numFmtId="0" xfId="0" applyBorder="1" applyFont="1"/>
    <xf borderId="0" fillId="0" fontId="1" numFmtId="0" xfId="0" applyAlignment="1" applyFont="1">
      <alignment readingOrder="0" vertical="center"/>
    </xf>
    <xf borderId="5" fillId="0" fontId="1" numFmtId="0" xfId="0" applyAlignment="1" applyBorder="1" applyFont="1">
      <alignment readingOrder="0" vertical="center"/>
    </xf>
    <xf borderId="7" fillId="0" fontId="1" numFmtId="0" xfId="0" applyAlignment="1" applyBorder="1" applyFont="1">
      <alignment readingOrder="0" vertical="center"/>
    </xf>
    <xf borderId="7" fillId="0" fontId="2" numFmtId="0" xfId="0" applyBorder="1" applyFont="1"/>
    <xf borderId="0" fillId="0" fontId="1" numFmtId="164" xfId="0" applyAlignment="1" applyFont="1" applyNumberFormat="1">
      <alignment horizontal="center" readingOrder="0" shrinkToFit="0" vertical="center" wrapText="1"/>
    </xf>
    <xf borderId="9" fillId="5" fontId="1" numFmtId="164" xfId="0" applyAlignment="1" applyBorder="1" applyFill="1" applyFont="1" applyNumberFormat="1">
      <alignment horizontal="center" readingOrder="0" vertical="center"/>
    </xf>
    <xf borderId="9" fillId="5" fontId="1" numFmtId="164" xfId="0" applyAlignment="1" applyBorder="1" applyFont="1" applyNumberFormat="1">
      <alignment horizontal="center" readingOrder="0" shrinkToFit="0" vertical="center" wrapText="1"/>
    </xf>
    <xf borderId="15" fillId="5" fontId="1" numFmtId="164" xfId="0" applyAlignment="1" applyBorder="1" applyFont="1" applyNumberFormat="1">
      <alignment horizontal="center" readingOrder="0" shrinkToFit="0" vertical="center" wrapText="1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vertical="center"/>
    </xf>
    <xf borderId="5" fillId="5" fontId="1" numFmtId="164" xfId="0" applyAlignment="1" applyBorder="1" applyFont="1" applyNumberFormat="1">
      <alignment horizontal="center" readingOrder="0" vertical="center"/>
    </xf>
    <xf borderId="8" fillId="5" fontId="1" numFmtId="164" xfId="0" applyAlignment="1" applyBorder="1" applyFont="1" applyNumberFormat="1">
      <alignment horizontal="center" readingOrder="0" vertical="center"/>
    </xf>
    <xf borderId="7" fillId="5" fontId="1" numFmtId="164" xfId="0" applyAlignment="1" applyBorder="1" applyFont="1" applyNumberFormat="1">
      <alignment horizontal="center" readingOrder="0" vertical="center"/>
    </xf>
    <xf borderId="9" fillId="0" fontId="1" numFmtId="164" xfId="0" applyAlignment="1" applyBorder="1" applyFont="1" applyNumberFormat="1">
      <alignment horizontal="center" readingOrder="0" textRotation="0" vertical="center"/>
    </xf>
    <xf borderId="13" fillId="0" fontId="1" numFmtId="164" xfId="0" applyAlignment="1" applyBorder="1" applyFont="1" applyNumberFormat="1">
      <alignment horizontal="left" readingOrder="0" vertical="center"/>
    </xf>
    <xf borderId="12" fillId="0" fontId="1" numFmtId="164" xfId="0" applyAlignment="1" applyBorder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12" fillId="3" fontId="1" numFmtId="164" xfId="0" applyAlignment="1" applyBorder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readingOrder="0" textRotation="90" vertical="center"/>
    </xf>
    <xf borderId="10" fillId="0" fontId="3" numFmtId="164" xfId="0" applyAlignment="1" applyBorder="1" applyFont="1" applyNumberFormat="1">
      <alignment readingOrder="0" vertical="center"/>
    </xf>
    <xf borderId="14" fillId="0" fontId="1" numFmtId="164" xfId="0" applyAlignment="1" applyBorder="1" applyFont="1" applyNumberFormat="1">
      <alignment horizontal="left" readingOrder="0" vertical="center"/>
    </xf>
    <xf borderId="15" fillId="0" fontId="1" numFmtId="164" xfId="0" applyAlignment="1" applyBorder="1" applyFont="1" applyNumberFormat="1">
      <alignment horizontal="left" readingOrder="0" vertical="center"/>
    </xf>
    <xf borderId="10" fillId="0" fontId="3" numFmtId="164" xfId="0" applyAlignment="1" applyBorder="1" applyFont="1" applyNumberFormat="1">
      <alignment horizontal="left" readingOrder="0" vertical="center"/>
    </xf>
    <xf borderId="10" fillId="0" fontId="1" numFmtId="164" xfId="0" applyAlignment="1" applyBorder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12" fillId="0" fontId="1" numFmtId="164" xfId="0" applyAlignment="1" applyBorder="1" applyFont="1" applyNumberFormat="1">
      <alignment horizontal="left" readingOrder="0" vertical="center"/>
    </xf>
    <xf borderId="13" fillId="0" fontId="1" numFmtId="164" xfId="0" applyAlignment="1" applyBorder="1" applyFont="1" applyNumberFormat="1">
      <alignment horizontal="left" readingOrder="0" vertical="center"/>
    </xf>
    <xf borderId="13" fillId="0" fontId="3" numFmtId="164" xfId="0" applyAlignment="1" applyBorder="1" applyFont="1" applyNumberFormat="1">
      <alignment horizontal="left" readingOrder="0" vertical="center"/>
    </xf>
    <xf borderId="11" fillId="0" fontId="3" numFmtId="164" xfId="0" applyAlignment="1" applyBorder="1" applyFont="1" applyNumberFormat="1">
      <alignment horizontal="left" readingOrder="0" vertical="center"/>
    </xf>
    <xf borderId="11" fillId="0" fontId="1" numFmtId="164" xfId="0" applyAlignment="1" applyBorder="1" applyFont="1" applyNumberFormat="1">
      <alignment horizontal="left" readingOrder="0" vertical="center"/>
    </xf>
    <xf borderId="7" fillId="0" fontId="1" numFmtId="164" xfId="0" applyAlignment="1" applyBorder="1" applyFont="1" applyNumberFormat="1">
      <alignment horizontal="left" readingOrder="0" vertical="center"/>
    </xf>
    <xf borderId="8" fillId="0" fontId="1" numFmtId="164" xfId="0" applyAlignment="1" applyBorder="1" applyFont="1" applyNumberFormat="1">
      <alignment horizontal="left" readingOrder="0" vertical="center"/>
    </xf>
    <xf borderId="5" fillId="0" fontId="1" numFmtId="164" xfId="0" applyAlignment="1" applyBorder="1" applyFont="1" applyNumberFormat="1">
      <alignment horizontal="left" readingOrder="0" vertical="center"/>
    </xf>
    <xf borderId="5" fillId="0" fontId="3" numFmtId="164" xfId="0" applyAlignment="1" applyBorder="1" applyFont="1" applyNumberFormat="1">
      <alignment horizontal="left" readingOrder="0" vertical="center"/>
    </xf>
    <xf borderId="13" fillId="0" fontId="3" numFmtId="164" xfId="0" applyAlignment="1" applyBorder="1" applyFont="1" applyNumberFormat="1">
      <alignment horizontal="left" readingOrder="0" vertical="center"/>
    </xf>
    <xf borderId="11" fillId="2" fontId="3" numFmtId="164" xfId="0" applyAlignment="1" applyBorder="1" applyFont="1" applyNumberFormat="1">
      <alignment readingOrder="0" vertical="center"/>
    </xf>
    <xf borderId="12" fillId="2" fontId="1" numFmtId="164" xfId="0" applyAlignment="1" applyBorder="1" applyFont="1" applyNumberFormat="1">
      <alignment horizontal="left" readingOrder="0" vertical="center"/>
    </xf>
    <xf borderId="13" fillId="2" fontId="1" numFmtId="164" xfId="0" applyAlignment="1" applyBorder="1" applyFont="1" applyNumberFormat="1">
      <alignment horizontal="left" readingOrder="0" vertical="center"/>
    </xf>
    <xf borderId="13" fillId="2" fontId="3" numFmtId="164" xfId="0" applyAlignment="1" applyBorder="1" applyFont="1" applyNumberFormat="1">
      <alignment horizontal="left" readingOrder="0" vertical="center"/>
    </xf>
    <xf borderId="11" fillId="0" fontId="3" numFmtId="164" xfId="0" applyAlignment="1" applyBorder="1" applyFont="1" applyNumberFormat="1">
      <alignment horizontal="left" readingOrder="0" vertical="center"/>
    </xf>
    <xf borderId="6" fillId="0" fontId="3" numFmtId="164" xfId="0" applyAlignment="1" applyBorder="1" applyFont="1" applyNumberFormat="1">
      <alignment horizontal="left" readingOrder="0" vertical="center"/>
    </xf>
    <xf borderId="6" fillId="0" fontId="1" numFmtId="164" xfId="0" applyAlignment="1" applyBorder="1" applyFont="1" applyNumberFormat="1">
      <alignment horizontal="left" readingOrder="0" vertical="center"/>
    </xf>
    <xf borderId="11" fillId="2" fontId="3" numFmtId="164" xfId="0" applyAlignment="1" applyBorder="1" applyFont="1" applyNumberFormat="1">
      <alignment horizontal="left" readingOrder="0" vertical="center"/>
    </xf>
    <xf borderId="9" fillId="2" fontId="1" numFmtId="164" xfId="0" applyAlignment="1" applyBorder="1" applyFont="1" applyNumberFormat="1">
      <alignment horizontal="center" readingOrder="0" textRotation="0" vertical="center"/>
    </xf>
    <xf borderId="15" fillId="2" fontId="1" numFmtId="164" xfId="0" applyAlignment="1" applyBorder="1" applyFont="1" applyNumberFormat="1">
      <alignment horizontal="center" readingOrder="0" shrinkToFit="0" vertical="center" wrapText="1"/>
    </xf>
    <xf borderId="9" fillId="2" fontId="1" numFmtId="164" xfId="0" applyAlignment="1" applyBorder="1" applyFont="1" applyNumberFormat="1">
      <alignment horizontal="center" readingOrder="0" shrinkToFit="0" vertical="center" wrapText="1"/>
    </xf>
    <xf borderId="8" fillId="2" fontId="1" numFmtId="164" xfId="0" applyAlignment="1" applyBorder="1" applyFont="1" applyNumberFormat="1">
      <alignment horizontal="center" readingOrder="0" vertical="center"/>
    </xf>
    <xf borderId="6" fillId="2" fontId="1" numFmtId="164" xfId="0" applyAlignment="1" applyBorder="1" applyFont="1" applyNumberFormat="1">
      <alignment horizontal="center" readingOrder="0" vertical="center"/>
    </xf>
    <xf borderId="15" fillId="0" fontId="1" numFmtId="164" xfId="0" applyAlignment="1" applyBorder="1" applyFont="1" applyNumberFormat="1">
      <alignment horizontal="left" readingOrder="0" vertical="center"/>
    </xf>
    <xf borderId="15" fillId="0" fontId="3" numFmtId="164" xfId="0" applyAlignment="1" applyBorder="1" applyFont="1" applyNumberFormat="1">
      <alignment horizontal="left" readingOrder="0" vertical="center"/>
    </xf>
    <xf borderId="10" fillId="0" fontId="3" numFmtId="164" xfId="0" applyAlignment="1" applyBorder="1" applyFont="1" applyNumberFormat="1">
      <alignment horizontal="left" readingOrder="0" vertical="center"/>
    </xf>
    <xf borderId="12" fillId="3" fontId="3" numFmtId="164" xfId="0" applyAlignment="1" applyBorder="1" applyFont="1" applyNumberFormat="1">
      <alignment horizontal="left" readingOrder="0" vertical="center"/>
    </xf>
    <xf borderId="0" fillId="0" fontId="3" numFmtId="164" xfId="0" applyFont="1" applyNumberFormat="1"/>
    <xf borderId="10" fillId="0" fontId="1" numFmtId="164" xfId="0" applyAlignment="1" applyBorder="1" applyFont="1" applyNumberFormat="1">
      <alignment horizontal="left" readingOrder="0" vertical="center"/>
    </xf>
    <xf borderId="9" fillId="6" fontId="1" numFmtId="164" xfId="0" applyAlignment="1" applyBorder="1" applyFill="1" applyFont="1" applyNumberFormat="1">
      <alignment horizontal="center" readingOrder="0" textRotation="0" vertical="center"/>
    </xf>
    <xf borderId="15" fillId="6" fontId="1" numFmtId="164" xfId="0" applyAlignment="1" applyBorder="1" applyFont="1" applyNumberFormat="1">
      <alignment horizontal="center" readingOrder="0" shrinkToFit="0" vertical="center" wrapText="1"/>
    </xf>
    <xf borderId="9" fillId="6" fontId="1" numFmtId="164" xfId="0" applyAlignment="1" applyBorder="1" applyFont="1" applyNumberFormat="1">
      <alignment horizontal="center" readingOrder="0" shrinkToFit="0" vertical="center" wrapText="1"/>
    </xf>
    <xf borderId="10" fillId="6" fontId="1" numFmtId="164" xfId="0" applyAlignment="1" applyBorder="1" applyFont="1" applyNumberFormat="1">
      <alignment horizontal="center" readingOrder="0" shrinkToFit="0" vertical="center" wrapText="1"/>
    </xf>
    <xf borderId="8" fillId="6" fontId="1" numFmtId="164" xfId="0" applyAlignment="1" applyBorder="1" applyFont="1" applyNumberFormat="1">
      <alignment horizontal="center" readingOrder="0" vertical="center"/>
    </xf>
    <xf borderId="5" fillId="6" fontId="1" numFmtId="164" xfId="0" applyAlignment="1" applyBorder="1" applyFont="1" applyNumberFormat="1">
      <alignment horizontal="center" readingOrder="0" vertical="center"/>
    </xf>
    <xf borderId="6" fillId="6" fontId="1" numFmtId="164" xfId="0" applyAlignment="1" applyBorder="1" applyFont="1" applyNumberFormat="1">
      <alignment horizontal="center" readingOrder="0" vertical="center"/>
    </xf>
    <xf borderId="7" fillId="6" fontId="1" numFmtId="164" xfId="0" applyAlignment="1" applyBorder="1" applyFont="1" applyNumberFormat="1">
      <alignment horizontal="center" readingOrder="0" vertical="center"/>
    </xf>
    <xf borderId="9" fillId="0" fontId="1" numFmtId="164" xfId="0" applyAlignment="1" applyBorder="1" applyFont="1" applyNumberFormat="1">
      <alignment horizontal="left" readingOrder="0" vertical="center"/>
    </xf>
    <xf borderId="14" fillId="0" fontId="1" numFmtId="164" xfId="0" applyAlignment="1" applyBorder="1" applyFont="1" applyNumberFormat="1">
      <alignment horizontal="left" readingOrder="0" vertical="center"/>
    </xf>
    <xf borderId="14" fillId="0" fontId="1" numFmtId="164" xfId="0" applyAlignment="1" applyBorder="1" applyFont="1" applyNumberFormat="1">
      <alignment horizontal="left" readingOrder="0"/>
    </xf>
    <xf borderId="14" fillId="0" fontId="3" numFmtId="164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8" fillId="3" fontId="3" numFmtId="164" xfId="0" applyAlignment="1" applyBorder="1" applyFont="1" applyNumberFormat="1">
      <alignment horizontal="left" readingOrder="0" vertical="center"/>
    </xf>
    <xf borderId="5" fillId="3" fontId="1" numFmtId="164" xfId="0" applyAlignment="1" applyBorder="1" applyFont="1" applyNumberFormat="1">
      <alignment horizontal="left" readingOrder="0" vertical="center"/>
    </xf>
    <xf borderId="6" fillId="0" fontId="3" numFmtId="164" xfId="0" applyAlignment="1" applyBorder="1" applyFont="1" applyNumberFormat="1">
      <alignment horizontal="left" readingOrder="0" vertical="center"/>
    </xf>
    <xf borderId="7" fillId="3" fontId="1" numFmtId="164" xfId="0" applyAlignment="1" applyBorder="1" applyFont="1" applyNumberFormat="1">
      <alignment horizontal="left" readingOrder="0" vertical="center"/>
    </xf>
    <xf borderId="6" fillId="3" fontId="1" numFmtId="164" xfId="0" applyAlignment="1" applyBorder="1" applyFont="1" applyNumberFormat="1">
      <alignment horizontal="left" readingOrder="0" vertical="center"/>
    </xf>
    <xf borderId="7" fillId="3" fontId="1" numFmtId="164" xfId="0" applyAlignment="1" applyBorder="1" applyFont="1" applyNumberFormat="1">
      <alignment horizontal="left"/>
    </xf>
    <xf borderId="7" fillId="3" fontId="3" numFmtId="164" xfId="0" applyAlignment="1" applyBorder="1" applyFont="1" applyNumberFormat="1">
      <alignment horizontal="left" vertical="center"/>
    </xf>
    <xf borderId="0" fillId="3" fontId="1" numFmtId="0" xfId="0" applyAlignment="1" applyFont="1">
      <alignment horizontal="left" readingOrder="0" vertical="center"/>
    </xf>
    <xf borderId="11" fillId="7" fontId="3" numFmtId="164" xfId="0" applyAlignment="1" applyBorder="1" applyFill="1" applyFont="1" applyNumberFormat="1">
      <alignment horizontal="left" readingOrder="0" vertical="center"/>
    </xf>
    <xf borderId="13" fillId="4" fontId="1" numFmtId="164" xfId="0" applyAlignment="1" applyBorder="1" applyFont="1" applyNumberFormat="1">
      <alignment horizontal="left" readingOrder="0" vertical="center"/>
    </xf>
    <xf borderId="0" fillId="4" fontId="1" numFmtId="164" xfId="0" applyAlignment="1" applyFont="1" applyNumberFormat="1">
      <alignment horizontal="left" readingOrder="0" vertical="center"/>
    </xf>
    <xf borderId="0" fillId="7" fontId="1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3" numFmtId="164" xfId="0" applyAlignment="1" applyFont="1" applyNumberFormat="1">
      <alignment horizontal="left" vertical="center"/>
    </xf>
    <xf borderId="11" fillId="4" fontId="1" numFmtId="164" xfId="0" applyAlignment="1" applyBorder="1" applyFont="1" applyNumberFormat="1">
      <alignment horizontal="left" readingOrder="0" vertical="center"/>
    </xf>
    <xf borderId="11" fillId="7" fontId="1" numFmtId="164" xfId="0" applyAlignment="1" applyBorder="1" applyFont="1" applyNumberFormat="1">
      <alignment horizontal="left" readingOrder="0" vertical="center"/>
    </xf>
    <xf borderId="7" fillId="0" fontId="1" numFmtId="164" xfId="0" applyAlignment="1" applyBorder="1" applyFont="1" applyNumberFormat="1">
      <alignment horizontal="left" readingOrder="0" textRotation="90" vertical="center"/>
    </xf>
    <xf borderId="6" fillId="7" fontId="1" numFmtId="164" xfId="0" applyAlignment="1" applyBorder="1" applyFont="1" applyNumberFormat="1">
      <alignment horizontal="left" readingOrder="0" vertical="center"/>
    </xf>
    <xf borderId="5" fillId="4" fontId="1" numFmtId="164" xfId="0" applyAlignment="1" applyBorder="1" applyFont="1" applyNumberFormat="1">
      <alignment horizontal="left" readingOrder="0" vertical="center"/>
    </xf>
    <xf borderId="7" fillId="4" fontId="1" numFmtId="164" xfId="0" applyAlignment="1" applyBorder="1" applyFont="1" applyNumberFormat="1">
      <alignment horizontal="left" readingOrder="0" vertical="center"/>
    </xf>
    <xf borderId="7" fillId="7" fontId="1" numFmtId="164" xfId="0" applyAlignment="1" applyBorder="1" applyFont="1" applyNumberFormat="1">
      <alignment horizontal="left" readingOrder="0" vertical="center"/>
    </xf>
    <xf borderId="7" fillId="0" fontId="1" numFmtId="164" xfId="0" applyAlignment="1" applyBorder="1" applyFont="1" applyNumberFormat="1">
      <alignment horizontal="left"/>
    </xf>
    <xf borderId="7" fillId="0" fontId="3" numFmtId="164" xfId="0" applyAlignment="1" applyBorder="1" applyFont="1" applyNumberFormat="1">
      <alignment horizontal="left" vertical="center"/>
    </xf>
    <xf borderId="6" fillId="4" fontId="1" numFmtId="164" xfId="0" applyAlignment="1" applyBorder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vertical="center"/>
    </xf>
    <xf borderId="0" fillId="2" fontId="1" numFmtId="164" xfId="0" applyAlignment="1" applyFont="1" applyNumberFormat="1">
      <alignment horizontal="left"/>
    </xf>
    <xf borderId="0" fillId="2" fontId="3" numFmtId="164" xfId="0" applyAlignment="1" applyFont="1" applyNumberFormat="1">
      <alignment horizontal="left" vertical="center"/>
    </xf>
    <xf borderId="9" fillId="8" fontId="1" numFmtId="164" xfId="0" applyAlignment="1" applyBorder="1" applyFill="1" applyFont="1" applyNumberFormat="1">
      <alignment horizontal="center" readingOrder="0" textRotation="0" vertical="center"/>
    </xf>
    <xf borderId="15" fillId="8" fontId="1" numFmtId="164" xfId="0" applyAlignment="1" applyBorder="1" applyFont="1" applyNumberFormat="1">
      <alignment horizontal="center" readingOrder="0" shrinkToFit="0" vertical="center" wrapText="1"/>
    </xf>
    <xf borderId="9" fillId="8" fontId="1" numFmtId="164" xfId="0" applyAlignment="1" applyBorder="1" applyFont="1" applyNumberFormat="1">
      <alignment horizontal="center" readingOrder="0" shrinkToFit="0" vertical="center" wrapText="1"/>
    </xf>
    <xf borderId="8" fillId="8" fontId="1" numFmtId="164" xfId="0" applyAlignment="1" applyBorder="1" applyFont="1" applyNumberFormat="1">
      <alignment horizontal="center" readingOrder="0" vertical="center"/>
    </xf>
    <xf borderId="5" fillId="8" fontId="1" numFmtId="164" xfId="0" applyAlignment="1" applyBorder="1" applyFont="1" applyNumberFormat="1">
      <alignment horizontal="center" readingOrder="0" vertical="center"/>
    </xf>
    <xf borderId="6" fillId="8" fontId="1" numFmtId="164" xfId="0" applyAlignment="1" applyBorder="1" applyFont="1" applyNumberFormat="1">
      <alignment horizontal="center" readingOrder="0" vertical="center"/>
    </xf>
    <xf borderId="7" fillId="8" fontId="1" numFmtId="164" xfId="0" applyAlignment="1" applyBorder="1" applyFont="1" applyNumberFormat="1">
      <alignment horizontal="center" readingOrder="0" vertical="center"/>
    </xf>
    <xf borderId="12" fillId="0" fontId="3" numFmtId="164" xfId="0" applyAlignment="1" applyBorder="1" applyFont="1" applyNumberFormat="1">
      <alignment horizontal="left" readingOrder="0" vertical="center"/>
    </xf>
    <xf borderId="11" fillId="0" fontId="3" numFmtId="10" xfId="0" applyAlignment="1" applyBorder="1" applyFont="1" applyNumberFormat="1">
      <alignment horizontal="left" readingOrder="0" vertical="center"/>
    </xf>
    <xf borderId="12" fillId="0" fontId="1" numFmtId="10" xfId="0" applyAlignment="1" applyBorder="1" applyFont="1" applyNumberFormat="1">
      <alignment horizontal="left" readingOrder="0" vertical="center"/>
    </xf>
    <xf borderId="5" fillId="3" fontId="3" numFmtId="164" xfId="0" applyAlignment="1" applyBorder="1" applyFont="1" applyNumberFormat="1">
      <alignment horizontal="left" readingOrder="0" vertical="center"/>
    </xf>
    <xf borderId="6" fillId="0" fontId="3" numFmtId="10" xfId="0" applyAlignment="1" applyBorder="1" applyFont="1" applyNumberFormat="1">
      <alignment horizontal="left" readingOrder="0" vertical="center"/>
    </xf>
    <xf borderId="8" fillId="3" fontId="1" numFmtId="10" xfId="0" applyAlignment="1" applyBorder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12" fillId="0" fontId="3" numFmtId="164" xfId="0" applyAlignment="1" applyBorder="1" applyFont="1" applyNumberFormat="1">
      <alignment horizontal="left" readingOrder="0" vertical="center"/>
    </xf>
    <xf borderId="11" fillId="0" fontId="3" numFmtId="10" xfId="0" applyAlignment="1" applyBorder="1" applyFont="1" applyNumberFormat="1">
      <alignment horizontal="left" readingOrder="0" vertical="center"/>
    </xf>
    <xf borderId="7" fillId="0" fontId="3" numFmtId="164" xfId="0" applyAlignment="1" applyBorder="1" applyFont="1" applyNumberFormat="1">
      <alignment horizontal="left" readingOrder="0" vertical="center"/>
    </xf>
    <xf borderId="8" fillId="0" fontId="3" numFmtId="164" xfId="0" applyAlignment="1" applyBorder="1" applyFont="1" applyNumberFormat="1">
      <alignment horizontal="left" readingOrder="0" vertical="center"/>
    </xf>
    <xf borderId="6" fillId="0" fontId="3" numFmtId="10" xfId="0" applyAlignment="1" applyBorder="1" applyFont="1" applyNumberFormat="1">
      <alignment horizontal="left" readingOrder="0" vertical="center"/>
    </xf>
    <xf borderId="8" fillId="0" fontId="1" numFmtId="10" xfId="0" applyAlignment="1" applyBorder="1" applyFont="1" applyNumberFormat="1">
      <alignment horizontal="left" readingOrder="0" vertical="center"/>
    </xf>
    <xf borderId="0" fillId="2" fontId="3" numFmtId="164" xfId="0" applyAlignment="1" applyFont="1" applyNumberFormat="1">
      <alignment horizontal="left" readingOrder="0" vertical="center"/>
    </xf>
    <xf borderId="12" fillId="2" fontId="3" numFmtId="164" xfId="0" applyAlignment="1" applyBorder="1" applyFont="1" applyNumberFormat="1">
      <alignment horizontal="left" readingOrder="0" vertical="center"/>
    </xf>
    <xf borderId="11" fillId="2" fontId="3" numFmtId="10" xfId="0" applyAlignment="1" applyBorder="1" applyFont="1" applyNumberFormat="1">
      <alignment horizontal="left" readingOrder="0" vertical="center"/>
    </xf>
    <xf borderId="12" fillId="2" fontId="1" numFmtId="10" xfId="0" applyAlignment="1" applyBorder="1" applyFont="1" applyNumberFormat="1">
      <alignment horizontal="left" readingOrder="0" vertical="center"/>
    </xf>
    <xf borderId="14" fillId="0" fontId="1" numFmtId="164" xfId="0" applyAlignment="1" applyBorder="1" applyFont="1" applyNumberFormat="1">
      <alignment horizontal="center" readingOrder="0" textRotation="90" vertical="center"/>
    </xf>
    <xf borderId="14" fillId="0" fontId="1" numFmtId="164" xfId="0" applyAlignment="1" applyBorder="1" applyFont="1" applyNumberFormat="1">
      <alignment horizontal="left" vertical="center"/>
    </xf>
    <xf borderId="9" fillId="9" fontId="1" numFmtId="164" xfId="0" applyAlignment="1" applyBorder="1" applyFill="1" applyFont="1" applyNumberFormat="1">
      <alignment horizontal="center" readingOrder="0" textRotation="0" vertical="center"/>
    </xf>
    <xf borderId="9" fillId="9" fontId="1" numFmtId="164" xfId="0" applyAlignment="1" applyBorder="1" applyFont="1" applyNumberFormat="1">
      <alignment horizontal="center" readingOrder="0" vertical="center"/>
    </xf>
    <xf borderId="5" fillId="9" fontId="1" numFmtId="164" xfId="0" applyAlignment="1" applyBorder="1" applyFont="1" applyNumberFormat="1">
      <alignment horizontal="left" readingOrder="0"/>
    </xf>
    <xf borderId="7" fillId="9" fontId="1" numFmtId="164" xfId="0" applyAlignment="1" applyBorder="1" applyFont="1" applyNumberFormat="1">
      <alignment horizontal="left" readingOrder="0"/>
    </xf>
    <xf borderId="6" fillId="9" fontId="1" numFmtId="164" xfId="0" applyAlignment="1" applyBorder="1" applyFont="1" applyNumberFormat="1">
      <alignment horizontal="left" readingOrder="0" vertical="center"/>
    </xf>
    <xf borderId="9" fillId="0" fontId="3" numFmtId="164" xfId="0" applyAlignment="1" applyBorder="1" applyFont="1" applyNumberFormat="1">
      <alignment horizontal="left" readingOrder="0" vertical="center"/>
    </xf>
    <xf borderId="14" fillId="0" fontId="3" numFmtId="164" xfId="0" applyAlignment="1" applyBorder="1" applyFont="1" applyNumberFormat="1">
      <alignment horizontal="left" readingOrder="0" vertical="center"/>
    </xf>
    <xf borderId="10" fillId="0" fontId="1" numFmtId="164" xfId="0" applyAlignment="1" applyBorder="1" applyFont="1" applyNumberFormat="1">
      <alignment horizontal="left" readingOrder="0" vertical="center"/>
    </xf>
    <xf borderId="13" fillId="0" fontId="3" numFmtId="164" xfId="0" applyAlignment="1" applyBorder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vertical="center"/>
    </xf>
    <xf borderId="11" fillId="0" fontId="1" numFmtId="164" xfId="0" applyAlignment="1" applyBorder="1" applyFont="1" applyNumberFormat="1">
      <alignment horizontal="left" readingOrder="0" vertical="center"/>
    </xf>
    <xf borderId="5" fillId="0" fontId="3" numFmtId="164" xfId="0" applyAlignment="1" applyBorder="1" applyFont="1" applyNumberFormat="1">
      <alignment horizontal="left" readingOrder="0" vertical="center"/>
    </xf>
    <xf borderId="7" fillId="0" fontId="3" numFmtId="164" xfId="0" applyAlignment="1" applyBorder="1" applyFont="1" applyNumberFormat="1">
      <alignment horizontal="left" vertical="center"/>
    </xf>
    <xf borderId="6" fillId="0" fontId="1" numFmtId="164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/>
    </xf>
    <xf borderId="9" fillId="10" fontId="1" numFmtId="0" xfId="0" applyAlignment="1" applyBorder="1" applyFill="1" applyFont="1">
      <alignment horizontal="center" readingOrder="0" vertical="center"/>
    </xf>
    <xf borderId="10" fillId="10" fontId="1" numFmtId="0" xfId="0" applyAlignment="1" applyBorder="1" applyFont="1">
      <alignment horizontal="center" readingOrder="0"/>
    </xf>
    <xf borderId="14" fillId="10" fontId="1" numFmtId="0" xfId="0" applyAlignment="1" applyBorder="1" applyFont="1">
      <alignment horizontal="center" readingOrder="0"/>
    </xf>
    <xf borderId="9" fillId="10" fontId="1" numFmtId="0" xfId="0" applyAlignment="1" applyBorder="1" applyFont="1">
      <alignment horizontal="center" readingOrder="0"/>
    </xf>
    <xf borderId="15" fillId="10" fontId="1" numFmtId="0" xfId="0" applyAlignment="1" applyBorder="1" applyFont="1">
      <alignment horizontal="center" readingOrder="0" shrinkToFit="0" vertical="center" wrapText="1"/>
    </xf>
    <xf borderId="10" fillId="10" fontId="1" numFmtId="0" xfId="0" applyAlignment="1" applyBorder="1" applyFont="1">
      <alignment horizontal="center" readingOrder="0" vertical="center"/>
    </xf>
    <xf borderId="14" fillId="10" fontId="1" numFmtId="0" xfId="0" applyAlignment="1" applyBorder="1" applyFont="1">
      <alignment horizontal="center" readingOrder="0" vertical="center"/>
    </xf>
    <xf borderId="15" fillId="10" fontId="1" numFmtId="0" xfId="0" applyAlignment="1" applyBorder="1" applyFont="1">
      <alignment horizontal="center" readingOrder="0" shrinkToFit="0" vertical="center" wrapText="0"/>
    </xf>
    <xf borderId="6" fillId="10" fontId="1" numFmtId="0" xfId="0" applyAlignment="1" applyBorder="1" applyFont="1">
      <alignment horizontal="center" readingOrder="0" vertical="center"/>
    </xf>
    <xf borderId="7" fillId="10" fontId="1" numFmtId="0" xfId="0" applyAlignment="1" applyBorder="1" applyFont="1">
      <alignment horizontal="center" readingOrder="0" vertical="center"/>
    </xf>
    <xf borderId="7" fillId="10" fontId="1" numFmtId="164" xfId="0" applyAlignment="1" applyBorder="1" applyFont="1" applyNumberFormat="1">
      <alignment horizontal="center" readingOrder="0" vertical="center"/>
    </xf>
    <xf borderId="6" fillId="10" fontId="1" numFmtId="164" xfId="0" applyAlignment="1" applyBorder="1" applyFont="1" applyNumberFormat="1">
      <alignment horizontal="center" readingOrder="0" vertical="center"/>
    </xf>
    <xf borderId="5" fillId="10" fontId="1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13" fillId="0" fontId="1" numFmtId="0" xfId="0" applyAlignment="1" applyBorder="1" applyFont="1">
      <alignment horizontal="center" readingOrder="0" vertical="center"/>
    </xf>
    <xf borderId="5" fillId="0" fontId="1" numFmtId="164" xfId="0" applyAlignment="1" applyBorder="1" applyFont="1" applyNumberFormat="1">
      <alignment horizontal="left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horizontal="left" vertical="center"/>
    </xf>
    <xf borderId="11" fillId="0" fontId="3" numFmtId="0" xfId="0" applyAlignment="1" applyBorder="1" applyFont="1">
      <alignment vertical="bottom"/>
    </xf>
    <xf borderId="11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12" fillId="0" fontId="1" numFmtId="0" xfId="0" applyAlignment="1" applyBorder="1" applyFont="1">
      <alignment readingOrder="0" shrinkToFit="0" vertical="center" wrapText="0"/>
    </xf>
    <xf borderId="11" fillId="4" fontId="3" numFmtId="164" xfId="0" applyAlignment="1" applyBorder="1" applyFont="1" applyNumberFormat="1">
      <alignment readingOrder="0" vertical="center"/>
    </xf>
    <xf borderId="11" fillId="0" fontId="3" numFmtId="1" xfId="0" applyAlignment="1" applyBorder="1" applyFont="1" applyNumberFormat="1">
      <alignment horizontal="center" vertical="bottom"/>
    </xf>
    <xf borderId="11" fillId="0" fontId="3" numFmtId="164" xfId="0" applyAlignment="1" applyBorder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12" fillId="4" fontId="1" numFmtId="0" xfId="0" applyAlignment="1" applyBorder="1" applyFont="1">
      <alignment readingOrder="0" shrinkToFit="0" vertical="center" wrapText="0"/>
    </xf>
    <xf borderId="11" fillId="11" fontId="3" numFmtId="0" xfId="0" applyAlignment="1" applyBorder="1" applyFill="1" applyFont="1">
      <alignment horizontal="center" vertical="bottom"/>
    </xf>
    <xf borderId="11" fillId="11" fontId="3" numFmtId="164" xfId="0" applyAlignment="1" applyBorder="1" applyFont="1" applyNumberForma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6" fillId="0" fontId="1" numFmtId="164" xfId="0" applyAlignment="1" applyBorder="1" applyFont="1" applyNumberFormat="1">
      <alignment horizontal="left" vertical="center"/>
    </xf>
    <xf borderId="8" fillId="0" fontId="1" numFmtId="164" xfId="0" applyAlignment="1" applyBorder="1" applyFont="1" applyNumberFormat="1">
      <alignment horizontal="left" readingOrder="0" vertical="center"/>
    </xf>
    <xf borderId="6" fillId="0" fontId="3" numFmtId="164" xfId="0" applyAlignment="1" applyBorder="1" applyFont="1" applyNumberFormat="1">
      <alignment vertical="bottom"/>
    </xf>
    <xf borderId="7" fillId="0" fontId="3" numFmtId="164" xfId="0" applyAlignment="1" applyBorder="1" applyFont="1" applyNumberFormat="1">
      <alignment vertical="bottom"/>
    </xf>
    <xf borderId="11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11" fillId="2" fontId="1" numFmtId="164" xfId="0" applyAlignment="1" applyBorder="1" applyFont="1" applyNumberFormat="1">
      <alignment horizontal="left" vertical="center"/>
    </xf>
    <xf borderId="11" fillId="2" fontId="3" numFmtId="164" xfId="0" applyAlignment="1" applyBorder="1" applyFont="1" applyNumberFormat="1">
      <alignment horizontal="center" vertical="bottom"/>
    </xf>
    <xf borderId="11" fillId="2" fontId="3" numFmtId="0" xfId="0" applyAlignment="1" applyBorder="1" applyFont="1">
      <alignment horizontal="center" vertical="bottom"/>
    </xf>
    <xf borderId="12" fillId="2" fontId="1" numFmtId="0" xfId="0" applyAlignment="1" applyBorder="1" applyFont="1">
      <alignment readingOrder="0" shrinkToFit="0" vertical="center" wrapText="0"/>
    </xf>
    <xf borderId="6" fillId="4" fontId="3" numFmtId="164" xfId="0" applyAlignment="1" applyBorder="1" applyFont="1" applyNumberFormat="1">
      <alignment readingOrder="0" vertical="center"/>
    </xf>
    <xf borderId="6" fillId="0" fontId="3" numFmtId="0" xfId="0" applyAlignment="1" applyBorder="1" applyFont="1">
      <alignment horizontal="center" vertical="bottom"/>
    </xf>
    <xf borderId="7" fillId="0" fontId="3" numFmtId="164" xfId="0" applyAlignment="1" applyBorder="1" applyFont="1" applyNumberFormat="1">
      <alignment horizontal="center" vertical="bottom"/>
    </xf>
    <xf borderId="8" fillId="4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12" fillId="8" fontId="1" numFmtId="0" xfId="0" applyAlignment="1" applyBorder="1" applyFont="1">
      <alignment horizontal="left" readingOrder="0" vertical="center"/>
    </xf>
    <xf borderId="11" fillId="8" fontId="1" numFmtId="0" xfId="0" applyAlignment="1" applyBorder="1" applyFont="1">
      <alignment horizontal="left" readingOrder="0" vertical="center"/>
    </xf>
    <xf borderId="0" fillId="8" fontId="1" numFmtId="164" xfId="0" applyAlignment="1" applyFont="1" applyNumberFormat="1">
      <alignment horizontal="left" readingOrder="0" vertical="center"/>
    </xf>
    <xf borderId="0" fillId="8" fontId="1" numFmtId="164" xfId="0" applyAlignment="1" applyFont="1" applyNumberFormat="1">
      <alignment horizontal="left" vertical="center"/>
    </xf>
    <xf borderId="8" fillId="0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5"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5">
    <tableStyle count="2" pivot="0" name="Budget-style">
      <tableStyleElement dxfId="2" type="firstRowStripe"/>
      <tableStyleElement dxfId="3" type="secondRowStripe"/>
    </tableStyle>
    <tableStyle count="2" pivot="0" name="Budget-style 2">
      <tableStyleElement dxfId="2" type="firstRowStripe"/>
      <tableStyleElement dxfId="3" type="secondRowStripe"/>
    </tableStyle>
    <tableStyle count="3" pivot="0" name="Budget-style 3">
      <tableStyleElement dxfId="3" type="headerRow"/>
      <tableStyleElement dxfId="2" type="firstRowStripe"/>
      <tableStyleElement dxfId="3" type="secondRowStripe"/>
    </tableStyle>
    <tableStyle count="2" pivot="0" name="Budget-style 4">
      <tableStyleElement dxfId="2" type="firstRowStripe"/>
      <tableStyleElement dxfId="3" type="secondRowStripe"/>
    </tableStyle>
    <tableStyle count="2" pivot="0" name="Budget-style 5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Flight Thrust Curves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Budget!$F$215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Budget!$E$216:$E$227</c:f>
            </c:strRef>
          </c:cat>
          <c:val>
            <c:numRef>
              <c:f>Budget!$F$216:$F$227</c:f>
              <c:numCache/>
            </c:numRef>
          </c:val>
          <c:smooth val="0"/>
        </c:ser>
        <c:axId val="96094636"/>
        <c:axId val="983274791"/>
      </c:lineChart>
      <c:catAx>
        <c:axId val="96094636"/>
        <c:scaling>
          <c:orientation val="minMax"/>
          <c:max val="8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274791"/>
      </c:catAx>
      <c:valAx>
        <c:axId val="983274791"/>
        <c:scaling>
          <c:orientation val="minMax"/>
          <c:max val="8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94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Apogee Function of Impulse for 6.5kN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Simulations!$S$15:$S$17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Simulations!$K$18:$K$36</c:f>
            </c:numRef>
          </c:xVal>
          <c:yVal>
            <c:numRef>
              <c:f>Simulations!$S$18:$S$36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214015"/>
        <c:axId val="221372233"/>
      </c:scatterChart>
      <c:valAx>
        <c:axId val="15792140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Firehorn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372233"/>
      </c:valAx>
      <c:valAx>
        <c:axId val="221372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214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ISP!$E$2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ISP!$C$3:$C$63</c:f>
            </c:strRef>
          </c:cat>
          <c:val>
            <c:numRef>
              <c:f>ISP!$E$3:$E$63</c:f>
              <c:numCache/>
            </c:numRef>
          </c:val>
          <c:smooth val="0"/>
        </c:ser>
        <c:ser>
          <c:idx val="1"/>
          <c:order val="1"/>
          <c:tx>
            <c:strRef>
              <c:f>ISP!$F$2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ISP!$C$3:$C$63</c:f>
            </c:strRef>
          </c:cat>
          <c:val>
            <c:numRef>
              <c:f>ISP!$F$3:$F$63</c:f>
              <c:numCache/>
            </c:numRef>
          </c:val>
          <c:smooth val="0"/>
        </c:ser>
        <c:ser>
          <c:idx val="2"/>
          <c:order val="2"/>
          <c:tx>
            <c:strRef>
              <c:f>ISP!$G$2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ISP!$C$3:$C$63</c:f>
            </c:strRef>
          </c:cat>
          <c:val>
            <c:numRef>
              <c:f>ISP!$G$3:$G$63</c:f>
              <c:numCache/>
            </c:numRef>
          </c:val>
          <c:smooth val="0"/>
        </c:ser>
        <c:axId val="1826622256"/>
        <c:axId val="39346127"/>
      </c:lineChart>
      <c:catAx>
        <c:axId val="182662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46127"/>
      </c:catAx>
      <c:valAx>
        <c:axId val="39346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622256"/>
        <c:maj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1028700</xdr:colOff>
      <xdr:row>213</xdr:row>
      <xdr:rowOff>0</xdr:rowOff>
    </xdr:from>
    <xdr:ext cx="5362575" cy="32385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1238250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</xdr:colOff>
      <xdr:row>20</xdr:row>
      <xdr:rowOff>47625</xdr:rowOff>
    </xdr:from>
    <xdr:ext cx="904875" cy="581025"/>
    <xdr:sp>
      <xdr:nvSpPr>
        <xdr:cNvPr id="3" name="Shape 3"/>
        <xdr:cNvSpPr/>
      </xdr:nvSpPr>
      <xdr:spPr>
        <a:xfrm>
          <a:off x="2932075" y="2471750"/>
          <a:ext cx="2131500" cy="1341000"/>
        </a:xfrm>
        <a:prstGeom prst="rightArrow">
          <a:avLst>
            <a:gd fmla="val 50000" name="adj1"/>
            <a:gd fmla="val 50000" name="adj2"/>
          </a:avLst>
        </a:prstGeom>
        <a:solidFill>
          <a:srgbClr val="F4CCCC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4:J5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udget-style" showColumnStripes="0" showFirstColumn="1" showLastColumn="1" showRowStripes="1"/>
</table>
</file>

<file path=xl/tables/table2.xml><?xml version="1.0" encoding="utf-8"?>
<table xmlns="http://schemas.openxmlformats.org/spreadsheetml/2006/main" headerRowCount="0" ref="D57:D106" displayName="Table_2" name="Table_2" id="2">
  <tableColumns count="1">
    <tableColumn name="Column1" id="1"/>
  </tableColumns>
  <tableStyleInfo name="Budg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E60:G106" displayName="Table_3" name="Table_3" id="3">
  <tableColumns count="3">
    <tableColumn name="Column1" id="1"/>
    <tableColumn name="Column2" id="2"/>
    <tableColumn name="Column3" id="3"/>
  </tableColumns>
  <tableStyleInfo name="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D110:AF159" displayName="Table_4" name="Table_4" id="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Budget-style 4" showColumnStripes="0" showFirstColumn="1" showLastColumn="1" showRowStripes="1"/>
</table>
</file>

<file path=xl/tables/table5.xml><?xml version="1.0" encoding="utf-8"?>
<table xmlns="http://schemas.openxmlformats.org/spreadsheetml/2006/main" headerRowCount="0" ref="D163:AE212" displayName="Table_5" name="Table_5" id="5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Budget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22.25"/>
    <col customWidth="1" min="4" max="5" width="14.88"/>
    <col customWidth="1" min="6" max="6" width="5.88"/>
    <col customWidth="1" min="7" max="7" width="9.38"/>
    <col customWidth="1" min="8" max="8" width="18.88"/>
    <col customWidth="1" min="9" max="9" width="15.13"/>
    <col customWidth="1" min="10" max="10" width="19.75"/>
    <col customWidth="1" min="11" max="11" width="13.63"/>
    <col customWidth="1" min="12" max="12" width="15.75"/>
    <col customWidth="1" min="13" max="13" width="18.0"/>
    <col customWidth="1" min="14" max="14" width="14.13"/>
    <col customWidth="1" min="15" max="15" width="47.63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3"/>
      <c r="N1" s="1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5" t="s">
        <v>0</v>
      </c>
      <c r="C2" s="6"/>
      <c r="D2" s="7" t="s">
        <v>1</v>
      </c>
      <c r="E2" s="8" t="s">
        <v>2</v>
      </c>
      <c r="F2" s="8" t="s">
        <v>3</v>
      </c>
      <c r="G2" s="8" t="s">
        <v>4</v>
      </c>
      <c r="H2" s="7" t="s">
        <v>5</v>
      </c>
      <c r="I2" s="9" t="s">
        <v>6</v>
      </c>
      <c r="J2" s="9" t="s">
        <v>7</v>
      </c>
      <c r="K2" s="9" t="s">
        <v>8</v>
      </c>
      <c r="L2" s="10" t="s">
        <v>9</v>
      </c>
      <c r="M2" s="11" t="s">
        <v>10</v>
      </c>
      <c r="N2" s="8" t="s">
        <v>11</v>
      </c>
      <c r="O2" s="12" t="s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3" t="s">
        <v>13</v>
      </c>
      <c r="C3" s="14"/>
      <c r="D3" s="15">
        <v>84.4</v>
      </c>
      <c r="E3" s="15">
        <v>6308.0</v>
      </c>
      <c r="F3" s="15">
        <v>198.0</v>
      </c>
      <c r="G3" s="15">
        <v>1.463</v>
      </c>
      <c r="H3" s="16">
        <v>3.248</v>
      </c>
      <c r="I3" s="17">
        <v>1.925</v>
      </c>
      <c r="J3" s="17">
        <v>1.306</v>
      </c>
      <c r="K3" s="17">
        <v>0.361</v>
      </c>
      <c r="L3" s="18">
        <v>0.171</v>
      </c>
      <c r="M3" s="19"/>
      <c r="N3" s="15">
        <v>36167.0</v>
      </c>
      <c r="O3" s="20" t="s">
        <v>14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21" t="s">
        <v>15</v>
      </c>
      <c r="C4" s="22" t="s">
        <v>16</v>
      </c>
      <c r="D4" s="23">
        <v>95.66</v>
      </c>
      <c r="E4" s="24">
        <v>5000.0</v>
      </c>
      <c r="F4" s="23">
        <v>240.0</v>
      </c>
      <c r="G4" s="23">
        <v>1.5</v>
      </c>
      <c r="H4" s="25">
        <f t="shared" ref="H4:H47" si="1">E4/(F4*9.81)</f>
        <v>2.123683316</v>
      </c>
      <c r="I4" s="26">
        <f t="shared" ref="I4:I47" si="2">H4/(1+1/G4)</f>
        <v>1.27420999</v>
      </c>
      <c r="J4" s="26">
        <f t="shared" ref="J4:J47" si="3"> H4 / (1 +G4 )</f>
        <v>0.8494733265</v>
      </c>
      <c r="K4" s="25">
        <v>0.4</v>
      </c>
      <c r="L4" s="27">
        <v>0.2</v>
      </c>
      <c r="M4" s="28"/>
      <c r="N4" s="29">
        <f t="shared" ref="N4:N47" si="4">M4 + K4*E4/2 + L4*E4/2</f>
        <v>1500</v>
      </c>
      <c r="O4" s="30" t="s">
        <v>17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31"/>
      <c r="C5" s="32" t="s">
        <v>18</v>
      </c>
      <c r="D5" s="23">
        <v>95.66</v>
      </c>
      <c r="E5" s="24">
        <v>5500.0</v>
      </c>
      <c r="F5" s="23">
        <v>240.0</v>
      </c>
      <c r="G5" s="23">
        <v>1.5</v>
      </c>
      <c r="H5" s="25">
        <f t="shared" si="1"/>
        <v>2.336051648</v>
      </c>
      <c r="I5" s="26">
        <f t="shared" si="2"/>
        <v>1.401630989</v>
      </c>
      <c r="J5" s="26">
        <f t="shared" si="3"/>
        <v>0.9344206592</v>
      </c>
      <c r="K5" s="25">
        <v>0.4</v>
      </c>
      <c r="L5" s="27">
        <v>0.2</v>
      </c>
      <c r="M5" s="28"/>
      <c r="N5" s="29">
        <f t="shared" si="4"/>
        <v>1650</v>
      </c>
      <c r="O5" s="30" t="s">
        <v>17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31"/>
      <c r="C6" s="32" t="s">
        <v>19</v>
      </c>
      <c r="D6" s="23">
        <v>95.66</v>
      </c>
      <c r="E6" s="24">
        <v>6000.0</v>
      </c>
      <c r="F6" s="23">
        <v>240.0</v>
      </c>
      <c r="G6" s="23">
        <v>1.5</v>
      </c>
      <c r="H6" s="25">
        <f t="shared" si="1"/>
        <v>2.54841998</v>
      </c>
      <c r="I6" s="26">
        <f t="shared" si="2"/>
        <v>1.529051988</v>
      </c>
      <c r="J6" s="26">
        <f t="shared" si="3"/>
        <v>1.019367992</v>
      </c>
      <c r="K6" s="25">
        <v>0.4</v>
      </c>
      <c r="L6" s="27">
        <v>0.2</v>
      </c>
      <c r="M6" s="28"/>
      <c r="N6" s="29">
        <f t="shared" si="4"/>
        <v>1800</v>
      </c>
      <c r="O6" s="30" t="s">
        <v>17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31"/>
      <c r="C7" s="33" t="s">
        <v>20</v>
      </c>
      <c r="D7" s="23">
        <v>95.66</v>
      </c>
      <c r="E7" s="24">
        <v>6500.0</v>
      </c>
      <c r="F7" s="23">
        <v>240.0</v>
      </c>
      <c r="G7" s="23">
        <v>1.5</v>
      </c>
      <c r="H7" s="25">
        <f t="shared" si="1"/>
        <v>2.760788311</v>
      </c>
      <c r="I7" s="26">
        <f t="shared" si="2"/>
        <v>1.656472987</v>
      </c>
      <c r="J7" s="26">
        <f t="shared" si="3"/>
        <v>1.104315324</v>
      </c>
      <c r="K7" s="25">
        <v>0.4</v>
      </c>
      <c r="L7" s="27">
        <v>0.2</v>
      </c>
      <c r="M7" s="28">
        <v>36000.0</v>
      </c>
      <c r="N7" s="29">
        <f t="shared" si="4"/>
        <v>37950</v>
      </c>
      <c r="O7" s="34" t="s">
        <v>17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31"/>
      <c r="C8" s="33" t="s">
        <v>21</v>
      </c>
      <c r="D8" s="23">
        <v>95.66</v>
      </c>
      <c r="E8" s="24">
        <v>7000.0</v>
      </c>
      <c r="F8" s="23">
        <v>240.0</v>
      </c>
      <c r="G8" s="23">
        <v>1.5</v>
      </c>
      <c r="H8" s="25">
        <f t="shared" si="1"/>
        <v>2.973156643</v>
      </c>
      <c r="I8" s="26">
        <f t="shared" si="2"/>
        <v>1.783893986</v>
      </c>
      <c r="J8" s="26">
        <f t="shared" si="3"/>
        <v>1.189262657</v>
      </c>
      <c r="K8" s="25">
        <v>0.4</v>
      </c>
      <c r="L8" s="27">
        <v>0.2</v>
      </c>
      <c r="M8" s="28">
        <v>36000.0</v>
      </c>
      <c r="N8" s="29">
        <f t="shared" si="4"/>
        <v>38100</v>
      </c>
      <c r="O8" s="34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31"/>
      <c r="C9" s="32" t="s">
        <v>22</v>
      </c>
      <c r="D9" s="23">
        <v>95.66</v>
      </c>
      <c r="E9" s="24">
        <v>7500.0</v>
      </c>
      <c r="F9" s="23">
        <v>240.0</v>
      </c>
      <c r="G9" s="23">
        <v>1.5</v>
      </c>
      <c r="H9" s="25">
        <f t="shared" si="1"/>
        <v>3.185524975</v>
      </c>
      <c r="I9" s="26">
        <f t="shared" si="2"/>
        <v>1.911314985</v>
      </c>
      <c r="J9" s="26">
        <f t="shared" si="3"/>
        <v>1.27420999</v>
      </c>
      <c r="K9" s="25">
        <v>0.4</v>
      </c>
      <c r="L9" s="27">
        <v>0.2</v>
      </c>
      <c r="M9" s="28"/>
      <c r="N9" s="29">
        <f t="shared" si="4"/>
        <v>2250</v>
      </c>
      <c r="O9" s="30" t="s">
        <v>17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31"/>
      <c r="C10" s="32" t="s">
        <v>23</v>
      </c>
      <c r="D10" s="23">
        <v>95.66</v>
      </c>
      <c r="E10" s="24">
        <v>1.0</v>
      </c>
      <c r="F10" s="23">
        <v>240.0</v>
      </c>
      <c r="G10" s="23">
        <v>1.5</v>
      </c>
      <c r="H10" s="25">
        <f t="shared" si="1"/>
        <v>0.0004247366633</v>
      </c>
      <c r="I10" s="26">
        <f t="shared" si="2"/>
        <v>0.000254841998</v>
      </c>
      <c r="J10" s="26">
        <f t="shared" si="3"/>
        <v>0.0001698946653</v>
      </c>
      <c r="K10" s="25">
        <v>0.4</v>
      </c>
      <c r="L10" s="27">
        <v>0.2</v>
      </c>
      <c r="M10" s="28"/>
      <c r="N10" s="29">
        <f t="shared" si="4"/>
        <v>0.3</v>
      </c>
      <c r="O10" s="30" t="s">
        <v>17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31"/>
      <c r="C11" s="32" t="s">
        <v>24</v>
      </c>
      <c r="D11" s="23">
        <v>95.66</v>
      </c>
      <c r="E11" s="24">
        <v>1.0</v>
      </c>
      <c r="F11" s="23">
        <v>240.0</v>
      </c>
      <c r="G11" s="23">
        <v>1.5</v>
      </c>
      <c r="H11" s="25">
        <f t="shared" si="1"/>
        <v>0.0004247366633</v>
      </c>
      <c r="I11" s="26">
        <f t="shared" si="2"/>
        <v>0.000254841998</v>
      </c>
      <c r="J11" s="26">
        <f t="shared" si="3"/>
        <v>0.0001698946653</v>
      </c>
      <c r="K11" s="25">
        <v>0.4</v>
      </c>
      <c r="L11" s="27">
        <v>0.2</v>
      </c>
      <c r="M11" s="28"/>
      <c r="N11" s="29">
        <f t="shared" si="4"/>
        <v>0.3</v>
      </c>
      <c r="O11" s="30" t="s">
        <v>17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31"/>
      <c r="C12" s="32" t="s">
        <v>25</v>
      </c>
      <c r="D12" s="23">
        <v>95.66</v>
      </c>
      <c r="E12" s="24">
        <v>1.0</v>
      </c>
      <c r="F12" s="23">
        <v>240.0</v>
      </c>
      <c r="G12" s="23">
        <v>1.5</v>
      </c>
      <c r="H12" s="25">
        <f t="shared" si="1"/>
        <v>0.0004247366633</v>
      </c>
      <c r="I12" s="26">
        <f t="shared" si="2"/>
        <v>0.000254841998</v>
      </c>
      <c r="J12" s="26">
        <f t="shared" si="3"/>
        <v>0.0001698946653</v>
      </c>
      <c r="K12" s="25">
        <v>0.4</v>
      </c>
      <c r="L12" s="27">
        <v>0.2</v>
      </c>
      <c r="M12" s="28"/>
      <c r="N12" s="29">
        <f t="shared" si="4"/>
        <v>0.3</v>
      </c>
      <c r="O12" s="30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31"/>
      <c r="C13" s="32" t="s">
        <v>26</v>
      </c>
      <c r="D13" s="23">
        <v>95.66</v>
      </c>
      <c r="E13" s="24">
        <v>1.0</v>
      </c>
      <c r="F13" s="23">
        <v>240.0</v>
      </c>
      <c r="G13" s="23">
        <v>1.5</v>
      </c>
      <c r="H13" s="25">
        <f t="shared" si="1"/>
        <v>0.0004247366633</v>
      </c>
      <c r="I13" s="26">
        <f t="shared" si="2"/>
        <v>0.000254841998</v>
      </c>
      <c r="J13" s="26">
        <f t="shared" si="3"/>
        <v>0.0001698946653</v>
      </c>
      <c r="K13" s="25">
        <v>0.4</v>
      </c>
      <c r="L13" s="27">
        <v>0.2</v>
      </c>
      <c r="M13" s="28"/>
      <c r="N13" s="29">
        <f t="shared" si="4"/>
        <v>0.3</v>
      </c>
      <c r="O13" s="30" t="s">
        <v>17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31"/>
      <c r="C14" s="32" t="s">
        <v>27</v>
      </c>
      <c r="D14" s="23">
        <v>95.66</v>
      </c>
      <c r="E14" s="24">
        <v>1.0</v>
      </c>
      <c r="F14" s="23">
        <v>240.0</v>
      </c>
      <c r="G14" s="23">
        <v>1.5</v>
      </c>
      <c r="H14" s="25">
        <f t="shared" si="1"/>
        <v>0.0004247366633</v>
      </c>
      <c r="I14" s="26">
        <f t="shared" si="2"/>
        <v>0.000254841998</v>
      </c>
      <c r="J14" s="26">
        <f t="shared" si="3"/>
        <v>0.0001698946653</v>
      </c>
      <c r="K14" s="25">
        <v>0.4</v>
      </c>
      <c r="L14" s="27">
        <v>0.2</v>
      </c>
      <c r="M14" s="28"/>
      <c r="N14" s="29">
        <f t="shared" si="4"/>
        <v>0.3</v>
      </c>
      <c r="O14" s="30" t="s">
        <v>17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35"/>
      <c r="C15" s="36" t="s">
        <v>28</v>
      </c>
      <c r="D15" s="15">
        <v>95.66</v>
      </c>
      <c r="E15" s="37">
        <v>1.0</v>
      </c>
      <c r="F15" s="15">
        <v>240.0</v>
      </c>
      <c r="G15" s="15">
        <v>1.5</v>
      </c>
      <c r="H15" s="17">
        <f t="shared" si="1"/>
        <v>0.0004247366633</v>
      </c>
      <c r="I15" s="38">
        <f t="shared" si="2"/>
        <v>0.000254841998</v>
      </c>
      <c r="J15" s="38">
        <f t="shared" si="3"/>
        <v>0.0001698946653</v>
      </c>
      <c r="K15" s="17">
        <v>0.4</v>
      </c>
      <c r="L15" s="18">
        <v>0.2</v>
      </c>
      <c r="M15" s="39"/>
      <c r="N15" s="19">
        <f t="shared" si="4"/>
        <v>0.3</v>
      </c>
      <c r="O15" s="20" t="s">
        <v>17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21" t="s">
        <v>29</v>
      </c>
      <c r="C16" s="32" t="s">
        <v>30</v>
      </c>
      <c r="D16" s="23">
        <v>107.28</v>
      </c>
      <c r="E16" s="24">
        <v>5000.0</v>
      </c>
      <c r="F16" s="23">
        <v>240.0</v>
      </c>
      <c r="G16" s="23">
        <v>1.5</v>
      </c>
      <c r="H16" s="25">
        <f t="shared" si="1"/>
        <v>2.123683316</v>
      </c>
      <c r="I16" s="26">
        <f t="shared" si="2"/>
        <v>1.27420999</v>
      </c>
      <c r="J16" s="26">
        <f t="shared" si="3"/>
        <v>0.8494733265</v>
      </c>
      <c r="K16" s="25">
        <v>0.4</v>
      </c>
      <c r="L16" s="27">
        <v>0.2</v>
      </c>
      <c r="M16" s="28"/>
      <c r="N16" s="29">
        <f t="shared" si="4"/>
        <v>1500</v>
      </c>
      <c r="O16" s="30" t="s">
        <v>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31"/>
      <c r="C17" s="32" t="s">
        <v>32</v>
      </c>
      <c r="D17" s="23">
        <v>107.28</v>
      </c>
      <c r="E17" s="24">
        <v>5500.0</v>
      </c>
      <c r="F17" s="23">
        <v>240.0</v>
      </c>
      <c r="G17" s="23">
        <v>1.5</v>
      </c>
      <c r="H17" s="25">
        <f t="shared" si="1"/>
        <v>2.336051648</v>
      </c>
      <c r="I17" s="26">
        <f t="shared" si="2"/>
        <v>1.401630989</v>
      </c>
      <c r="J17" s="26">
        <f t="shared" si="3"/>
        <v>0.9344206592</v>
      </c>
      <c r="K17" s="25">
        <v>0.4</v>
      </c>
      <c r="L17" s="27">
        <v>0.2</v>
      </c>
      <c r="M17" s="28"/>
      <c r="N17" s="29">
        <f t="shared" si="4"/>
        <v>1650</v>
      </c>
      <c r="O17" s="30" t="s">
        <v>31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31"/>
      <c r="C18" s="32" t="s">
        <v>33</v>
      </c>
      <c r="D18" s="23">
        <v>107.28</v>
      </c>
      <c r="E18" s="24">
        <v>6000.0</v>
      </c>
      <c r="F18" s="23">
        <v>240.0</v>
      </c>
      <c r="G18" s="23">
        <v>1.5</v>
      </c>
      <c r="H18" s="25">
        <f t="shared" si="1"/>
        <v>2.54841998</v>
      </c>
      <c r="I18" s="26">
        <f t="shared" si="2"/>
        <v>1.529051988</v>
      </c>
      <c r="J18" s="26">
        <f t="shared" si="3"/>
        <v>1.019367992</v>
      </c>
      <c r="K18" s="25">
        <v>0.4</v>
      </c>
      <c r="L18" s="27">
        <v>0.2</v>
      </c>
      <c r="M18" s="28"/>
      <c r="N18" s="29">
        <f t="shared" si="4"/>
        <v>1800</v>
      </c>
      <c r="O18" s="30" t="s">
        <v>31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31"/>
      <c r="C19" s="32" t="s">
        <v>34</v>
      </c>
      <c r="D19" s="23">
        <v>107.28</v>
      </c>
      <c r="E19" s="24">
        <v>6500.0</v>
      </c>
      <c r="F19" s="23">
        <v>240.0</v>
      </c>
      <c r="G19" s="23">
        <v>1.5</v>
      </c>
      <c r="H19" s="25">
        <f t="shared" si="1"/>
        <v>2.760788311</v>
      </c>
      <c r="I19" s="26">
        <f t="shared" si="2"/>
        <v>1.656472987</v>
      </c>
      <c r="J19" s="26">
        <f t="shared" si="3"/>
        <v>1.104315324</v>
      </c>
      <c r="K19" s="25">
        <v>0.4</v>
      </c>
      <c r="L19" s="27">
        <v>0.2</v>
      </c>
      <c r="M19" s="28"/>
      <c r="N19" s="29">
        <f t="shared" si="4"/>
        <v>1950</v>
      </c>
      <c r="O19" s="30" t="s">
        <v>31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31"/>
      <c r="C20" s="32" t="s">
        <v>35</v>
      </c>
      <c r="D20" s="23">
        <v>107.28</v>
      </c>
      <c r="E20" s="24">
        <v>7000.0</v>
      </c>
      <c r="F20" s="23">
        <v>240.0</v>
      </c>
      <c r="G20" s="23">
        <v>1.5</v>
      </c>
      <c r="H20" s="25">
        <f t="shared" si="1"/>
        <v>2.973156643</v>
      </c>
      <c r="I20" s="26">
        <f t="shared" si="2"/>
        <v>1.783893986</v>
      </c>
      <c r="J20" s="26">
        <f t="shared" si="3"/>
        <v>1.189262657</v>
      </c>
      <c r="K20" s="25">
        <v>0.4</v>
      </c>
      <c r="L20" s="27">
        <v>0.2</v>
      </c>
      <c r="M20" s="28"/>
      <c r="N20" s="29">
        <f t="shared" si="4"/>
        <v>2100</v>
      </c>
      <c r="O20" s="30" t="s">
        <v>31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31"/>
      <c r="C21" s="40" t="s">
        <v>36</v>
      </c>
      <c r="D21" s="23">
        <v>107.28</v>
      </c>
      <c r="E21" s="24">
        <v>7500.0</v>
      </c>
      <c r="F21" s="23">
        <v>240.0</v>
      </c>
      <c r="G21" s="23">
        <v>1.5</v>
      </c>
      <c r="H21" s="25">
        <f t="shared" si="1"/>
        <v>3.185524975</v>
      </c>
      <c r="I21" s="26">
        <f t="shared" si="2"/>
        <v>1.911314985</v>
      </c>
      <c r="J21" s="26">
        <f t="shared" si="3"/>
        <v>1.27420999</v>
      </c>
      <c r="K21" s="25">
        <v>0.4</v>
      </c>
      <c r="L21" s="27">
        <v>0.2</v>
      </c>
      <c r="M21" s="28">
        <v>36000.0</v>
      </c>
      <c r="N21" s="29">
        <f t="shared" si="4"/>
        <v>38250</v>
      </c>
      <c r="O21" s="34" t="s">
        <v>31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31"/>
      <c r="C22" s="40" t="s">
        <v>37</v>
      </c>
      <c r="D22" s="23">
        <v>107.28</v>
      </c>
      <c r="E22" s="24">
        <v>8000.0</v>
      </c>
      <c r="F22" s="23">
        <v>240.0</v>
      </c>
      <c r="G22" s="23">
        <v>1.5</v>
      </c>
      <c r="H22" s="25">
        <f t="shared" si="1"/>
        <v>3.397893306</v>
      </c>
      <c r="I22" s="26">
        <f t="shared" si="2"/>
        <v>2.038735984</v>
      </c>
      <c r="J22" s="26">
        <f t="shared" si="3"/>
        <v>1.359157322</v>
      </c>
      <c r="K22" s="25">
        <v>0.4</v>
      </c>
      <c r="L22" s="27">
        <v>0.2</v>
      </c>
      <c r="M22" s="28">
        <v>36000.0</v>
      </c>
      <c r="N22" s="29">
        <f t="shared" si="4"/>
        <v>38400</v>
      </c>
      <c r="O22" s="34" t="s">
        <v>31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31"/>
      <c r="C23" s="32" t="s">
        <v>38</v>
      </c>
      <c r="D23" s="23">
        <v>107.28</v>
      </c>
      <c r="E23" s="24">
        <v>1.0</v>
      </c>
      <c r="F23" s="23">
        <v>240.0</v>
      </c>
      <c r="G23" s="23">
        <v>1.5</v>
      </c>
      <c r="H23" s="25">
        <f t="shared" si="1"/>
        <v>0.0004247366633</v>
      </c>
      <c r="I23" s="26">
        <f t="shared" si="2"/>
        <v>0.000254841998</v>
      </c>
      <c r="J23" s="26">
        <f t="shared" si="3"/>
        <v>0.0001698946653</v>
      </c>
      <c r="K23" s="25">
        <v>0.4</v>
      </c>
      <c r="L23" s="27">
        <v>0.2</v>
      </c>
      <c r="M23" s="28"/>
      <c r="N23" s="29">
        <f t="shared" si="4"/>
        <v>0.3</v>
      </c>
      <c r="O23" s="30" t="s">
        <v>31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31"/>
      <c r="C24" s="32" t="s">
        <v>39</v>
      </c>
      <c r="D24" s="23">
        <v>107.28</v>
      </c>
      <c r="E24" s="24">
        <v>1.0</v>
      </c>
      <c r="F24" s="23">
        <v>240.0</v>
      </c>
      <c r="G24" s="23">
        <v>1.5</v>
      </c>
      <c r="H24" s="25">
        <f t="shared" si="1"/>
        <v>0.0004247366633</v>
      </c>
      <c r="I24" s="26">
        <f t="shared" si="2"/>
        <v>0.000254841998</v>
      </c>
      <c r="J24" s="26">
        <f t="shared" si="3"/>
        <v>0.0001698946653</v>
      </c>
      <c r="K24" s="25">
        <v>0.4</v>
      </c>
      <c r="L24" s="27">
        <v>0.2</v>
      </c>
      <c r="M24" s="28"/>
      <c r="N24" s="29">
        <f t="shared" si="4"/>
        <v>0.3</v>
      </c>
      <c r="O24" s="30" t="s">
        <v>31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31"/>
      <c r="C25" s="32" t="s">
        <v>40</v>
      </c>
      <c r="D25" s="23">
        <v>107.28</v>
      </c>
      <c r="E25" s="24">
        <v>1.0</v>
      </c>
      <c r="F25" s="23">
        <v>240.0</v>
      </c>
      <c r="G25" s="23">
        <v>1.5</v>
      </c>
      <c r="H25" s="25">
        <f t="shared" si="1"/>
        <v>0.0004247366633</v>
      </c>
      <c r="I25" s="26">
        <f t="shared" si="2"/>
        <v>0.000254841998</v>
      </c>
      <c r="J25" s="26">
        <f t="shared" si="3"/>
        <v>0.0001698946653</v>
      </c>
      <c r="K25" s="25">
        <v>0.4</v>
      </c>
      <c r="L25" s="27">
        <v>0.2</v>
      </c>
      <c r="M25" s="28"/>
      <c r="N25" s="29">
        <f t="shared" si="4"/>
        <v>0.3</v>
      </c>
      <c r="O25" s="30" t="s">
        <v>31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31"/>
      <c r="C26" s="32" t="s">
        <v>41</v>
      </c>
      <c r="D26" s="23">
        <v>107.28</v>
      </c>
      <c r="E26" s="24">
        <v>1.0</v>
      </c>
      <c r="F26" s="23">
        <v>240.0</v>
      </c>
      <c r="G26" s="23">
        <v>1.5</v>
      </c>
      <c r="H26" s="25">
        <f t="shared" si="1"/>
        <v>0.0004247366633</v>
      </c>
      <c r="I26" s="26">
        <f t="shared" si="2"/>
        <v>0.000254841998</v>
      </c>
      <c r="J26" s="26">
        <f t="shared" si="3"/>
        <v>0.0001698946653</v>
      </c>
      <c r="K26" s="25">
        <v>0.4</v>
      </c>
      <c r="L26" s="27">
        <v>0.2</v>
      </c>
      <c r="M26" s="28"/>
      <c r="N26" s="29">
        <f t="shared" si="4"/>
        <v>0.3</v>
      </c>
      <c r="O26" s="30" t="s">
        <v>31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35"/>
      <c r="C27" s="36" t="s">
        <v>42</v>
      </c>
      <c r="D27" s="15">
        <v>107.28</v>
      </c>
      <c r="E27" s="37">
        <v>1.0</v>
      </c>
      <c r="F27" s="15">
        <v>240.0</v>
      </c>
      <c r="G27" s="15">
        <v>1.5</v>
      </c>
      <c r="H27" s="17">
        <f t="shared" si="1"/>
        <v>0.0004247366633</v>
      </c>
      <c r="I27" s="38">
        <f t="shared" si="2"/>
        <v>0.000254841998</v>
      </c>
      <c r="J27" s="38">
        <f t="shared" si="3"/>
        <v>0.0001698946653</v>
      </c>
      <c r="K27" s="17">
        <v>0.4</v>
      </c>
      <c r="L27" s="18">
        <v>0.2</v>
      </c>
      <c r="M27" s="39"/>
      <c r="N27" s="19">
        <f t="shared" si="4"/>
        <v>0.3</v>
      </c>
      <c r="O27" s="20" t="s">
        <v>31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21" t="s">
        <v>43</v>
      </c>
      <c r="C28" s="40" t="s">
        <v>44</v>
      </c>
      <c r="D28" s="23">
        <v>95.66</v>
      </c>
      <c r="E28" s="24">
        <v>7000.0</v>
      </c>
      <c r="F28" s="23">
        <v>240.0</v>
      </c>
      <c r="G28" s="23">
        <v>1.5</v>
      </c>
      <c r="H28" s="25">
        <f t="shared" si="1"/>
        <v>2.973156643</v>
      </c>
      <c r="I28" s="26">
        <f t="shared" si="2"/>
        <v>1.783893986</v>
      </c>
      <c r="J28" s="26">
        <f t="shared" si="3"/>
        <v>1.189262657</v>
      </c>
      <c r="K28" s="25">
        <v>0.4</v>
      </c>
      <c r="L28" s="27">
        <v>0.2</v>
      </c>
      <c r="M28" s="28">
        <v>35000.0</v>
      </c>
      <c r="N28" s="29">
        <f t="shared" si="4"/>
        <v>37100</v>
      </c>
      <c r="O28" s="41" t="s">
        <v>45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31"/>
      <c r="C29" s="40" t="s">
        <v>46</v>
      </c>
      <c r="D29" s="23">
        <v>95.66</v>
      </c>
      <c r="E29" s="24">
        <v>7000.0</v>
      </c>
      <c r="F29" s="23">
        <v>240.0</v>
      </c>
      <c r="G29" s="23">
        <v>1.5</v>
      </c>
      <c r="H29" s="25">
        <f t="shared" si="1"/>
        <v>2.973156643</v>
      </c>
      <c r="I29" s="26">
        <f t="shared" si="2"/>
        <v>1.783893986</v>
      </c>
      <c r="J29" s="26">
        <f t="shared" si="3"/>
        <v>1.189262657</v>
      </c>
      <c r="K29" s="25">
        <v>0.4</v>
      </c>
      <c r="L29" s="27">
        <v>0.2</v>
      </c>
      <c r="M29" s="28">
        <v>37500.0</v>
      </c>
      <c r="N29" s="29">
        <f t="shared" si="4"/>
        <v>39600</v>
      </c>
      <c r="O29" s="41" t="s">
        <v>45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31"/>
      <c r="C30" s="40" t="s">
        <v>47</v>
      </c>
      <c r="D30" s="23">
        <v>95.66</v>
      </c>
      <c r="E30" s="24">
        <v>7000.0</v>
      </c>
      <c r="F30" s="23">
        <v>240.0</v>
      </c>
      <c r="G30" s="23">
        <v>1.5</v>
      </c>
      <c r="H30" s="25">
        <f t="shared" si="1"/>
        <v>2.973156643</v>
      </c>
      <c r="I30" s="26">
        <f t="shared" si="2"/>
        <v>1.783893986</v>
      </c>
      <c r="J30" s="26">
        <f t="shared" si="3"/>
        <v>1.189262657</v>
      </c>
      <c r="K30" s="25">
        <v>0.4</v>
      </c>
      <c r="L30" s="27">
        <v>0.2</v>
      </c>
      <c r="M30" s="28">
        <v>36000.0</v>
      </c>
      <c r="N30" s="29">
        <f t="shared" si="4"/>
        <v>38100</v>
      </c>
      <c r="O30" s="41" t="s">
        <v>45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31"/>
      <c r="C31" s="40" t="s">
        <v>48</v>
      </c>
      <c r="D31" s="23">
        <v>95.66</v>
      </c>
      <c r="E31" s="24">
        <v>7000.0</v>
      </c>
      <c r="F31" s="23">
        <v>240.0</v>
      </c>
      <c r="G31" s="23">
        <v>1.5</v>
      </c>
      <c r="H31" s="25">
        <f t="shared" si="1"/>
        <v>2.973156643</v>
      </c>
      <c r="I31" s="26">
        <f t="shared" si="2"/>
        <v>1.783893986</v>
      </c>
      <c r="J31" s="26">
        <f t="shared" si="3"/>
        <v>1.189262657</v>
      </c>
      <c r="K31" s="25">
        <v>0.4</v>
      </c>
      <c r="L31" s="27">
        <v>0.2</v>
      </c>
      <c r="M31" s="28">
        <v>36500.0</v>
      </c>
      <c r="N31" s="29">
        <f t="shared" si="4"/>
        <v>38600</v>
      </c>
      <c r="O31" s="41" t="s">
        <v>45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31"/>
      <c r="C32" s="42" t="s">
        <v>49</v>
      </c>
      <c r="D32" s="43">
        <v>95.66</v>
      </c>
      <c r="E32" s="44">
        <v>7000.0</v>
      </c>
      <c r="F32" s="43">
        <v>240.0</v>
      </c>
      <c r="G32" s="43">
        <v>1.5</v>
      </c>
      <c r="H32" s="45">
        <f t="shared" si="1"/>
        <v>2.973156643</v>
      </c>
      <c r="I32" s="46">
        <f t="shared" si="2"/>
        <v>1.783893986</v>
      </c>
      <c r="J32" s="46">
        <f t="shared" si="3"/>
        <v>1.189262657</v>
      </c>
      <c r="K32" s="45">
        <v>0.4</v>
      </c>
      <c r="L32" s="47">
        <v>0.2</v>
      </c>
      <c r="M32" s="48">
        <v>36750.0</v>
      </c>
      <c r="N32" s="49">
        <f t="shared" si="4"/>
        <v>38850</v>
      </c>
      <c r="O32" s="50" t="s">
        <v>45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35"/>
      <c r="C33" s="36" t="s">
        <v>50</v>
      </c>
      <c r="D33" s="15">
        <v>95.66</v>
      </c>
      <c r="E33" s="37">
        <v>1.0</v>
      </c>
      <c r="F33" s="15">
        <v>240.0</v>
      </c>
      <c r="G33" s="15">
        <v>1.5</v>
      </c>
      <c r="H33" s="17">
        <f t="shared" si="1"/>
        <v>0.0004247366633</v>
      </c>
      <c r="I33" s="38">
        <f t="shared" si="2"/>
        <v>0.000254841998</v>
      </c>
      <c r="J33" s="38">
        <f t="shared" si="3"/>
        <v>0.0001698946653</v>
      </c>
      <c r="K33" s="17">
        <v>0.4</v>
      </c>
      <c r="L33" s="18">
        <v>0.2</v>
      </c>
      <c r="M33" s="39">
        <v>1.0</v>
      </c>
      <c r="N33" s="19">
        <f t="shared" si="4"/>
        <v>1.3</v>
      </c>
      <c r="O33" s="20" t="s">
        <v>45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21" t="s">
        <v>51</v>
      </c>
      <c r="C34" s="40" t="s">
        <v>52</v>
      </c>
      <c r="D34" s="23">
        <v>107.28</v>
      </c>
      <c r="E34" s="24">
        <v>8000.0</v>
      </c>
      <c r="F34" s="23">
        <v>240.0</v>
      </c>
      <c r="G34" s="23">
        <v>1.5</v>
      </c>
      <c r="H34" s="25">
        <f t="shared" si="1"/>
        <v>3.397893306</v>
      </c>
      <c r="I34" s="26">
        <f t="shared" si="2"/>
        <v>2.038735984</v>
      </c>
      <c r="J34" s="26">
        <f t="shared" si="3"/>
        <v>1.359157322</v>
      </c>
      <c r="K34" s="25">
        <v>0.4</v>
      </c>
      <c r="L34" s="27">
        <v>0.2</v>
      </c>
      <c r="M34" s="28">
        <v>37000.0</v>
      </c>
      <c r="N34" s="29">
        <f t="shared" si="4"/>
        <v>39400</v>
      </c>
      <c r="O34" s="41" t="s">
        <v>53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31"/>
      <c r="C35" s="40" t="s">
        <v>54</v>
      </c>
      <c r="D35" s="23">
        <v>107.28</v>
      </c>
      <c r="E35" s="24">
        <v>8000.0</v>
      </c>
      <c r="F35" s="23">
        <v>240.0</v>
      </c>
      <c r="G35" s="23">
        <v>1.5</v>
      </c>
      <c r="H35" s="25">
        <f t="shared" si="1"/>
        <v>3.397893306</v>
      </c>
      <c r="I35" s="26">
        <f t="shared" si="2"/>
        <v>2.038735984</v>
      </c>
      <c r="J35" s="26">
        <f t="shared" si="3"/>
        <v>1.359157322</v>
      </c>
      <c r="K35" s="25">
        <v>0.4</v>
      </c>
      <c r="L35" s="27">
        <v>0.2</v>
      </c>
      <c r="M35" s="28">
        <v>37500.0</v>
      </c>
      <c r="N35" s="29">
        <f t="shared" si="4"/>
        <v>39900</v>
      </c>
      <c r="O35" s="41" t="s">
        <v>53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31"/>
      <c r="C36" s="32" t="s">
        <v>55</v>
      </c>
      <c r="D36" s="23">
        <v>107.28</v>
      </c>
      <c r="E36" s="24">
        <v>8000.0</v>
      </c>
      <c r="F36" s="23">
        <v>240.0</v>
      </c>
      <c r="G36" s="23">
        <v>1.5</v>
      </c>
      <c r="H36" s="25">
        <f t="shared" si="1"/>
        <v>3.397893306</v>
      </c>
      <c r="I36" s="26">
        <f t="shared" si="2"/>
        <v>2.038735984</v>
      </c>
      <c r="J36" s="26">
        <f t="shared" si="3"/>
        <v>1.359157322</v>
      </c>
      <c r="K36" s="25">
        <v>0.4</v>
      </c>
      <c r="L36" s="27">
        <v>0.2</v>
      </c>
      <c r="M36" s="28">
        <v>1.0</v>
      </c>
      <c r="N36" s="29">
        <f t="shared" si="4"/>
        <v>2401</v>
      </c>
      <c r="O36" s="30" t="s">
        <v>53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31"/>
      <c r="C37" s="32" t="s">
        <v>56</v>
      </c>
      <c r="D37" s="23">
        <v>107.28</v>
      </c>
      <c r="E37" s="24">
        <v>8000.0</v>
      </c>
      <c r="F37" s="23">
        <v>240.0</v>
      </c>
      <c r="G37" s="23">
        <v>1.5</v>
      </c>
      <c r="H37" s="25">
        <f t="shared" si="1"/>
        <v>3.397893306</v>
      </c>
      <c r="I37" s="26">
        <f t="shared" si="2"/>
        <v>2.038735984</v>
      </c>
      <c r="J37" s="26">
        <f t="shared" si="3"/>
        <v>1.359157322</v>
      </c>
      <c r="K37" s="25">
        <v>0.4</v>
      </c>
      <c r="L37" s="27">
        <v>0.2</v>
      </c>
      <c r="M37" s="28">
        <v>1.0</v>
      </c>
      <c r="N37" s="29">
        <f t="shared" si="4"/>
        <v>2401</v>
      </c>
      <c r="O37" s="30" t="s">
        <v>53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31"/>
      <c r="C38" s="32" t="s">
        <v>57</v>
      </c>
      <c r="D38" s="23">
        <v>107.28</v>
      </c>
      <c r="E38" s="24">
        <v>1.0</v>
      </c>
      <c r="F38" s="23">
        <v>240.0</v>
      </c>
      <c r="G38" s="23">
        <v>1.5</v>
      </c>
      <c r="H38" s="25">
        <f t="shared" si="1"/>
        <v>0.0004247366633</v>
      </c>
      <c r="I38" s="26">
        <f t="shared" si="2"/>
        <v>0.000254841998</v>
      </c>
      <c r="J38" s="26">
        <f t="shared" si="3"/>
        <v>0.0001698946653</v>
      </c>
      <c r="K38" s="25">
        <v>0.4</v>
      </c>
      <c r="L38" s="27">
        <v>0.2</v>
      </c>
      <c r="M38" s="28">
        <v>1.0</v>
      </c>
      <c r="N38" s="29">
        <f t="shared" si="4"/>
        <v>1.3</v>
      </c>
      <c r="O38" s="30" t="s">
        <v>53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35"/>
      <c r="C39" s="36" t="s">
        <v>58</v>
      </c>
      <c r="D39" s="15">
        <v>107.28</v>
      </c>
      <c r="E39" s="37">
        <v>1.0</v>
      </c>
      <c r="F39" s="15">
        <v>240.0</v>
      </c>
      <c r="G39" s="15">
        <v>1.5</v>
      </c>
      <c r="H39" s="17">
        <f t="shared" si="1"/>
        <v>0.0004247366633</v>
      </c>
      <c r="I39" s="38">
        <f t="shared" si="2"/>
        <v>0.000254841998</v>
      </c>
      <c r="J39" s="38">
        <f t="shared" si="3"/>
        <v>0.0001698946653</v>
      </c>
      <c r="K39" s="17">
        <v>0.4</v>
      </c>
      <c r="L39" s="18">
        <v>0.2</v>
      </c>
      <c r="M39" s="39">
        <v>1.0</v>
      </c>
      <c r="N39" s="19">
        <f t="shared" si="4"/>
        <v>1.3</v>
      </c>
      <c r="O39" s="20" t="s">
        <v>53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21" t="s">
        <v>59</v>
      </c>
      <c r="C40" s="42" t="s">
        <v>60</v>
      </c>
      <c r="D40" s="43">
        <v>95.66</v>
      </c>
      <c r="E40" s="44">
        <v>7000.0</v>
      </c>
      <c r="F40" s="43">
        <v>200.0</v>
      </c>
      <c r="G40" s="43">
        <v>1.5</v>
      </c>
      <c r="H40" s="45">
        <f t="shared" si="1"/>
        <v>3.567787971</v>
      </c>
      <c r="I40" s="46">
        <f t="shared" si="2"/>
        <v>2.140672783</v>
      </c>
      <c r="J40" s="46">
        <f t="shared" si="3"/>
        <v>1.427115189</v>
      </c>
      <c r="K40" s="45">
        <v>0.4</v>
      </c>
      <c r="L40" s="47">
        <v>0.2</v>
      </c>
      <c r="M40" s="48">
        <v>36750.0</v>
      </c>
      <c r="N40" s="49">
        <f t="shared" si="4"/>
        <v>38850</v>
      </c>
      <c r="O40" s="50" t="s">
        <v>61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31"/>
      <c r="C41" s="40" t="s">
        <v>62</v>
      </c>
      <c r="D41" s="23">
        <v>95.66</v>
      </c>
      <c r="E41" s="24">
        <v>7000.0</v>
      </c>
      <c r="F41" s="23">
        <v>205.0</v>
      </c>
      <c r="G41" s="23">
        <v>1.5</v>
      </c>
      <c r="H41" s="25">
        <f t="shared" si="1"/>
        <v>3.480768753</v>
      </c>
      <c r="I41" s="26">
        <f t="shared" si="2"/>
        <v>2.088461252</v>
      </c>
      <c r="J41" s="26">
        <f t="shared" si="3"/>
        <v>1.392307501</v>
      </c>
      <c r="K41" s="25">
        <v>0.4</v>
      </c>
      <c r="L41" s="27">
        <v>0.2</v>
      </c>
      <c r="M41" s="28">
        <v>36750.0</v>
      </c>
      <c r="N41" s="29">
        <f t="shared" si="4"/>
        <v>38850</v>
      </c>
      <c r="O41" s="41" t="s">
        <v>61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31"/>
      <c r="C42" s="40" t="s">
        <v>63</v>
      </c>
      <c r="D42" s="23">
        <v>95.66</v>
      </c>
      <c r="E42" s="24">
        <v>7000.0</v>
      </c>
      <c r="F42" s="23">
        <v>210.0</v>
      </c>
      <c r="G42" s="23">
        <v>1.5</v>
      </c>
      <c r="H42" s="25">
        <f t="shared" si="1"/>
        <v>3.397893306</v>
      </c>
      <c r="I42" s="26">
        <f t="shared" si="2"/>
        <v>2.038735984</v>
      </c>
      <c r="J42" s="26">
        <f t="shared" si="3"/>
        <v>1.359157322</v>
      </c>
      <c r="K42" s="25">
        <v>0.4</v>
      </c>
      <c r="L42" s="27">
        <v>0.2</v>
      </c>
      <c r="M42" s="28">
        <v>36750.0</v>
      </c>
      <c r="N42" s="29">
        <f t="shared" si="4"/>
        <v>38850</v>
      </c>
      <c r="O42" s="41" t="s">
        <v>61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31"/>
      <c r="C43" s="40" t="s">
        <v>64</v>
      </c>
      <c r="D43" s="23">
        <v>95.66</v>
      </c>
      <c r="E43" s="24">
        <v>7000.0</v>
      </c>
      <c r="F43" s="23">
        <v>215.0</v>
      </c>
      <c r="G43" s="23">
        <v>1.5</v>
      </c>
      <c r="H43" s="25">
        <f t="shared" si="1"/>
        <v>3.318872532</v>
      </c>
      <c r="I43" s="26">
        <f t="shared" si="2"/>
        <v>1.991323519</v>
      </c>
      <c r="J43" s="26">
        <f t="shared" si="3"/>
        <v>1.327549013</v>
      </c>
      <c r="K43" s="25">
        <v>0.4</v>
      </c>
      <c r="L43" s="27">
        <v>0.2</v>
      </c>
      <c r="M43" s="28">
        <v>36750.0</v>
      </c>
      <c r="N43" s="29">
        <f t="shared" si="4"/>
        <v>38850</v>
      </c>
      <c r="O43" s="41" t="s">
        <v>61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31"/>
      <c r="C44" s="40" t="s">
        <v>65</v>
      </c>
      <c r="D44" s="23">
        <v>95.66</v>
      </c>
      <c r="E44" s="24">
        <v>7000.0</v>
      </c>
      <c r="F44" s="23">
        <v>220.0</v>
      </c>
      <c r="G44" s="23">
        <v>1.5</v>
      </c>
      <c r="H44" s="25">
        <f t="shared" si="1"/>
        <v>3.24344361</v>
      </c>
      <c r="I44" s="26">
        <f t="shared" si="2"/>
        <v>1.946066166</v>
      </c>
      <c r="J44" s="26">
        <f t="shared" si="3"/>
        <v>1.297377444</v>
      </c>
      <c r="K44" s="25">
        <v>0.4</v>
      </c>
      <c r="L44" s="27">
        <v>0.2</v>
      </c>
      <c r="M44" s="28">
        <v>36750.0</v>
      </c>
      <c r="N44" s="29">
        <f t="shared" si="4"/>
        <v>38850</v>
      </c>
      <c r="O44" s="41" t="s">
        <v>61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31"/>
      <c r="C45" s="40" t="s">
        <v>66</v>
      </c>
      <c r="D45" s="23">
        <v>95.66</v>
      </c>
      <c r="E45" s="24">
        <v>7000.0</v>
      </c>
      <c r="F45" s="23">
        <v>225.0</v>
      </c>
      <c r="G45" s="23">
        <v>1.5</v>
      </c>
      <c r="H45" s="25">
        <f t="shared" si="1"/>
        <v>3.171367086</v>
      </c>
      <c r="I45" s="26">
        <f t="shared" si="2"/>
        <v>1.902820251</v>
      </c>
      <c r="J45" s="26">
        <f t="shared" si="3"/>
        <v>1.268546834</v>
      </c>
      <c r="K45" s="25">
        <v>0.4</v>
      </c>
      <c r="L45" s="27">
        <v>0.2</v>
      </c>
      <c r="M45" s="28">
        <v>36750.0</v>
      </c>
      <c r="N45" s="29">
        <f t="shared" si="4"/>
        <v>38850</v>
      </c>
      <c r="O45" s="41" t="s">
        <v>61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31"/>
      <c r="C46" s="40" t="s">
        <v>67</v>
      </c>
      <c r="D46" s="23">
        <v>95.66</v>
      </c>
      <c r="E46" s="24">
        <v>7000.0</v>
      </c>
      <c r="F46" s="23">
        <v>230.0</v>
      </c>
      <c r="G46" s="23">
        <v>1.5</v>
      </c>
      <c r="H46" s="25">
        <f t="shared" si="1"/>
        <v>3.102424323</v>
      </c>
      <c r="I46" s="26">
        <f t="shared" si="2"/>
        <v>1.861454594</v>
      </c>
      <c r="J46" s="26">
        <f t="shared" si="3"/>
        <v>1.240969729</v>
      </c>
      <c r="K46" s="25">
        <v>0.4</v>
      </c>
      <c r="L46" s="27">
        <v>0.2</v>
      </c>
      <c r="M46" s="28">
        <v>36750.0</v>
      </c>
      <c r="N46" s="29">
        <f t="shared" si="4"/>
        <v>38850</v>
      </c>
      <c r="O46" s="41" t="s">
        <v>61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35"/>
      <c r="C47" s="51" t="s">
        <v>68</v>
      </c>
      <c r="D47" s="15">
        <v>95.66</v>
      </c>
      <c r="E47" s="37">
        <v>7000.0</v>
      </c>
      <c r="F47" s="15">
        <v>235.0</v>
      </c>
      <c r="G47" s="15">
        <v>1.5</v>
      </c>
      <c r="H47" s="17">
        <f t="shared" si="1"/>
        <v>3.036415295</v>
      </c>
      <c r="I47" s="38">
        <f t="shared" si="2"/>
        <v>1.821849177</v>
      </c>
      <c r="J47" s="38">
        <f t="shared" si="3"/>
        <v>1.214566118</v>
      </c>
      <c r="K47" s="17">
        <v>0.4</v>
      </c>
      <c r="L47" s="18">
        <v>0.2</v>
      </c>
      <c r="M47" s="39">
        <v>36750.0</v>
      </c>
      <c r="N47" s="19">
        <f t="shared" si="4"/>
        <v>38850</v>
      </c>
      <c r="O47" s="52" t="s">
        <v>61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21"/>
      <c r="C48" s="53" t="s">
        <v>69</v>
      </c>
      <c r="D48" s="23"/>
      <c r="E48" s="23"/>
      <c r="F48" s="23"/>
      <c r="G48" s="23"/>
      <c r="H48" s="25"/>
      <c r="I48" s="26"/>
      <c r="J48" s="26"/>
      <c r="K48" s="25"/>
      <c r="L48" s="27"/>
      <c r="M48" s="29"/>
      <c r="N48" s="23"/>
      <c r="O48" s="30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31"/>
      <c r="C49" s="53" t="s">
        <v>70</v>
      </c>
      <c r="D49" s="23"/>
      <c r="E49" s="23"/>
      <c r="F49" s="23"/>
      <c r="G49" s="23"/>
      <c r="H49" s="25"/>
      <c r="I49" s="26"/>
      <c r="J49" s="26"/>
      <c r="K49" s="25"/>
      <c r="L49" s="27"/>
      <c r="M49" s="29"/>
      <c r="N49" s="23"/>
      <c r="O49" s="30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31"/>
      <c r="C50" s="53" t="s">
        <v>71</v>
      </c>
      <c r="D50" s="23"/>
      <c r="E50" s="23"/>
      <c r="F50" s="23"/>
      <c r="G50" s="23"/>
      <c r="H50" s="25"/>
      <c r="I50" s="26"/>
      <c r="J50" s="26"/>
      <c r="K50" s="25"/>
      <c r="L50" s="27"/>
      <c r="M50" s="29"/>
      <c r="N50" s="23"/>
      <c r="O50" s="30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35"/>
      <c r="C51" s="54" t="s">
        <v>72</v>
      </c>
      <c r="D51" s="15"/>
      <c r="E51" s="15"/>
      <c r="F51" s="15"/>
      <c r="G51" s="15"/>
      <c r="H51" s="17"/>
      <c r="I51" s="38"/>
      <c r="J51" s="38"/>
      <c r="K51" s="17"/>
      <c r="L51" s="18"/>
      <c r="M51" s="19"/>
      <c r="N51" s="15"/>
      <c r="O51" s="20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3"/>
      <c r="N52" s="1"/>
      <c r="O52" s="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55" t="s">
        <v>15</v>
      </c>
      <c r="C53" s="56"/>
      <c r="D53" s="57" t="s">
        <v>73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6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59" t="s">
        <v>29</v>
      </c>
      <c r="C54" s="60"/>
      <c r="D54" s="61" t="s">
        <v>74</v>
      </c>
      <c r="O54" s="60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59" t="s">
        <v>43</v>
      </c>
      <c r="C55" s="60"/>
      <c r="D55" s="61" t="s">
        <v>75</v>
      </c>
      <c r="O55" s="60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59" t="s">
        <v>51</v>
      </c>
      <c r="C56" s="60"/>
      <c r="D56" s="61" t="s">
        <v>76</v>
      </c>
      <c r="O56" s="60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62" t="s">
        <v>59</v>
      </c>
      <c r="C57" s="14"/>
      <c r="D57" s="63" t="s">
        <v>77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1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3"/>
      <c r="N58" s="1"/>
      <c r="O58" s="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3"/>
      <c r="N59" s="1"/>
      <c r="O59" s="4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3"/>
      <c r="N60" s="1"/>
      <c r="O60" s="4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3"/>
      <c r="N61" s="1"/>
      <c r="O61" s="4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3"/>
      <c r="N62" s="1"/>
      <c r="O62" s="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3"/>
      <c r="N63" s="1"/>
      <c r="O63" s="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3"/>
      <c r="N64" s="1"/>
      <c r="O64" s="4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3"/>
      <c r="N65" s="1"/>
      <c r="O65" s="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3"/>
      <c r="N66" s="1"/>
      <c r="O66" s="4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3"/>
      <c r="N67" s="1"/>
      <c r="O67" s="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3"/>
      <c r="N68" s="1"/>
      <c r="O68" s="4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3"/>
      <c r="N69" s="1"/>
      <c r="O69" s="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3"/>
      <c r="N70" s="1"/>
      <c r="O70" s="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3"/>
      <c r="N71" s="1"/>
      <c r="O71" s="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3"/>
      <c r="N72" s="1"/>
      <c r="O72" s="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3"/>
      <c r="N73" s="1"/>
      <c r="O73" s="4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3"/>
      <c r="N74" s="1"/>
      <c r="O74" s="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3"/>
      <c r="N75" s="1"/>
      <c r="O75" s="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3"/>
      <c r="N76" s="1"/>
      <c r="O76" s="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3"/>
      <c r="N77" s="1"/>
      <c r="O77" s="4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3"/>
      <c r="N78" s="1"/>
      <c r="O78" s="4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3"/>
      <c r="N79" s="1"/>
      <c r="O79" s="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3"/>
      <c r="N80" s="1"/>
      <c r="O80" s="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3"/>
      <c r="N81" s="1"/>
      <c r="O81" s="4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3"/>
      <c r="N82" s="1"/>
      <c r="O82" s="4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3"/>
      <c r="N83" s="1"/>
      <c r="O83" s="4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3"/>
      <c r="N84" s="1"/>
      <c r="O84" s="4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3"/>
      <c r="N85" s="1"/>
      <c r="O85" s="4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3"/>
      <c r="N86" s="1"/>
      <c r="O86" s="4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3"/>
      <c r="N87" s="1"/>
      <c r="O87" s="4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3"/>
      <c r="N88" s="1"/>
      <c r="O88" s="4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3"/>
      <c r="N89" s="1"/>
      <c r="O89" s="4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3"/>
      <c r="N90" s="1"/>
      <c r="O90" s="4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3"/>
      <c r="N91" s="1"/>
      <c r="O91" s="4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3"/>
      <c r="N92" s="1"/>
      <c r="O92" s="4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3"/>
      <c r="N93" s="1"/>
      <c r="O93" s="4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3"/>
      <c r="N94" s="1"/>
      <c r="O94" s="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3"/>
      <c r="N95" s="1"/>
      <c r="O95" s="4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3"/>
      <c r="N96" s="1"/>
      <c r="O96" s="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3"/>
      <c r="N97" s="1"/>
      <c r="O97" s="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3"/>
      <c r="N98" s="1"/>
      <c r="O98" s="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3"/>
      <c r="N99" s="1"/>
      <c r="O99" s="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3"/>
      <c r="N100" s="1"/>
      <c r="O100" s="4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3"/>
      <c r="N101" s="1"/>
      <c r="O101" s="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3"/>
      <c r="N102" s="1"/>
      <c r="O102" s="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3"/>
      <c r="N103" s="1"/>
      <c r="O103" s="4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3"/>
      <c r="N104" s="1"/>
      <c r="O104" s="4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3"/>
      <c r="N105" s="1"/>
      <c r="O105" s="4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3"/>
      <c r="N106" s="1"/>
      <c r="O106" s="4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3"/>
      <c r="N107" s="1"/>
      <c r="O107" s="4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3"/>
      <c r="N108" s="1"/>
      <c r="O108" s="4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3"/>
      <c r="N109" s="1"/>
      <c r="O109" s="4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3"/>
      <c r="N110" s="1"/>
      <c r="O110" s="4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3"/>
      <c r="N111" s="1"/>
      <c r="O111" s="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3"/>
      <c r="N112" s="1"/>
      <c r="O112" s="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3"/>
      <c r="N113" s="1"/>
      <c r="O113" s="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3"/>
      <c r="N114" s="1"/>
      <c r="O114" s="4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3"/>
      <c r="N115" s="1"/>
      <c r="O115" s="4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3"/>
      <c r="N116" s="1"/>
      <c r="O116" s="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3"/>
      <c r="N117" s="1"/>
      <c r="O117" s="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3"/>
      <c r="N118" s="1"/>
      <c r="O118" s="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3"/>
      <c r="N119" s="1"/>
      <c r="O119" s="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3"/>
      <c r="N120" s="1"/>
      <c r="O120" s="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3"/>
      <c r="N121" s="1"/>
      <c r="O121" s="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3"/>
      <c r="N122" s="1"/>
      <c r="O122" s="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3"/>
      <c r="N123" s="1"/>
      <c r="O123" s="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3"/>
      <c r="N124" s="1"/>
      <c r="O124" s="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3"/>
      <c r="N125" s="1"/>
      <c r="O125" s="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3"/>
      <c r="N126" s="1"/>
      <c r="O126" s="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3"/>
      <c r="N127" s="1"/>
      <c r="O127" s="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3"/>
      <c r="N128" s="1"/>
      <c r="O128" s="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3"/>
      <c r="N129" s="1"/>
      <c r="O129" s="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3"/>
      <c r="N130" s="1"/>
      <c r="O130" s="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3"/>
      <c r="N131" s="1"/>
      <c r="O131" s="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3"/>
      <c r="N132" s="1"/>
      <c r="O132" s="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3"/>
      <c r="N133" s="1"/>
      <c r="O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3"/>
      <c r="N134" s="1"/>
      <c r="O134" s="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3"/>
      <c r="N135" s="1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3"/>
      <c r="N136" s="1"/>
      <c r="O136" s="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3"/>
      <c r="N137" s="1"/>
      <c r="O137" s="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3"/>
      <c r="N138" s="1"/>
      <c r="O138" s="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3"/>
      <c r="N139" s="1"/>
      <c r="O139" s="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3"/>
      <c r="N140" s="1"/>
      <c r="O140" s="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3"/>
      <c r="N141" s="1"/>
      <c r="O141" s="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3"/>
      <c r="N142" s="1"/>
      <c r="O142" s="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3"/>
      <c r="N143" s="1"/>
      <c r="O143" s="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3"/>
      <c r="N144" s="1"/>
      <c r="O144" s="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3"/>
      <c r="N145" s="1"/>
      <c r="O145" s="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3"/>
      <c r="N146" s="1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3"/>
      <c r="N147" s="1"/>
      <c r="O147" s="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3"/>
      <c r="N148" s="1"/>
      <c r="O148" s="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3"/>
      <c r="N149" s="1"/>
      <c r="O149" s="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3"/>
      <c r="N150" s="1"/>
      <c r="O150" s="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3"/>
      <c r="N151" s="1"/>
      <c r="O151" s="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3"/>
      <c r="N152" s="1"/>
      <c r="O152" s="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3"/>
      <c r="N153" s="1"/>
      <c r="O153" s="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3"/>
      <c r="N154" s="1"/>
      <c r="O154" s="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3"/>
      <c r="N155" s="1"/>
      <c r="O155" s="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3"/>
      <c r="N156" s="1"/>
      <c r="O156" s="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3"/>
      <c r="N157" s="1"/>
      <c r="O157" s="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3"/>
      <c r="N158" s="1"/>
      <c r="O158" s="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3"/>
      <c r="N159" s="1"/>
      <c r="O159" s="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3"/>
      <c r="N160" s="1"/>
      <c r="O160" s="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3"/>
      <c r="N161" s="1"/>
      <c r="O161" s="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3"/>
      <c r="N162" s="1"/>
      <c r="O162" s="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3"/>
      <c r="N163" s="1"/>
      <c r="O163" s="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3"/>
      <c r="N164" s="1"/>
      <c r="O164" s="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3"/>
      <c r="N165" s="1"/>
      <c r="O165" s="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3"/>
      <c r="N166" s="1"/>
      <c r="O166" s="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3"/>
      <c r="N167" s="1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3"/>
      <c r="N168" s="1"/>
      <c r="O168" s="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3"/>
      <c r="N169" s="1"/>
      <c r="O169" s="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3"/>
      <c r="N170" s="1"/>
      <c r="O170" s="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3"/>
      <c r="N171" s="1"/>
      <c r="O171" s="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3"/>
      <c r="N172" s="1"/>
      <c r="O172" s="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3"/>
      <c r="N173" s="1"/>
      <c r="O173" s="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3"/>
      <c r="N174" s="1"/>
      <c r="O174" s="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3"/>
      <c r="N175" s="1"/>
      <c r="O175" s="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3"/>
      <c r="N176" s="1"/>
      <c r="O176" s="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3"/>
      <c r="N177" s="1"/>
      <c r="O177" s="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3"/>
      <c r="N178" s="1"/>
      <c r="O178" s="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3"/>
      <c r="N179" s="1"/>
      <c r="O179" s="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3"/>
      <c r="N180" s="1"/>
      <c r="O180" s="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3"/>
      <c r="N181" s="1"/>
      <c r="O181" s="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3"/>
      <c r="N182" s="1"/>
      <c r="O182" s="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3"/>
      <c r="N183" s="1"/>
      <c r="O183" s="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3"/>
      <c r="N184" s="1"/>
      <c r="O184" s="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3"/>
      <c r="N185" s="1"/>
      <c r="O185" s="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3"/>
      <c r="N186" s="1"/>
      <c r="O186" s="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3"/>
      <c r="N187" s="1"/>
      <c r="O187" s="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3"/>
      <c r="N188" s="1"/>
      <c r="O188" s="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3"/>
      <c r="N189" s="1"/>
      <c r="O189" s="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3"/>
      <c r="N190" s="1"/>
      <c r="O190" s="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3"/>
      <c r="N191" s="1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3"/>
      <c r="N192" s="1"/>
      <c r="O192" s="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3"/>
      <c r="N193" s="1"/>
      <c r="O193" s="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3"/>
      <c r="N194" s="1"/>
      <c r="O194" s="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3"/>
      <c r="N195" s="1"/>
      <c r="O195" s="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3"/>
      <c r="N196" s="1"/>
      <c r="O196" s="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3"/>
      <c r="N197" s="1"/>
      <c r="O197" s="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3"/>
      <c r="N198" s="1"/>
      <c r="O198" s="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3"/>
      <c r="N199" s="1"/>
      <c r="O199" s="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3"/>
      <c r="N200" s="1"/>
      <c r="O200" s="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3"/>
      <c r="N201" s="1"/>
      <c r="O201" s="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3"/>
      <c r="N202" s="1"/>
      <c r="O202" s="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3"/>
      <c r="N203" s="1"/>
      <c r="O203" s="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3"/>
      <c r="N204" s="1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3"/>
      <c r="N205" s="1"/>
      <c r="O205" s="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3"/>
      <c r="N206" s="1"/>
      <c r="O206" s="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3"/>
      <c r="N207" s="1"/>
      <c r="O207" s="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3"/>
      <c r="N208" s="1"/>
      <c r="O208" s="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3"/>
      <c r="N209" s="1"/>
      <c r="O209" s="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3"/>
      <c r="N210" s="1"/>
      <c r="O210" s="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3"/>
      <c r="N211" s="1"/>
      <c r="O211" s="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3"/>
      <c r="N212" s="1"/>
      <c r="O212" s="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3"/>
      <c r="N213" s="1"/>
      <c r="O213" s="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3"/>
      <c r="N214" s="1"/>
      <c r="O214" s="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3"/>
      <c r="N215" s="1"/>
      <c r="O215" s="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3"/>
      <c r="N216" s="1"/>
      <c r="O216" s="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3"/>
      <c r="N217" s="1"/>
      <c r="O217" s="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3"/>
      <c r="N218" s="1"/>
      <c r="O218" s="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3"/>
      <c r="N219" s="1"/>
      <c r="O219" s="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3"/>
      <c r="N220" s="1"/>
      <c r="O220" s="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2"/>
      <c r="L221" s="2"/>
      <c r="M221" s="3"/>
      <c r="N221" s="1"/>
      <c r="O221" s="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2"/>
      <c r="L222" s="2"/>
      <c r="M222" s="3"/>
      <c r="N222" s="1"/>
      <c r="O222" s="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2"/>
      <c r="L223" s="2"/>
      <c r="M223" s="3"/>
      <c r="N223" s="1"/>
      <c r="O223" s="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2"/>
      <c r="L224" s="2"/>
      <c r="M224" s="3"/>
      <c r="N224" s="1"/>
      <c r="O224" s="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2"/>
      <c r="L225" s="2"/>
      <c r="M225" s="3"/>
      <c r="N225" s="1"/>
      <c r="O225" s="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2"/>
      <c r="L226" s="2"/>
      <c r="M226" s="3"/>
      <c r="N226" s="1"/>
      <c r="O226" s="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2"/>
      <c r="L227" s="2"/>
      <c r="M227" s="3"/>
      <c r="N227" s="1"/>
      <c r="O227" s="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2"/>
      <c r="L228" s="2"/>
      <c r="M228" s="3"/>
      <c r="N228" s="1"/>
      <c r="O228" s="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2"/>
      <c r="L229" s="2"/>
      <c r="M229" s="3"/>
      <c r="N229" s="1"/>
      <c r="O229" s="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2"/>
      <c r="L230" s="2"/>
      <c r="M230" s="3"/>
      <c r="N230" s="1"/>
      <c r="O230" s="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2"/>
      <c r="L231" s="2"/>
      <c r="M231" s="3"/>
      <c r="N231" s="1"/>
      <c r="O231" s="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2"/>
      <c r="L232" s="2"/>
      <c r="M232" s="3"/>
      <c r="N232" s="1"/>
      <c r="O232" s="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2"/>
      <c r="L233" s="2"/>
      <c r="M233" s="3"/>
      <c r="N233" s="1"/>
      <c r="O233" s="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2"/>
      <c r="L234" s="2"/>
      <c r="M234" s="3"/>
      <c r="N234" s="1"/>
      <c r="O234" s="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2"/>
      <c r="L235" s="2"/>
      <c r="M235" s="3"/>
      <c r="N235" s="1"/>
      <c r="O235" s="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2"/>
      <c r="L236" s="2"/>
      <c r="M236" s="3"/>
      <c r="N236" s="1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2"/>
      <c r="L237" s="2"/>
      <c r="M237" s="3"/>
      <c r="N237" s="1"/>
      <c r="O237" s="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2"/>
      <c r="L238" s="2"/>
      <c r="M238" s="3"/>
      <c r="N238" s="1"/>
      <c r="O238" s="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2"/>
      <c r="L239" s="2"/>
      <c r="M239" s="3"/>
      <c r="N239" s="1"/>
      <c r="O239" s="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2"/>
      <c r="L240" s="2"/>
      <c r="M240" s="3"/>
      <c r="N240" s="1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2"/>
      <c r="L241" s="2"/>
      <c r="M241" s="3"/>
      <c r="N241" s="1"/>
      <c r="O241" s="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2"/>
      <c r="L242" s="2"/>
      <c r="M242" s="3"/>
      <c r="N242" s="1"/>
      <c r="O242" s="4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2"/>
      <c r="L243" s="2"/>
      <c r="M243" s="3"/>
      <c r="N243" s="1"/>
      <c r="O243" s="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2"/>
      <c r="L244" s="2"/>
      <c r="M244" s="3"/>
      <c r="N244" s="1"/>
      <c r="O244" s="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2"/>
      <c r="L245" s="2"/>
      <c r="M245" s="3"/>
      <c r="N245" s="1"/>
      <c r="O245" s="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2"/>
      <c r="L246" s="2"/>
      <c r="M246" s="3"/>
      <c r="N246" s="1"/>
      <c r="O246" s="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2"/>
      <c r="L247" s="2"/>
      <c r="M247" s="3"/>
      <c r="N247" s="1"/>
      <c r="O247" s="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2"/>
      <c r="L248" s="2"/>
      <c r="M248" s="3"/>
      <c r="N248" s="1"/>
      <c r="O248" s="4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2"/>
      <c r="L249" s="2"/>
      <c r="M249" s="3"/>
      <c r="N249" s="1"/>
      <c r="O249" s="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2"/>
      <c r="L250" s="2"/>
      <c r="M250" s="3"/>
      <c r="N250" s="1"/>
      <c r="O250" s="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2"/>
      <c r="L251" s="2"/>
      <c r="M251" s="3"/>
      <c r="N251" s="1"/>
      <c r="O251" s="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2"/>
      <c r="L252" s="2"/>
      <c r="M252" s="3"/>
      <c r="N252" s="1"/>
      <c r="O252" s="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2"/>
      <c r="L253" s="2"/>
      <c r="M253" s="3"/>
      <c r="N253" s="1"/>
      <c r="O253" s="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2"/>
      <c r="L254" s="2"/>
      <c r="M254" s="3"/>
      <c r="N254" s="1"/>
      <c r="O254" s="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2"/>
      <c r="L255" s="2"/>
      <c r="M255" s="3"/>
      <c r="N255" s="1"/>
      <c r="O255" s="4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2"/>
      <c r="L256" s="2"/>
      <c r="M256" s="3"/>
      <c r="N256" s="1"/>
      <c r="O256" s="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2"/>
      <c r="L257" s="2"/>
      <c r="M257" s="3"/>
      <c r="N257" s="1"/>
      <c r="O257" s="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2"/>
      <c r="L258" s="2"/>
      <c r="M258" s="3"/>
      <c r="N258" s="1"/>
      <c r="O258" s="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2"/>
      <c r="L259" s="2"/>
      <c r="M259" s="3"/>
      <c r="N259" s="1"/>
      <c r="O259" s="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2"/>
      <c r="L260" s="2"/>
      <c r="M260" s="3"/>
      <c r="N260" s="1"/>
      <c r="O260" s="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2"/>
      <c r="L261" s="2"/>
      <c r="M261" s="3"/>
      <c r="N261" s="1"/>
      <c r="O261" s="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2"/>
      <c r="L262" s="2"/>
      <c r="M262" s="3"/>
      <c r="N262" s="1"/>
      <c r="O262" s="4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2"/>
      <c r="L263" s="2"/>
      <c r="M263" s="3"/>
      <c r="N263" s="1"/>
      <c r="O263" s="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2"/>
      <c r="L264" s="2"/>
      <c r="M264" s="3"/>
      <c r="N264" s="1"/>
      <c r="O264" s="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2"/>
      <c r="L265" s="2"/>
      <c r="M265" s="3"/>
      <c r="N265" s="1"/>
      <c r="O265" s="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2"/>
      <c r="L266" s="2"/>
      <c r="M266" s="3"/>
      <c r="N266" s="1"/>
      <c r="O266" s="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2"/>
      <c r="L267" s="2"/>
      <c r="M267" s="3"/>
      <c r="N267" s="1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2"/>
      <c r="L268" s="2"/>
      <c r="M268" s="3"/>
      <c r="N268" s="1"/>
      <c r="O268" s="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2"/>
      <c r="L269" s="2"/>
      <c r="M269" s="3"/>
      <c r="N269" s="1"/>
      <c r="O269" s="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2"/>
      <c r="L270" s="2"/>
      <c r="M270" s="3"/>
      <c r="N270" s="1"/>
      <c r="O270" s="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2"/>
      <c r="L271" s="2"/>
      <c r="M271" s="3"/>
      <c r="N271" s="1"/>
      <c r="O271" s="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2"/>
      <c r="L272" s="2"/>
      <c r="M272" s="3"/>
      <c r="N272" s="1"/>
      <c r="O272" s="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2"/>
      <c r="L273" s="2"/>
      <c r="M273" s="3"/>
      <c r="N273" s="1"/>
      <c r="O273" s="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2"/>
      <c r="L274" s="2"/>
      <c r="M274" s="3"/>
      <c r="N274" s="1"/>
      <c r="O274" s="4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2"/>
      <c r="L275" s="2"/>
      <c r="M275" s="3"/>
      <c r="N275" s="1"/>
      <c r="O275" s="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2"/>
      <c r="L276" s="2"/>
      <c r="M276" s="3"/>
      <c r="N276" s="1"/>
      <c r="O276" s="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2"/>
      <c r="L277" s="2"/>
      <c r="M277" s="3"/>
      <c r="N277" s="1"/>
      <c r="O277" s="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2"/>
      <c r="L278" s="2"/>
      <c r="M278" s="3"/>
      <c r="N278" s="1"/>
      <c r="O278" s="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2"/>
      <c r="L279" s="2"/>
      <c r="M279" s="3"/>
      <c r="N279" s="1"/>
      <c r="O279" s="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2"/>
      <c r="L280" s="2"/>
      <c r="M280" s="3"/>
      <c r="N280" s="1"/>
      <c r="O280" s="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2"/>
      <c r="L281" s="2"/>
      <c r="M281" s="3"/>
      <c r="N281" s="1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2"/>
      <c r="L282" s="2"/>
      <c r="M282" s="3"/>
      <c r="N282" s="1"/>
      <c r="O282" s="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2"/>
      <c r="L283" s="2"/>
      <c r="M283" s="3"/>
      <c r="N283" s="1"/>
      <c r="O283" s="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2"/>
      <c r="L284" s="2"/>
      <c r="M284" s="3"/>
      <c r="N284" s="1"/>
      <c r="O284" s="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2"/>
      <c r="L285" s="2"/>
      <c r="M285" s="3"/>
      <c r="N285" s="1"/>
      <c r="O285" s="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2"/>
      <c r="L286" s="2"/>
      <c r="M286" s="3"/>
      <c r="N286" s="1"/>
      <c r="O286" s="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2"/>
      <c r="L287" s="2"/>
      <c r="M287" s="3"/>
      <c r="N287" s="1"/>
      <c r="O287" s="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2"/>
      <c r="L288" s="2"/>
      <c r="M288" s="3"/>
      <c r="N288" s="1"/>
      <c r="O288" s="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2"/>
      <c r="L289" s="2"/>
      <c r="M289" s="3"/>
      <c r="N289" s="1"/>
      <c r="O289" s="4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2"/>
      <c r="L290" s="2"/>
      <c r="M290" s="3"/>
      <c r="N290" s="1"/>
      <c r="O290" s="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2"/>
      <c r="L291" s="2"/>
      <c r="M291" s="3"/>
      <c r="N291" s="1"/>
      <c r="O291" s="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2"/>
      <c r="L292" s="2"/>
      <c r="M292" s="3"/>
      <c r="N292" s="1"/>
      <c r="O292" s="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2"/>
      <c r="L293" s="2"/>
      <c r="M293" s="3"/>
      <c r="N293" s="1"/>
      <c r="O293" s="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2"/>
      <c r="L294" s="2"/>
      <c r="M294" s="3"/>
      <c r="N294" s="1"/>
      <c r="O294" s="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2"/>
      <c r="L295" s="2"/>
      <c r="M295" s="3"/>
      <c r="N295" s="1"/>
      <c r="O295" s="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2"/>
      <c r="L296" s="2"/>
      <c r="M296" s="3"/>
      <c r="N296" s="1"/>
      <c r="O296" s="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2"/>
      <c r="L297" s="2"/>
      <c r="M297" s="3"/>
      <c r="N297" s="1"/>
      <c r="O297" s="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2"/>
      <c r="L298" s="2"/>
      <c r="M298" s="3"/>
      <c r="N298" s="1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2"/>
      <c r="L299" s="2"/>
      <c r="M299" s="3"/>
      <c r="N299" s="1"/>
      <c r="O299" s="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2"/>
      <c r="L300" s="2"/>
      <c r="M300" s="3"/>
      <c r="N300" s="1"/>
      <c r="O300" s="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2"/>
      <c r="L301" s="2"/>
      <c r="M301" s="3"/>
      <c r="N301" s="1"/>
      <c r="O301" s="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2"/>
      <c r="L302" s="2"/>
      <c r="M302" s="3"/>
      <c r="N302" s="1"/>
      <c r="O302" s="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2"/>
      <c r="L303" s="2"/>
      <c r="M303" s="3"/>
      <c r="N303" s="1"/>
      <c r="O303" s="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2"/>
      <c r="L304" s="2"/>
      <c r="M304" s="3"/>
      <c r="N304" s="1"/>
      <c r="O304" s="4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2"/>
      <c r="L305" s="2"/>
      <c r="M305" s="3"/>
      <c r="N305" s="1"/>
      <c r="O305" s="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2"/>
      <c r="L306" s="2"/>
      <c r="M306" s="3"/>
      <c r="N306" s="1"/>
      <c r="O306" s="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2"/>
      <c r="L307" s="2"/>
      <c r="M307" s="3"/>
      <c r="N307" s="1"/>
      <c r="O307" s="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2"/>
      <c r="L308" s="2"/>
      <c r="M308" s="3"/>
      <c r="N308" s="1"/>
      <c r="O308" s="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2"/>
      <c r="L309" s="2"/>
      <c r="M309" s="3"/>
      <c r="N309" s="1"/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2"/>
      <c r="L310" s="2"/>
      <c r="M310" s="3"/>
      <c r="N310" s="1"/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2"/>
      <c r="L311" s="2"/>
      <c r="M311" s="3"/>
      <c r="N311" s="1"/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2"/>
      <c r="L312" s="2"/>
      <c r="M312" s="3"/>
      <c r="N312" s="1"/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2"/>
      <c r="L313" s="2"/>
      <c r="M313" s="3"/>
      <c r="N313" s="1"/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2"/>
      <c r="L314" s="2"/>
      <c r="M314" s="3"/>
      <c r="N314" s="1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2"/>
      <c r="L315" s="2"/>
      <c r="M315" s="3"/>
      <c r="N315" s="1"/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2"/>
      <c r="L316" s="2"/>
      <c r="M316" s="3"/>
      <c r="N316" s="1"/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2"/>
      <c r="L317" s="2"/>
      <c r="M317" s="3"/>
      <c r="N317" s="1"/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2"/>
      <c r="L318" s="2"/>
      <c r="M318" s="3"/>
      <c r="N318" s="1"/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2"/>
      <c r="L319" s="2"/>
      <c r="M319" s="3"/>
      <c r="N319" s="1"/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2"/>
      <c r="L320" s="2"/>
      <c r="M320" s="3"/>
      <c r="N320" s="1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2"/>
      <c r="L321" s="2"/>
      <c r="M321" s="3"/>
      <c r="N321" s="1"/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2"/>
      <c r="L322" s="2"/>
      <c r="M322" s="3"/>
      <c r="N322" s="1"/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2"/>
      <c r="L323" s="2"/>
      <c r="M323" s="3"/>
      <c r="N323" s="1"/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2"/>
      <c r="L324" s="2"/>
      <c r="M324" s="3"/>
      <c r="N324" s="1"/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2"/>
      <c r="L325" s="2"/>
      <c r="M325" s="3"/>
      <c r="N325" s="1"/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2"/>
      <c r="L326" s="2"/>
      <c r="M326" s="3"/>
      <c r="N326" s="1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2"/>
      <c r="L327" s="2"/>
      <c r="M327" s="3"/>
      <c r="N327" s="1"/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2"/>
      <c r="L328" s="2"/>
      <c r="M328" s="3"/>
      <c r="N328" s="1"/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2"/>
      <c r="L329" s="2"/>
      <c r="M329" s="3"/>
      <c r="N329" s="1"/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2"/>
      <c r="L330" s="2"/>
      <c r="M330" s="3"/>
      <c r="N330" s="1"/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2"/>
      <c r="L331" s="2"/>
      <c r="M331" s="3"/>
      <c r="N331" s="1"/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2"/>
      <c r="L332" s="2"/>
      <c r="M332" s="3"/>
      <c r="N332" s="1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2"/>
      <c r="L333" s="2"/>
      <c r="M333" s="3"/>
      <c r="N333" s="1"/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2"/>
      <c r="L334" s="2"/>
      <c r="M334" s="3"/>
      <c r="N334" s="1"/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2"/>
      <c r="L335" s="2"/>
      <c r="M335" s="3"/>
      <c r="N335" s="1"/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2"/>
      <c r="L336" s="2"/>
      <c r="M336" s="3"/>
      <c r="N336" s="1"/>
      <c r="O336" s="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2"/>
      <c r="L337" s="2"/>
      <c r="M337" s="3"/>
      <c r="N337" s="1"/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2"/>
      <c r="L338" s="2"/>
      <c r="M338" s="3"/>
      <c r="N338" s="1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2"/>
      <c r="L339" s="2"/>
      <c r="M339" s="3"/>
      <c r="N339" s="1"/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2"/>
      <c r="L340" s="2"/>
      <c r="M340" s="3"/>
      <c r="N340" s="1"/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2"/>
      <c r="L341" s="2"/>
      <c r="M341" s="3"/>
      <c r="N341" s="1"/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2"/>
      <c r="L342" s="2"/>
      <c r="M342" s="3"/>
      <c r="N342" s="1"/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2"/>
      <c r="L343" s="2"/>
      <c r="M343" s="3"/>
      <c r="N343" s="1"/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2"/>
      <c r="L344" s="2"/>
      <c r="M344" s="3"/>
      <c r="N344" s="1"/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2"/>
      <c r="L345" s="2"/>
      <c r="M345" s="3"/>
      <c r="N345" s="1"/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2"/>
      <c r="L346" s="2"/>
      <c r="M346" s="3"/>
      <c r="N346" s="1"/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2"/>
      <c r="L347" s="2"/>
      <c r="M347" s="3"/>
      <c r="N347" s="1"/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2"/>
      <c r="L348" s="2"/>
      <c r="M348" s="3"/>
      <c r="N348" s="1"/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2"/>
      <c r="L349" s="2"/>
      <c r="M349" s="3"/>
      <c r="N349" s="1"/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2"/>
      <c r="L350" s="2"/>
      <c r="M350" s="3"/>
      <c r="N350" s="1"/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2"/>
      <c r="L351" s="2"/>
      <c r="M351" s="3"/>
      <c r="N351" s="1"/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2"/>
      <c r="L352" s="2"/>
      <c r="M352" s="3"/>
      <c r="N352" s="1"/>
      <c r="O352" s="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2"/>
      <c r="L353" s="2"/>
      <c r="M353" s="3"/>
      <c r="N353" s="1"/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2"/>
      <c r="L354" s="2"/>
      <c r="M354" s="3"/>
      <c r="N354" s="1"/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2"/>
      <c r="L355" s="2"/>
      <c r="M355" s="3"/>
      <c r="N355" s="1"/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2"/>
      <c r="L356" s="2"/>
      <c r="M356" s="3"/>
      <c r="N356" s="1"/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2"/>
      <c r="L357" s="2"/>
      <c r="M357" s="3"/>
      <c r="N357" s="1"/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2"/>
      <c r="L358" s="2"/>
      <c r="M358" s="3"/>
      <c r="N358" s="1"/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2"/>
      <c r="L359" s="2"/>
      <c r="M359" s="3"/>
      <c r="N359" s="1"/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2"/>
      <c r="L360" s="2"/>
      <c r="M360" s="3"/>
      <c r="N360" s="1"/>
      <c r="O360" s="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2"/>
      <c r="L361" s="2"/>
      <c r="M361" s="3"/>
      <c r="N361" s="1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2"/>
      <c r="L362" s="2"/>
      <c r="M362" s="3"/>
      <c r="N362" s="1"/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2"/>
      <c r="L363" s="2"/>
      <c r="M363" s="3"/>
      <c r="N363" s="1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2"/>
      <c r="L364" s="2"/>
      <c r="M364" s="3"/>
      <c r="N364" s="1"/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2"/>
      <c r="L365" s="2"/>
      <c r="M365" s="3"/>
      <c r="N365" s="1"/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2"/>
      <c r="L366" s="2"/>
      <c r="M366" s="3"/>
      <c r="N366" s="1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2"/>
      <c r="L367" s="2"/>
      <c r="M367" s="3"/>
      <c r="N367" s="1"/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2"/>
      <c r="L368" s="2"/>
      <c r="M368" s="3"/>
      <c r="N368" s="1"/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2"/>
      <c r="L369" s="2"/>
      <c r="M369" s="3"/>
      <c r="N369" s="1"/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2"/>
      <c r="L370" s="2"/>
      <c r="M370" s="3"/>
      <c r="N370" s="1"/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2"/>
      <c r="L371" s="2"/>
      <c r="M371" s="3"/>
      <c r="N371" s="1"/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2"/>
      <c r="L372" s="2"/>
      <c r="M372" s="3"/>
      <c r="N372" s="1"/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2"/>
      <c r="L373" s="2"/>
      <c r="M373" s="3"/>
      <c r="N373" s="1"/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2"/>
      <c r="L374" s="2"/>
      <c r="M374" s="3"/>
      <c r="N374" s="1"/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2"/>
      <c r="L375" s="2"/>
      <c r="M375" s="3"/>
      <c r="N375" s="1"/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2"/>
      <c r="L376" s="2"/>
      <c r="M376" s="3"/>
      <c r="N376" s="1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2"/>
      <c r="L377" s="2"/>
      <c r="M377" s="3"/>
      <c r="N377" s="1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2"/>
      <c r="L378" s="2"/>
      <c r="M378" s="3"/>
      <c r="N378" s="1"/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2"/>
      <c r="L379" s="2"/>
      <c r="M379" s="3"/>
      <c r="N379" s="1"/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2"/>
      <c r="L380" s="2"/>
      <c r="M380" s="3"/>
      <c r="N380" s="1"/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2"/>
      <c r="L381" s="2"/>
      <c r="M381" s="3"/>
      <c r="N381" s="1"/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2"/>
      <c r="L382" s="2"/>
      <c r="M382" s="3"/>
      <c r="N382" s="1"/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2"/>
      <c r="L383" s="2"/>
      <c r="M383" s="3"/>
      <c r="N383" s="1"/>
      <c r="O383" s="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2"/>
      <c r="L384" s="2"/>
      <c r="M384" s="3"/>
      <c r="N384" s="1"/>
      <c r="O384" s="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2"/>
      <c r="L385" s="2"/>
      <c r="M385" s="3"/>
      <c r="N385" s="1"/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2"/>
      <c r="L386" s="2"/>
      <c r="M386" s="3"/>
      <c r="N386" s="1"/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2"/>
      <c r="L387" s="2"/>
      <c r="M387" s="3"/>
      <c r="N387" s="1"/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2"/>
      <c r="L388" s="2"/>
      <c r="M388" s="3"/>
      <c r="N388" s="1"/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2"/>
      <c r="L389" s="2"/>
      <c r="M389" s="3"/>
      <c r="N389" s="1"/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2"/>
      <c r="L390" s="2"/>
      <c r="M390" s="3"/>
      <c r="N390" s="1"/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2"/>
      <c r="L391" s="2"/>
      <c r="M391" s="3"/>
      <c r="N391" s="1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2"/>
      <c r="L392" s="2"/>
      <c r="M392" s="3"/>
      <c r="N392" s="1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2"/>
      <c r="L393" s="2"/>
      <c r="M393" s="3"/>
      <c r="N393" s="1"/>
      <c r="O393" s="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2"/>
      <c r="L394" s="2"/>
      <c r="M394" s="3"/>
      <c r="N394" s="1"/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2"/>
      <c r="L395" s="2"/>
      <c r="M395" s="3"/>
      <c r="N395" s="1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2"/>
      <c r="L396" s="2"/>
      <c r="M396" s="3"/>
      <c r="N396" s="1"/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2"/>
      <c r="L397" s="2"/>
      <c r="M397" s="3"/>
      <c r="N397" s="1"/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2"/>
      <c r="L398" s="2"/>
      <c r="M398" s="3"/>
      <c r="N398" s="1"/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2"/>
      <c r="L399" s="2"/>
      <c r="M399" s="3"/>
      <c r="N399" s="1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2"/>
      <c r="L400" s="2"/>
      <c r="M400" s="3"/>
      <c r="N400" s="1"/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2"/>
      <c r="L401" s="2"/>
      <c r="M401" s="3"/>
      <c r="N401" s="1"/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2"/>
      <c r="L402" s="2"/>
      <c r="M402" s="3"/>
      <c r="N402" s="1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2"/>
      <c r="L403" s="2"/>
      <c r="M403" s="3"/>
      <c r="N403" s="1"/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2"/>
      <c r="L404" s="2"/>
      <c r="M404" s="3"/>
      <c r="N404" s="1"/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2"/>
      <c r="L405" s="2"/>
      <c r="M405" s="3"/>
      <c r="N405" s="1"/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2"/>
      <c r="L406" s="2"/>
      <c r="M406" s="3"/>
      <c r="N406" s="1"/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2"/>
      <c r="L407" s="2"/>
      <c r="M407" s="3"/>
      <c r="N407" s="1"/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2"/>
      <c r="L408" s="2"/>
      <c r="M408" s="3"/>
      <c r="N408" s="1"/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2"/>
      <c r="L409" s="2"/>
      <c r="M409" s="3"/>
      <c r="N409" s="1"/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2"/>
      <c r="L410" s="2"/>
      <c r="M410" s="3"/>
      <c r="N410" s="1"/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2"/>
      <c r="L411" s="2"/>
      <c r="M411" s="3"/>
      <c r="N411" s="1"/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2"/>
      <c r="L412" s="2"/>
      <c r="M412" s="3"/>
      <c r="N412" s="1"/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2"/>
      <c r="L413" s="2"/>
      <c r="M413" s="3"/>
      <c r="N413" s="1"/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2"/>
      <c r="L414" s="2"/>
      <c r="M414" s="3"/>
      <c r="N414" s="1"/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2"/>
      <c r="L415" s="2"/>
      <c r="M415" s="3"/>
      <c r="N415" s="1"/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2"/>
      <c r="L416" s="2"/>
      <c r="M416" s="3"/>
      <c r="N416" s="1"/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2"/>
      <c r="L417" s="2"/>
      <c r="M417" s="3"/>
      <c r="N417" s="1"/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2"/>
      <c r="L418" s="2"/>
      <c r="M418" s="3"/>
      <c r="N418" s="1"/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2"/>
      <c r="L419" s="2"/>
      <c r="M419" s="3"/>
      <c r="N419" s="1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2"/>
      <c r="L420" s="2"/>
      <c r="M420" s="3"/>
      <c r="N420" s="1"/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2"/>
      <c r="L421" s="2"/>
      <c r="M421" s="3"/>
      <c r="N421" s="1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2"/>
      <c r="L422" s="2"/>
      <c r="M422" s="3"/>
      <c r="N422" s="1"/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2"/>
      <c r="L423" s="2"/>
      <c r="M423" s="3"/>
      <c r="N423" s="1"/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2"/>
      <c r="L424" s="2"/>
      <c r="M424" s="3"/>
      <c r="N424" s="1"/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2"/>
      <c r="L425" s="2"/>
      <c r="M425" s="3"/>
      <c r="N425" s="1"/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2"/>
      <c r="L426" s="2"/>
      <c r="M426" s="3"/>
      <c r="N426" s="1"/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2"/>
      <c r="L427" s="2"/>
      <c r="M427" s="3"/>
      <c r="N427" s="1"/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2"/>
      <c r="L428" s="2"/>
      <c r="M428" s="3"/>
      <c r="N428" s="1"/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2"/>
      <c r="L429" s="2"/>
      <c r="M429" s="3"/>
      <c r="N429" s="1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2"/>
      <c r="L430" s="2"/>
      <c r="M430" s="3"/>
      <c r="N430" s="1"/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2"/>
      <c r="L431" s="2"/>
      <c r="M431" s="3"/>
      <c r="N431" s="1"/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2"/>
      <c r="L432" s="2"/>
      <c r="M432" s="3"/>
      <c r="N432" s="1"/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2"/>
      <c r="L433" s="2"/>
      <c r="M433" s="3"/>
      <c r="N433" s="1"/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2"/>
      <c r="L434" s="2"/>
      <c r="M434" s="3"/>
      <c r="N434" s="1"/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2"/>
      <c r="L435" s="2"/>
      <c r="M435" s="3"/>
      <c r="N435" s="1"/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2"/>
      <c r="L436" s="2"/>
      <c r="M436" s="3"/>
      <c r="N436" s="1"/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2"/>
      <c r="L437" s="2"/>
      <c r="M437" s="3"/>
      <c r="N437" s="1"/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2"/>
      <c r="L438" s="2"/>
      <c r="M438" s="3"/>
      <c r="N438" s="1"/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2"/>
      <c r="L439" s="2"/>
      <c r="M439" s="3"/>
      <c r="N439" s="1"/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2"/>
      <c r="L440" s="2"/>
      <c r="M440" s="3"/>
      <c r="N440" s="1"/>
      <c r="O440" s="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2"/>
      <c r="L441" s="2"/>
      <c r="M441" s="3"/>
      <c r="N441" s="1"/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2"/>
      <c r="L442" s="2"/>
      <c r="M442" s="3"/>
      <c r="N442" s="1"/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2"/>
      <c r="L443" s="2"/>
      <c r="M443" s="3"/>
      <c r="N443" s="1"/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2"/>
      <c r="L444" s="2"/>
      <c r="M444" s="3"/>
      <c r="N444" s="1"/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2"/>
      <c r="L445" s="2"/>
      <c r="M445" s="3"/>
      <c r="N445" s="1"/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2"/>
      <c r="L446" s="2"/>
      <c r="M446" s="3"/>
      <c r="N446" s="1"/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2"/>
      <c r="L447" s="2"/>
      <c r="M447" s="3"/>
      <c r="N447" s="1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2"/>
      <c r="L448" s="2"/>
      <c r="M448" s="3"/>
      <c r="N448" s="1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2"/>
      <c r="L449" s="2"/>
      <c r="M449" s="3"/>
      <c r="N449" s="1"/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2"/>
      <c r="L450" s="2"/>
      <c r="M450" s="3"/>
      <c r="N450" s="1"/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2"/>
      <c r="L451" s="2"/>
      <c r="M451" s="3"/>
      <c r="N451" s="1"/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2"/>
      <c r="L452" s="2"/>
      <c r="M452" s="3"/>
      <c r="N452" s="1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2"/>
      <c r="L453" s="2"/>
      <c r="M453" s="3"/>
      <c r="N453" s="1"/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2"/>
      <c r="L454" s="2"/>
      <c r="M454" s="3"/>
      <c r="N454" s="1"/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2"/>
      <c r="L455" s="2"/>
      <c r="M455" s="3"/>
      <c r="N455" s="1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2"/>
      <c r="L456" s="2"/>
      <c r="M456" s="3"/>
      <c r="N456" s="1"/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2"/>
      <c r="L457" s="2"/>
      <c r="M457" s="3"/>
      <c r="N457" s="1"/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2"/>
      <c r="L458" s="2"/>
      <c r="M458" s="3"/>
      <c r="N458" s="1"/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2"/>
      <c r="L459" s="2"/>
      <c r="M459" s="3"/>
      <c r="N459" s="1"/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2"/>
      <c r="L460" s="2"/>
      <c r="M460" s="3"/>
      <c r="N460" s="1"/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2"/>
      <c r="L461" s="2"/>
      <c r="M461" s="3"/>
      <c r="N461" s="1"/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2"/>
      <c r="L462" s="2"/>
      <c r="M462" s="3"/>
      <c r="N462" s="1"/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2"/>
      <c r="L463" s="2"/>
      <c r="M463" s="3"/>
      <c r="N463" s="1"/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2"/>
      <c r="L464" s="2"/>
      <c r="M464" s="3"/>
      <c r="N464" s="1"/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2"/>
      <c r="L465" s="2"/>
      <c r="M465" s="3"/>
      <c r="N465" s="1"/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2"/>
      <c r="L466" s="2"/>
      <c r="M466" s="3"/>
      <c r="N466" s="1"/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2"/>
      <c r="L467" s="2"/>
      <c r="M467" s="3"/>
      <c r="N467" s="1"/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2"/>
      <c r="L468" s="2"/>
      <c r="M468" s="3"/>
      <c r="N468" s="1"/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2"/>
      <c r="L469" s="2"/>
      <c r="M469" s="3"/>
      <c r="N469" s="1"/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2"/>
      <c r="L470" s="2"/>
      <c r="M470" s="3"/>
      <c r="N470" s="1"/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2"/>
      <c r="L471" s="2"/>
      <c r="M471" s="3"/>
      <c r="N471" s="1"/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2"/>
      <c r="L472" s="2"/>
      <c r="M472" s="3"/>
      <c r="N472" s="1"/>
      <c r="O472" s="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2"/>
      <c r="L473" s="2"/>
      <c r="M473" s="3"/>
      <c r="N473" s="1"/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2"/>
      <c r="L474" s="2"/>
      <c r="M474" s="3"/>
      <c r="N474" s="1"/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2"/>
      <c r="L475" s="2"/>
      <c r="M475" s="3"/>
      <c r="N475" s="1"/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2"/>
      <c r="L476" s="2"/>
      <c r="M476" s="3"/>
      <c r="N476" s="1"/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2"/>
      <c r="L477" s="2"/>
      <c r="M477" s="3"/>
      <c r="N477" s="1"/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2"/>
      <c r="L478" s="2"/>
      <c r="M478" s="3"/>
      <c r="N478" s="1"/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2"/>
      <c r="L479" s="2"/>
      <c r="M479" s="3"/>
      <c r="N479" s="1"/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2"/>
      <c r="L480" s="2"/>
      <c r="M480" s="3"/>
      <c r="N480" s="1"/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2"/>
      <c r="L481" s="2"/>
      <c r="M481" s="3"/>
      <c r="N481" s="1"/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2"/>
      <c r="L482" s="2"/>
      <c r="M482" s="3"/>
      <c r="N482" s="1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2"/>
      <c r="L483" s="2"/>
      <c r="M483" s="3"/>
      <c r="N483" s="1"/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2"/>
      <c r="L484" s="2"/>
      <c r="M484" s="3"/>
      <c r="N484" s="1"/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2"/>
      <c r="L485" s="2"/>
      <c r="M485" s="3"/>
      <c r="N485" s="1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2"/>
      <c r="L486" s="2"/>
      <c r="M486" s="3"/>
      <c r="N486" s="1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2"/>
      <c r="L487" s="2"/>
      <c r="M487" s="3"/>
      <c r="N487" s="1"/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2"/>
      <c r="L488" s="2"/>
      <c r="M488" s="3"/>
      <c r="N488" s="1"/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2"/>
      <c r="L489" s="2"/>
      <c r="M489" s="3"/>
      <c r="N489" s="1"/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2"/>
      <c r="L490" s="2"/>
      <c r="M490" s="3"/>
      <c r="N490" s="1"/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2"/>
      <c r="L491" s="2"/>
      <c r="M491" s="3"/>
      <c r="N491" s="1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2"/>
      <c r="L492" s="2"/>
      <c r="M492" s="3"/>
      <c r="N492" s="1"/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2"/>
      <c r="L493" s="2"/>
      <c r="M493" s="3"/>
      <c r="N493" s="1"/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2"/>
      <c r="L494" s="2"/>
      <c r="M494" s="3"/>
      <c r="N494" s="1"/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2"/>
      <c r="L495" s="2"/>
      <c r="M495" s="3"/>
      <c r="N495" s="1"/>
      <c r="O495" s="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2"/>
      <c r="L496" s="2"/>
      <c r="M496" s="3"/>
      <c r="N496" s="1"/>
      <c r="O496" s="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2"/>
      <c r="L497" s="2"/>
      <c r="M497" s="3"/>
      <c r="N497" s="1"/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2"/>
      <c r="L498" s="2"/>
      <c r="M498" s="3"/>
      <c r="N498" s="1"/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2"/>
      <c r="L499" s="2"/>
      <c r="M499" s="3"/>
      <c r="N499" s="1"/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2"/>
      <c r="L500" s="2"/>
      <c r="M500" s="3"/>
      <c r="N500" s="1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2"/>
      <c r="L501" s="2"/>
      <c r="M501" s="3"/>
      <c r="N501" s="1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2"/>
      <c r="L502" s="2"/>
      <c r="M502" s="3"/>
      <c r="N502" s="1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2"/>
      <c r="L503" s="2"/>
      <c r="M503" s="3"/>
      <c r="N503" s="1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2"/>
      <c r="L504" s="2"/>
      <c r="M504" s="3"/>
      <c r="N504" s="1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2"/>
      <c r="L505" s="2"/>
      <c r="M505" s="3"/>
      <c r="N505" s="1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2"/>
      <c r="L506" s="2"/>
      <c r="M506" s="3"/>
      <c r="N506" s="1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2"/>
      <c r="L507" s="2"/>
      <c r="M507" s="3"/>
      <c r="N507" s="1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2"/>
      <c r="L508" s="2"/>
      <c r="M508" s="3"/>
      <c r="N508" s="1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2"/>
      <c r="L509" s="2"/>
      <c r="M509" s="3"/>
      <c r="N509" s="1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2"/>
      <c r="L510" s="2"/>
      <c r="M510" s="3"/>
      <c r="N510" s="1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2"/>
      <c r="L511" s="2"/>
      <c r="M511" s="3"/>
      <c r="N511" s="1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2"/>
      <c r="L512" s="2"/>
      <c r="M512" s="3"/>
      <c r="N512" s="1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2"/>
      <c r="L513" s="2"/>
      <c r="M513" s="3"/>
      <c r="N513" s="1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2"/>
      <c r="L514" s="2"/>
      <c r="M514" s="3"/>
      <c r="N514" s="1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2"/>
      <c r="L515" s="2"/>
      <c r="M515" s="3"/>
      <c r="N515" s="1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2"/>
      <c r="L516" s="2"/>
      <c r="M516" s="3"/>
      <c r="N516" s="1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2"/>
      <c r="L517" s="2"/>
      <c r="M517" s="3"/>
      <c r="N517" s="1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2"/>
      <c r="L518" s="2"/>
      <c r="M518" s="3"/>
      <c r="N518" s="1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2"/>
      <c r="L519" s="2"/>
      <c r="M519" s="3"/>
      <c r="N519" s="1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2"/>
      <c r="L520" s="2"/>
      <c r="M520" s="3"/>
      <c r="N520" s="1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2"/>
      <c r="L521" s="2"/>
      <c r="M521" s="3"/>
      <c r="N521" s="1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2"/>
      <c r="L522" s="2"/>
      <c r="M522" s="3"/>
      <c r="N522" s="1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2"/>
      <c r="L523" s="2"/>
      <c r="M523" s="3"/>
      <c r="N523" s="1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2"/>
      <c r="L524" s="2"/>
      <c r="M524" s="3"/>
      <c r="N524" s="1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2"/>
      <c r="L525" s="2"/>
      <c r="M525" s="3"/>
      <c r="N525" s="1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2"/>
      <c r="L526" s="2"/>
      <c r="M526" s="3"/>
      <c r="N526" s="1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2"/>
      <c r="L527" s="2"/>
      <c r="M527" s="3"/>
      <c r="N527" s="1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2"/>
      <c r="L528" s="2"/>
      <c r="M528" s="3"/>
      <c r="N528" s="1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2"/>
      <c r="L529" s="2"/>
      <c r="M529" s="3"/>
      <c r="N529" s="1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2"/>
      <c r="L530" s="2"/>
      <c r="M530" s="3"/>
      <c r="N530" s="1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2"/>
      <c r="L531" s="2"/>
      <c r="M531" s="3"/>
      <c r="N531" s="1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2"/>
      <c r="L532" s="2"/>
      <c r="M532" s="3"/>
      <c r="N532" s="1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2"/>
      <c r="L533" s="2"/>
      <c r="M533" s="3"/>
      <c r="N533" s="1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2"/>
      <c r="L534" s="2"/>
      <c r="M534" s="3"/>
      <c r="N534" s="1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2"/>
      <c r="L535" s="2"/>
      <c r="M535" s="3"/>
      <c r="N535" s="1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2"/>
      <c r="L536" s="2"/>
      <c r="M536" s="3"/>
      <c r="N536" s="1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2"/>
      <c r="L537" s="2"/>
      <c r="M537" s="3"/>
      <c r="N537" s="1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2"/>
      <c r="L538" s="2"/>
      <c r="M538" s="3"/>
      <c r="N538" s="1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2"/>
      <c r="L539" s="2"/>
      <c r="M539" s="3"/>
      <c r="N539" s="1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2"/>
      <c r="L540" s="2"/>
      <c r="M540" s="3"/>
      <c r="N540" s="1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2"/>
      <c r="L541" s="2"/>
      <c r="M541" s="3"/>
      <c r="N541" s="1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2"/>
      <c r="L542" s="2"/>
      <c r="M542" s="3"/>
      <c r="N542" s="1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2"/>
      <c r="L543" s="2"/>
      <c r="M543" s="3"/>
      <c r="N543" s="1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2"/>
      <c r="L544" s="2"/>
      <c r="M544" s="3"/>
      <c r="N544" s="1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2"/>
      <c r="L545" s="2"/>
      <c r="M545" s="3"/>
      <c r="N545" s="1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2"/>
      <c r="L546" s="2"/>
      <c r="M546" s="3"/>
      <c r="N546" s="1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2"/>
      <c r="L547" s="2"/>
      <c r="M547" s="3"/>
      <c r="N547" s="1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2"/>
      <c r="L548" s="2"/>
      <c r="M548" s="3"/>
      <c r="N548" s="1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2"/>
      <c r="L549" s="2"/>
      <c r="M549" s="3"/>
      <c r="N549" s="1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2"/>
      <c r="L550" s="2"/>
      <c r="M550" s="3"/>
      <c r="N550" s="1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2"/>
      <c r="L551" s="2"/>
      <c r="M551" s="3"/>
      <c r="N551" s="1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2"/>
      <c r="L552" s="2"/>
      <c r="M552" s="3"/>
      <c r="N552" s="1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2"/>
      <c r="L553" s="2"/>
      <c r="M553" s="3"/>
      <c r="N553" s="1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2"/>
      <c r="L554" s="2"/>
      <c r="M554" s="3"/>
      <c r="N554" s="1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2"/>
      <c r="L555" s="2"/>
      <c r="M555" s="3"/>
      <c r="N555" s="1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2"/>
      <c r="L556" s="2"/>
      <c r="M556" s="3"/>
      <c r="N556" s="1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2"/>
      <c r="L557" s="2"/>
      <c r="M557" s="3"/>
      <c r="N557" s="1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2"/>
      <c r="L558" s="2"/>
      <c r="M558" s="3"/>
      <c r="N558" s="1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2"/>
      <c r="L559" s="2"/>
      <c r="M559" s="3"/>
      <c r="N559" s="1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2"/>
      <c r="L560" s="2"/>
      <c r="M560" s="3"/>
      <c r="N560" s="1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2"/>
      <c r="L561" s="2"/>
      <c r="M561" s="3"/>
      <c r="N561" s="1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2"/>
      <c r="L562" s="2"/>
      <c r="M562" s="3"/>
      <c r="N562" s="1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2"/>
      <c r="L563" s="2"/>
      <c r="M563" s="3"/>
      <c r="N563" s="1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2"/>
      <c r="L564" s="2"/>
      <c r="M564" s="3"/>
      <c r="N564" s="1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2"/>
      <c r="L565" s="2"/>
      <c r="M565" s="3"/>
      <c r="N565" s="1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2"/>
      <c r="L566" s="2"/>
      <c r="M566" s="3"/>
      <c r="N566" s="1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2"/>
      <c r="L567" s="2"/>
      <c r="M567" s="3"/>
      <c r="N567" s="1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2"/>
      <c r="L568" s="2"/>
      <c r="M568" s="3"/>
      <c r="N568" s="1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2"/>
      <c r="L569" s="2"/>
      <c r="M569" s="3"/>
      <c r="N569" s="1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2"/>
      <c r="L570" s="2"/>
      <c r="M570" s="3"/>
      <c r="N570" s="1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2"/>
      <c r="L571" s="2"/>
      <c r="M571" s="3"/>
      <c r="N571" s="1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2"/>
      <c r="L572" s="2"/>
      <c r="M572" s="3"/>
      <c r="N572" s="1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2"/>
      <c r="L573" s="2"/>
      <c r="M573" s="3"/>
      <c r="N573" s="1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2"/>
      <c r="L574" s="2"/>
      <c r="M574" s="3"/>
      <c r="N574" s="1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2"/>
      <c r="L575" s="2"/>
      <c r="M575" s="3"/>
      <c r="N575" s="1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2"/>
      <c r="L576" s="2"/>
      <c r="M576" s="3"/>
      <c r="N576" s="1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2"/>
      <c r="L577" s="2"/>
      <c r="M577" s="3"/>
      <c r="N577" s="1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2"/>
      <c r="L578" s="2"/>
      <c r="M578" s="3"/>
      <c r="N578" s="1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2"/>
      <c r="L579" s="2"/>
      <c r="M579" s="3"/>
      <c r="N579" s="1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2"/>
      <c r="L580" s="2"/>
      <c r="M580" s="3"/>
      <c r="N580" s="1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2"/>
      <c r="L581" s="2"/>
      <c r="M581" s="3"/>
      <c r="N581" s="1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2"/>
      <c r="L582" s="2"/>
      <c r="M582" s="3"/>
      <c r="N582" s="1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2"/>
      <c r="L583" s="2"/>
      <c r="M583" s="3"/>
      <c r="N583" s="1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2"/>
      <c r="L584" s="2"/>
      <c r="M584" s="3"/>
      <c r="N584" s="1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2"/>
      <c r="L585" s="2"/>
      <c r="M585" s="3"/>
      <c r="N585" s="1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2"/>
      <c r="L586" s="2"/>
      <c r="M586" s="3"/>
      <c r="N586" s="1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2"/>
      <c r="L587" s="2"/>
      <c r="M587" s="3"/>
      <c r="N587" s="1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2"/>
      <c r="L588" s="2"/>
      <c r="M588" s="3"/>
      <c r="N588" s="1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2"/>
      <c r="L589" s="2"/>
      <c r="M589" s="3"/>
      <c r="N589" s="1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2"/>
      <c r="L590" s="2"/>
      <c r="M590" s="3"/>
      <c r="N590" s="1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2"/>
      <c r="L591" s="2"/>
      <c r="M591" s="3"/>
      <c r="N591" s="1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2"/>
      <c r="L592" s="2"/>
      <c r="M592" s="3"/>
      <c r="N592" s="1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2"/>
      <c r="L593" s="2"/>
      <c r="M593" s="3"/>
      <c r="N593" s="1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2"/>
      <c r="L594" s="2"/>
      <c r="M594" s="3"/>
      <c r="N594" s="1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2"/>
      <c r="L595" s="2"/>
      <c r="M595" s="3"/>
      <c r="N595" s="1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2"/>
      <c r="L596" s="2"/>
      <c r="M596" s="3"/>
      <c r="N596" s="1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2"/>
      <c r="L597" s="2"/>
      <c r="M597" s="3"/>
      <c r="N597" s="1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2"/>
      <c r="L598" s="2"/>
      <c r="M598" s="3"/>
      <c r="N598" s="1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2"/>
      <c r="L599" s="2"/>
      <c r="M599" s="3"/>
      <c r="N599" s="1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2"/>
      <c r="L600" s="2"/>
      <c r="M600" s="3"/>
      <c r="N600" s="1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2"/>
      <c r="L601" s="2"/>
      <c r="M601" s="3"/>
      <c r="N601" s="1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2"/>
      <c r="L602" s="2"/>
      <c r="M602" s="3"/>
      <c r="N602" s="1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2"/>
      <c r="L603" s="2"/>
      <c r="M603" s="3"/>
      <c r="N603" s="1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2"/>
      <c r="L604" s="2"/>
      <c r="M604" s="3"/>
      <c r="N604" s="1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2"/>
      <c r="L605" s="2"/>
      <c r="M605" s="3"/>
      <c r="N605" s="1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2"/>
      <c r="L606" s="2"/>
      <c r="M606" s="3"/>
      <c r="N606" s="1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2"/>
      <c r="L607" s="2"/>
      <c r="M607" s="3"/>
      <c r="N607" s="1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2"/>
      <c r="L608" s="2"/>
      <c r="M608" s="3"/>
      <c r="N608" s="1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2"/>
      <c r="L609" s="2"/>
      <c r="M609" s="3"/>
      <c r="N609" s="1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2"/>
      <c r="L610" s="2"/>
      <c r="M610" s="3"/>
      <c r="N610" s="1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2"/>
      <c r="L611" s="2"/>
      <c r="M611" s="3"/>
      <c r="N611" s="1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2"/>
      <c r="L612" s="2"/>
      <c r="M612" s="3"/>
      <c r="N612" s="1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2"/>
      <c r="L613" s="2"/>
      <c r="M613" s="3"/>
      <c r="N613" s="1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2"/>
      <c r="L614" s="2"/>
      <c r="M614" s="3"/>
      <c r="N614" s="1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2"/>
      <c r="L615" s="2"/>
      <c r="M615" s="3"/>
      <c r="N615" s="1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2"/>
      <c r="L616" s="2"/>
      <c r="M616" s="3"/>
      <c r="N616" s="1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2"/>
      <c r="L617" s="2"/>
      <c r="M617" s="3"/>
      <c r="N617" s="1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2"/>
      <c r="L618" s="2"/>
      <c r="M618" s="3"/>
      <c r="N618" s="1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2"/>
      <c r="L619" s="2"/>
      <c r="M619" s="3"/>
      <c r="N619" s="1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2"/>
      <c r="L620" s="2"/>
      <c r="M620" s="3"/>
      <c r="N620" s="1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2"/>
      <c r="L621" s="2"/>
      <c r="M621" s="3"/>
      <c r="N621" s="1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2"/>
      <c r="L622" s="2"/>
      <c r="M622" s="3"/>
      <c r="N622" s="1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2"/>
      <c r="L623" s="2"/>
      <c r="M623" s="3"/>
      <c r="N623" s="1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2"/>
      <c r="L624" s="2"/>
      <c r="M624" s="3"/>
      <c r="N624" s="1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2"/>
      <c r="L625" s="2"/>
      <c r="M625" s="3"/>
      <c r="N625" s="1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2"/>
      <c r="L626" s="2"/>
      <c r="M626" s="3"/>
      <c r="N626" s="1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2"/>
      <c r="L627" s="2"/>
      <c r="M627" s="3"/>
      <c r="N627" s="1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2"/>
      <c r="L628" s="2"/>
      <c r="M628" s="3"/>
      <c r="N628" s="1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2"/>
      <c r="L629" s="2"/>
      <c r="M629" s="3"/>
      <c r="N629" s="1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2"/>
      <c r="L630" s="2"/>
      <c r="M630" s="3"/>
      <c r="N630" s="1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2"/>
      <c r="L631" s="2"/>
      <c r="M631" s="3"/>
      <c r="N631" s="1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2"/>
      <c r="L632" s="2"/>
      <c r="M632" s="3"/>
      <c r="N632" s="1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2"/>
      <c r="L633" s="2"/>
      <c r="M633" s="3"/>
      <c r="N633" s="1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2"/>
      <c r="L634" s="2"/>
      <c r="M634" s="3"/>
      <c r="N634" s="1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2"/>
      <c r="L635" s="2"/>
      <c r="M635" s="3"/>
      <c r="N635" s="1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2"/>
      <c r="L636" s="2"/>
      <c r="M636" s="3"/>
      <c r="N636" s="1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2"/>
      <c r="L637" s="2"/>
      <c r="M637" s="3"/>
      <c r="N637" s="1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2"/>
      <c r="L638" s="2"/>
      <c r="M638" s="3"/>
      <c r="N638" s="1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2"/>
      <c r="L639" s="2"/>
      <c r="M639" s="3"/>
      <c r="N639" s="1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2"/>
      <c r="L640" s="2"/>
      <c r="M640" s="3"/>
      <c r="N640" s="1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2"/>
      <c r="L641" s="2"/>
      <c r="M641" s="3"/>
      <c r="N641" s="1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2"/>
      <c r="L642" s="2"/>
      <c r="M642" s="3"/>
      <c r="N642" s="1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2"/>
      <c r="L643" s="2"/>
      <c r="M643" s="3"/>
      <c r="N643" s="1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2"/>
      <c r="L644" s="2"/>
      <c r="M644" s="3"/>
      <c r="N644" s="1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2"/>
      <c r="L645" s="2"/>
      <c r="M645" s="3"/>
      <c r="N645" s="1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2"/>
      <c r="L646" s="2"/>
      <c r="M646" s="3"/>
      <c r="N646" s="1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2"/>
      <c r="L647" s="2"/>
      <c r="M647" s="3"/>
      <c r="N647" s="1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2"/>
      <c r="L648" s="2"/>
      <c r="M648" s="3"/>
      <c r="N648" s="1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2"/>
      <c r="L649" s="2"/>
      <c r="M649" s="3"/>
      <c r="N649" s="1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2"/>
      <c r="L650" s="2"/>
      <c r="M650" s="3"/>
      <c r="N650" s="1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3"/>
      <c r="N651" s="1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3"/>
      <c r="N652" s="1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3"/>
      <c r="N653" s="1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2"/>
      <c r="L654" s="2"/>
      <c r="M654" s="3"/>
      <c r="N654" s="1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2"/>
      <c r="L655" s="2"/>
      <c r="M655" s="3"/>
      <c r="N655" s="1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2"/>
      <c r="L656" s="2"/>
      <c r="M656" s="3"/>
      <c r="N656" s="1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2"/>
      <c r="L657" s="2"/>
      <c r="M657" s="3"/>
      <c r="N657" s="1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2"/>
      <c r="L658" s="2"/>
      <c r="M658" s="3"/>
      <c r="N658" s="1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2"/>
      <c r="L659" s="2"/>
      <c r="M659" s="3"/>
      <c r="N659" s="1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2"/>
      <c r="L660" s="2"/>
      <c r="M660" s="3"/>
      <c r="N660" s="1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2"/>
      <c r="L661" s="2"/>
      <c r="M661" s="3"/>
      <c r="N661" s="1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2"/>
      <c r="L662" s="2"/>
      <c r="M662" s="3"/>
      <c r="N662" s="1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2"/>
      <c r="L663" s="2"/>
      <c r="M663" s="3"/>
      <c r="N663" s="1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2"/>
      <c r="L664" s="2"/>
      <c r="M664" s="3"/>
      <c r="N664" s="1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2"/>
      <c r="L665" s="2"/>
      <c r="M665" s="3"/>
      <c r="N665" s="1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2"/>
      <c r="L666" s="2"/>
      <c r="M666" s="3"/>
      <c r="N666" s="1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2"/>
      <c r="L667" s="2"/>
      <c r="M667" s="3"/>
      <c r="N667" s="1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2"/>
      <c r="L668" s="2"/>
      <c r="M668" s="3"/>
      <c r="N668" s="1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2"/>
      <c r="L669" s="2"/>
      <c r="M669" s="3"/>
      <c r="N669" s="1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2"/>
      <c r="L670" s="2"/>
      <c r="M670" s="3"/>
      <c r="N670" s="1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2"/>
      <c r="L671" s="2"/>
      <c r="M671" s="3"/>
      <c r="N671" s="1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2"/>
      <c r="L672" s="2"/>
      <c r="M672" s="3"/>
      <c r="N672" s="1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2"/>
      <c r="L673" s="2"/>
      <c r="M673" s="3"/>
      <c r="N673" s="1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2"/>
      <c r="L674" s="2"/>
      <c r="M674" s="3"/>
      <c r="N674" s="1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2"/>
      <c r="L675" s="2"/>
      <c r="M675" s="3"/>
      <c r="N675" s="1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2"/>
      <c r="L676" s="2"/>
      <c r="M676" s="3"/>
      <c r="N676" s="1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2"/>
      <c r="L677" s="2"/>
      <c r="M677" s="3"/>
      <c r="N677" s="1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2"/>
      <c r="L678" s="2"/>
      <c r="M678" s="3"/>
      <c r="N678" s="1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2"/>
      <c r="L679" s="2"/>
      <c r="M679" s="3"/>
      <c r="N679" s="1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2"/>
      <c r="L680" s="2"/>
      <c r="M680" s="3"/>
      <c r="N680" s="1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2"/>
      <c r="L681" s="2"/>
      <c r="M681" s="3"/>
      <c r="N681" s="1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2"/>
      <c r="L682" s="2"/>
      <c r="M682" s="3"/>
      <c r="N682" s="1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2"/>
      <c r="L683" s="2"/>
      <c r="M683" s="3"/>
      <c r="N683" s="1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2"/>
      <c r="L684" s="2"/>
      <c r="M684" s="3"/>
      <c r="N684" s="1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2"/>
      <c r="L685" s="2"/>
      <c r="M685" s="3"/>
      <c r="N685" s="1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2"/>
      <c r="L686" s="2"/>
      <c r="M686" s="3"/>
      <c r="N686" s="1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2"/>
      <c r="L687" s="2"/>
      <c r="M687" s="3"/>
      <c r="N687" s="1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2"/>
      <c r="L688" s="2"/>
      <c r="M688" s="3"/>
      <c r="N688" s="1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2"/>
      <c r="L689" s="2"/>
      <c r="M689" s="3"/>
      <c r="N689" s="1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2"/>
      <c r="L690" s="2"/>
      <c r="M690" s="3"/>
      <c r="N690" s="1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2"/>
      <c r="L691" s="2"/>
      <c r="M691" s="3"/>
      <c r="N691" s="1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2"/>
      <c r="L692" s="2"/>
      <c r="M692" s="3"/>
      <c r="N692" s="1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2"/>
      <c r="L693" s="2"/>
      <c r="M693" s="3"/>
      <c r="N693" s="1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2"/>
      <c r="L694" s="2"/>
      <c r="M694" s="3"/>
      <c r="N694" s="1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2"/>
      <c r="L695" s="2"/>
      <c r="M695" s="3"/>
      <c r="N695" s="1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2"/>
      <c r="L696" s="2"/>
      <c r="M696" s="3"/>
      <c r="N696" s="1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2"/>
      <c r="L697" s="2"/>
      <c r="M697" s="3"/>
      <c r="N697" s="1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2"/>
      <c r="L698" s="2"/>
      <c r="M698" s="3"/>
      <c r="N698" s="1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2"/>
      <c r="L699" s="2"/>
      <c r="M699" s="3"/>
      <c r="N699" s="1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2"/>
      <c r="L700" s="2"/>
      <c r="M700" s="3"/>
      <c r="N700" s="1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2"/>
      <c r="L701" s="2"/>
      <c r="M701" s="3"/>
      <c r="N701" s="1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2"/>
      <c r="L702" s="2"/>
      <c r="M702" s="3"/>
      <c r="N702" s="1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2"/>
      <c r="L703" s="2"/>
      <c r="M703" s="3"/>
      <c r="N703" s="1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2"/>
      <c r="L704" s="2"/>
      <c r="M704" s="3"/>
      <c r="N704" s="1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2"/>
      <c r="L705" s="2"/>
      <c r="M705" s="3"/>
      <c r="N705" s="1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2"/>
      <c r="L706" s="2"/>
      <c r="M706" s="3"/>
      <c r="N706" s="1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2"/>
      <c r="L707" s="2"/>
      <c r="M707" s="3"/>
      <c r="N707" s="1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2"/>
      <c r="L708" s="2"/>
      <c r="M708" s="3"/>
      <c r="N708" s="1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2"/>
      <c r="L709" s="2"/>
      <c r="M709" s="3"/>
      <c r="N709" s="1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2"/>
      <c r="L710" s="2"/>
      <c r="M710" s="3"/>
      <c r="N710" s="1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2"/>
      <c r="L711" s="2"/>
      <c r="M711" s="3"/>
      <c r="N711" s="1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2"/>
      <c r="L712" s="2"/>
      <c r="M712" s="3"/>
      <c r="N712" s="1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2"/>
      <c r="L713" s="2"/>
      <c r="M713" s="3"/>
      <c r="N713" s="1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2"/>
      <c r="L714" s="2"/>
      <c r="M714" s="3"/>
      <c r="N714" s="1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2"/>
      <c r="L715" s="2"/>
      <c r="M715" s="3"/>
      <c r="N715" s="1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2"/>
      <c r="L716" s="2"/>
      <c r="M716" s="3"/>
      <c r="N716" s="1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2"/>
      <c r="L717" s="2"/>
      <c r="M717" s="3"/>
      <c r="N717" s="1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2"/>
      <c r="L718" s="2"/>
      <c r="M718" s="3"/>
      <c r="N718" s="1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2"/>
      <c r="L719" s="2"/>
      <c r="M719" s="3"/>
      <c r="N719" s="1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2"/>
      <c r="L720" s="2"/>
      <c r="M720" s="3"/>
      <c r="N720" s="1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2"/>
      <c r="L721" s="2"/>
      <c r="M721" s="3"/>
      <c r="N721" s="1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2"/>
      <c r="L722" s="2"/>
      <c r="M722" s="3"/>
      <c r="N722" s="1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2"/>
      <c r="L723" s="2"/>
      <c r="M723" s="3"/>
      <c r="N723" s="1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2"/>
      <c r="L724" s="2"/>
      <c r="M724" s="3"/>
      <c r="N724" s="1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2"/>
      <c r="L725" s="2"/>
      <c r="M725" s="3"/>
      <c r="N725" s="1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2"/>
      <c r="L726" s="2"/>
      <c r="M726" s="3"/>
      <c r="N726" s="1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2"/>
      <c r="L727" s="2"/>
      <c r="M727" s="3"/>
      <c r="N727" s="1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2"/>
      <c r="L728" s="2"/>
      <c r="M728" s="3"/>
      <c r="N728" s="1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2"/>
      <c r="L729" s="2"/>
      <c r="M729" s="3"/>
      <c r="N729" s="1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2"/>
      <c r="L730" s="2"/>
      <c r="M730" s="3"/>
      <c r="N730" s="1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2"/>
      <c r="L731" s="2"/>
      <c r="M731" s="3"/>
      <c r="N731" s="1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2"/>
      <c r="L732" s="2"/>
      <c r="M732" s="3"/>
      <c r="N732" s="1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2"/>
      <c r="L733" s="2"/>
      <c r="M733" s="3"/>
      <c r="N733" s="1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2"/>
      <c r="L734" s="2"/>
      <c r="M734" s="3"/>
      <c r="N734" s="1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2"/>
      <c r="L735" s="2"/>
      <c r="M735" s="3"/>
      <c r="N735" s="1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2"/>
      <c r="L736" s="2"/>
      <c r="M736" s="3"/>
      <c r="N736" s="1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2"/>
      <c r="L737" s="2"/>
      <c r="M737" s="3"/>
      <c r="N737" s="1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2"/>
      <c r="L738" s="2"/>
      <c r="M738" s="3"/>
      <c r="N738" s="1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2"/>
      <c r="L739" s="2"/>
      <c r="M739" s="3"/>
      <c r="N739" s="1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2"/>
      <c r="L740" s="2"/>
      <c r="M740" s="3"/>
      <c r="N740" s="1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2"/>
      <c r="L741" s="2"/>
      <c r="M741" s="3"/>
      <c r="N741" s="1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2"/>
      <c r="L742" s="2"/>
      <c r="M742" s="3"/>
      <c r="N742" s="1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2"/>
      <c r="L743" s="2"/>
      <c r="M743" s="3"/>
      <c r="N743" s="1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2"/>
      <c r="L744" s="2"/>
      <c r="M744" s="3"/>
      <c r="N744" s="1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2"/>
      <c r="L745" s="2"/>
      <c r="M745" s="3"/>
      <c r="N745" s="1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2"/>
      <c r="L746" s="2"/>
      <c r="M746" s="3"/>
      <c r="N746" s="1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2"/>
      <c r="L747" s="2"/>
      <c r="M747" s="3"/>
      <c r="N747" s="1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2"/>
      <c r="L748" s="2"/>
      <c r="M748" s="3"/>
      <c r="N748" s="1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2"/>
      <c r="L749" s="2"/>
      <c r="M749" s="3"/>
      <c r="N749" s="1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2"/>
      <c r="L750" s="2"/>
      <c r="M750" s="3"/>
      <c r="N750" s="1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2"/>
      <c r="L751" s="2"/>
      <c r="M751" s="3"/>
      <c r="N751" s="1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2"/>
      <c r="L752" s="2"/>
      <c r="M752" s="3"/>
      <c r="N752" s="1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2"/>
      <c r="L753" s="2"/>
      <c r="M753" s="3"/>
      <c r="N753" s="1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2"/>
      <c r="L754" s="2"/>
      <c r="M754" s="3"/>
      <c r="N754" s="1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2"/>
      <c r="L755" s="2"/>
      <c r="M755" s="3"/>
      <c r="N755" s="1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2"/>
      <c r="L756" s="2"/>
      <c r="M756" s="3"/>
      <c r="N756" s="1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2"/>
      <c r="L757" s="2"/>
      <c r="M757" s="3"/>
      <c r="N757" s="1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2"/>
      <c r="L758" s="2"/>
      <c r="M758" s="3"/>
      <c r="N758" s="1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2"/>
      <c r="L759" s="2"/>
      <c r="M759" s="3"/>
      <c r="N759" s="1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2"/>
      <c r="L760" s="2"/>
      <c r="M760" s="3"/>
      <c r="N760" s="1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2"/>
      <c r="L761" s="2"/>
      <c r="M761" s="3"/>
      <c r="N761" s="1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2"/>
      <c r="L762" s="2"/>
      <c r="M762" s="3"/>
      <c r="N762" s="1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2"/>
      <c r="L763" s="2"/>
      <c r="M763" s="3"/>
      <c r="N763" s="1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2"/>
      <c r="L764" s="2"/>
      <c r="M764" s="3"/>
      <c r="N764" s="1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2"/>
      <c r="L765" s="2"/>
      <c r="M765" s="3"/>
      <c r="N765" s="1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2"/>
      <c r="L766" s="2"/>
      <c r="M766" s="3"/>
      <c r="N766" s="1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2"/>
      <c r="L767" s="2"/>
      <c r="M767" s="3"/>
      <c r="N767" s="1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2"/>
      <c r="L768" s="2"/>
      <c r="M768" s="3"/>
      <c r="N768" s="1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2"/>
      <c r="L769" s="2"/>
      <c r="M769" s="3"/>
      <c r="N769" s="1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2"/>
      <c r="L770" s="2"/>
      <c r="M770" s="3"/>
      <c r="N770" s="1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2"/>
      <c r="L771" s="2"/>
      <c r="M771" s="3"/>
      <c r="N771" s="1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2"/>
      <c r="L772" s="2"/>
      <c r="M772" s="3"/>
      <c r="N772" s="1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2"/>
      <c r="L773" s="2"/>
      <c r="M773" s="3"/>
      <c r="N773" s="1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2"/>
      <c r="L774" s="2"/>
      <c r="M774" s="3"/>
      <c r="N774" s="1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2"/>
      <c r="L775" s="2"/>
      <c r="M775" s="3"/>
      <c r="N775" s="1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2"/>
      <c r="L776" s="2"/>
      <c r="M776" s="3"/>
      <c r="N776" s="1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2"/>
      <c r="L777" s="2"/>
      <c r="M777" s="3"/>
      <c r="N777" s="1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2"/>
      <c r="L778" s="2"/>
      <c r="M778" s="3"/>
      <c r="N778" s="1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2"/>
      <c r="L779" s="2"/>
      <c r="M779" s="3"/>
      <c r="N779" s="1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2"/>
      <c r="L780" s="2"/>
      <c r="M780" s="3"/>
      <c r="N780" s="1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2"/>
      <c r="L781" s="2"/>
      <c r="M781" s="3"/>
      <c r="N781" s="1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2"/>
      <c r="L782" s="2"/>
      <c r="M782" s="3"/>
      <c r="N782" s="1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2"/>
      <c r="L783" s="2"/>
      <c r="M783" s="3"/>
      <c r="N783" s="1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2"/>
      <c r="L784" s="2"/>
      <c r="M784" s="3"/>
      <c r="N784" s="1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2"/>
      <c r="L785" s="2"/>
      <c r="M785" s="3"/>
      <c r="N785" s="1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2"/>
      <c r="L786" s="2"/>
      <c r="M786" s="3"/>
      <c r="N786" s="1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2"/>
      <c r="L787" s="2"/>
      <c r="M787" s="3"/>
      <c r="N787" s="1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2"/>
      <c r="L788" s="2"/>
      <c r="M788" s="3"/>
      <c r="N788" s="1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2"/>
      <c r="L789" s="2"/>
      <c r="M789" s="3"/>
      <c r="N789" s="1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2"/>
      <c r="L790" s="2"/>
      <c r="M790" s="3"/>
      <c r="N790" s="1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2"/>
      <c r="L791" s="2"/>
      <c r="M791" s="3"/>
      <c r="N791" s="1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2"/>
      <c r="L792" s="2"/>
      <c r="M792" s="3"/>
      <c r="N792" s="1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2"/>
      <c r="L793" s="2"/>
      <c r="M793" s="3"/>
      <c r="N793" s="1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2"/>
      <c r="L794" s="2"/>
      <c r="M794" s="3"/>
      <c r="N794" s="1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2"/>
      <c r="L795" s="2"/>
      <c r="M795" s="3"/>
      <c r="N795" s="1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2"/>
      <c r="L796" s="2"/>
      <c r="M796" s="3"/>
      <c r="N796" s="1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2"/>
      <c r="L797" s="2"/>
      <c r="M797" s="3"/>
      <c r="N797" s="1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2"/>
      <c r="L798" s="2"/>
      <c r="M798" s="3"/>
      <c r="N798" s="1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2"/>
      <c r="L799" s="2"/>
      <c r="M799" s="3"/>
      <c r="N799" s="1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2"/>
      <c r="L800" s="2"/>
      <c r="M800" s="3"/>
      <c r="N800" s="1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2"/>
      <c r="L801" s="2"/>
      <c r="M801" s="3"/>
      <c r="N801" s="1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2"/>
      <c r="L802" s="2"/>
      <c r="M802" s="3"/>
      <c r="N802" s="1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2"/>
      <c r="L803" s="2"/>
      <c r="M803" s="3"/>
      <c r="N803" s="1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2"/>
      <c r="L804" s="2"/>
      <c r="M804" s="3"/>
      <c r="N804" s="1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2"/>
      <c r="L805" s="2"/>
      <c r="M805" s="3"/>
      <c r="N805" s="1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2"/>
      <c r="L806" s="2"/>
      <c r="M806" s="3"/>
      <c r="N806" s="1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2"/>
      <c r="L807" s="2"/>
      <c r="M807" s="3"/>
      <c r="N807" s="1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2"/>
      <c r="L808" s="2"/>
      <c r="M808" s="3"/>
      <c r="N808" s="1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2"/>
      <c r="L809" s="2"/>
      <c r="M809" s="3"/>
      <c r="N809" s="1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2"/>
      <c r="L810" s="2"/>
      <c r="M810" s="3"/>
      <c r="N810" s="1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2"/>
      <c r="L811" s="2"/>
      <c r="M811" s="3"/>
      <c r="N811" s="1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2"/>
      <c r="L812" s="2"/>
      <c r="M812" s="3"/>
      <c r="N812" s="1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2"/>
      <c r="L813" s="2"/>
      <c r="M813" s="3"/>
      <c r="N813" s="1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2"/>
      <c r="L814" s="2"/>
      <c r="M814" s="3"/>
      <c r="N814" s="1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2"/>
      <c r="L815" s="2"/>
      <c r="M815" s="3"/>
      <c r="N815" s="1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2"/>
      <c r="L816" s="2"/>
      <c r="M816" s="3"/>
      <c r="N816" s="1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2"/>
      <c r="L817" s="2"/>
      <c r="M817" s="3"/>
      <c r="N817" s="1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2"/>
      <c r="L818" s="2"/>
      <c r="M818" s="3"/>
      <c r="N818" s="1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2"/>
      <c r="L819" s="2"/>
      <c r="M819" s="3"/>
      <c r="N819" s="1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2"/>
      <c r="L820" s="2"/>
      <c r="M820" s="3"/>
      <c r="N820" s="1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2"/>
      <c r="L821" s="2"/>
      <c r="M821" s="3"/>
      <c r="N821" s="1"/>
      <c r="O821" s="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2"/>
      <c r="L822" s="2"/>
      <c r="M822" s="3"/>
      <c r="N822" s="1"/>
      <c r="O822" s="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2"/>
      <c r="L823" s="2"/>
      <c r="M823" s="3"/>
      <c r="N823" s="1"/>
      <c r="O823" s="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2"/>
      <c r="L824" s="2"/>
      <c r="M824" s="3"/>
      <c r="N824" s="1"/>
      <c r="O824" s="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2"/>
      <c r="L825" s="2"/>
      <c r="M825" s="3"/>
      <c r="N825" s="1"/>
      <c r="O825" s="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2"/>
      <c r="L826" s="2"/>
      <c r="M826" s="3"/>
      <c r="N826" s="1"/>
      <c r="O826" s="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2"/>
      <c r="L827" s="2"/>
      <c r="M827" s="3"/>
      <c r="N827" s="1"/>
      <c r="O827" s="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2"/>
      <c r="L828" s="2"/>
      <c r="M828" s="3"/>
      <c r="N828" s="1"/>
      <c r="O828" s="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2"/>
      <c r="L829" s="2"/>
      <c r="M829" s="3"/>
      <c r="N829" s="1"/>
      <c r="O829" s="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2"/>
      <c r="L830" s="2"/>
      <c r="M830" s="3"/>
      <c r="N830" s="1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2"/>
      <c r="L831" s="2"/>
      <c r="M831" s="3"/>
      <c r="N831" s="1"/>
      <c r="O831" s="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2"/>
      <c r="L832" s="2"/>
      <c r="M832" s="3"/>
      <c r="N832" s="1"/>
      <c r="O832" s="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2"/>
      <c r="L833" s="2"/>
      <c r="M833" s="3"/>
      <c r="N833" s="1"/>
      <c r="O833" s="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2"/>
      <c r="L834" s="2"/>
      <c r="M834" s="3"/>
      <c r="N834" s="1"/>
      <c r="O834" s="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2"/>
      <c r="L835" s="2"/>
      <c r="M835" s="3"/>
      <c r="N835" s="1"/>
      <c r="O835" s="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2"/>
      <c r="L836" s="2"/>
      <c r="M836" s="3"/>
      <c r="N836" s="1"/>
      <c r="O836" s="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2"/>
      <c r="L837" s="2"/>
      <c r="M837" s="3"/>
      <c r="N837" s="1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2"/>
      <c r="L838" s="2"/>
      <c r="M838" s="3"/>
      <c r="N838" s="1"/>
      <c r="O838" s="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2"/>
      <c r="L839" s="2"/>
      <c r="M839" s="3"/>
      <c r="N839" s="1"/>
      <c r="O839" s="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2"/>
      <c r="L840" s="2"/>
      <c r="M840" s="3"/>
      <c r="N840" s="1"/>
      <c r="O840" s="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2"/>
      <c r="L841" s="2"/>
      <c r="M841" s="3"/>
      <c r="N841" s="1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2"/>
      <c r="L842" s="2"/>
      <c r="M842" s="3"/>
      <c r="N842" s="1"/>
      <c r="O842" s="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2"/>
      <c r="L843" s="2"/>
      <c r="M843" s="3"/>
      <c r="N843" s="1"/>
      <c r="O843" s="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2"/>
      <c r="L844" s="2"/>
      <c r="M844" s="3"/>
      <c r="N844" s="1"/>
      <c r="O844" s="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2"/>
      <c r="L845" s="2"/>
      <c r="M845" s="3"/>
      <c r="N845" s="1"/>
      <c r="O845" s="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2"/>
      <c r="L846" s="2"/>
      <c r="M846" s="3"/>
      <c r="N846" s="1"/>
      <c r="O846" s="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2"/>
      <c r="L847" s="2"/>
      <c r="M847" s="3"/>
      <c r="N847" s="1"/>
      <c r="O847" s="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2"/>
      <c r="L848" s="2"/>
      <c r="M848" s="3"/>
      <c r="N848" s="1"/>
      <c r="O848" s="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2"/>
      <c r="L849" s="2"/>
      <c r="M849" s="3"/>
      <c r="N849" s="1"/>
      <c r="O849" s="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2"/>
      <c r="L850" s="2"/>
      <c r="M850" s="3"/>
      <c r="N850" s="1"/>
      <c r="O850" s="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2"/>
      <c r="L851" s="2"/>
      <c r="M851" s="3"/>
      <c r="N851" s="1"/>
      <c r="O851" s="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2"/>
      <c r="L852" s="2"/>
      <c r="M852" s="3"/>
      <c r="N852" s="1"/>
      <c r="O852" s="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2"/>
      <c r="L853" s="2"/>
      <c r="M853" s="3"/>
      <c r="N853" s="1"/>
      <c r="O853" s="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2"/>
      <c r="L854" s="2"/>
      <c r="M854" s="3"/>
      <c r="N854" s="1"/>
      <c r="O854" s="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2"/>
      <c r="L855" s="2"/>
      <c r="M855" s="3"/>
      <c r="N855" s="1"/>
      <c r="O855" s="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2"/>
      <c r="L856" s="2"/>
      <c r="M856" s="3"/>
      <c r="N856" s="1"/>
      <c r="O856" s="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2"/>
      <c r="L857" s="2"/>
      <c r="M857" s="3"/>
      <c r="N857" s="1"/>
      <c r="O857" s="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2"/>
      <c r="L858" s="2"/>
      <c r="M858" s="3"/>
      <c r="N858" s="1"/>
      <c r="O858" s="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2"/>
      <c r="L859" s="2"/>
      <c r="M859" s="3"/>
      <c r="N859" s="1"/>
      <c r="O859" s="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2"/>
      <c r="L860" s="2"/>
      <c r="M860" s="3"/>
      <c r="N860" s="1"/>
      <c r="O860" s="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2"/>
      <c r="L861" s="2"/>
      <c r="M861" s="3"/>
      <c r="N861" s="1"/>
      <c r="O861" s="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2"/>
      <c r="L862" s="2"/>
      <c r="M862" s="3"/>
      <c r="N862" s="1"/>
      <c r="O862" s="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2"/>
      <c r="L863" s="2"/>
      <c r="M863" s="3"/>
      <c r="N863" s="1"/>
      <c r="O863" s="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2"/>
      <c r="L864" s="2"/>
      <c r="M864" s="3"/>
      <c r="N864" s="1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2"/>
      <c r="L865" s="2"/>
      <c r="M865" s="3"/>
      <c r="N865" s="1"/>
      <c r="O865" s="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2"/>
      <c r="L866" s="2"/>
      <c r="M866" s="3"/>
      <c r="N866" s="1"/>
      <c r="O866" s="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2"/>
      <c r="L867" s="2"/>
      <c r="M867" s="3"/>
      <c r="N867" s="1"/>
      <c r="O867" s="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2"/>
      <c r="L868" s="2"/>
      <c r="M868" s="3"/>
      <c r="N868" s="1"/>
      <c r="O868" s="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2"/>
      <c r="L869" s="2"/>
      <c r="M869" s="3"/>
      <c r="N869" s="1"/>
      <c r="O869" s="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2"/>
      <c r="L870" s="2"/>
      <c r="M870" s="3"/>
      <c r="N870" s="1"/>
      <c r="O870" s="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2"/>
      <c r="L871" s="2"/>
      <c r="M871" s="3"/>
      <c r="N871" s="1"/>
      <c r="O871" s="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2"/>
      <c r="L872" s="2"/>
      <c r="M872" s="3"/>
      <c r="N872" s="1"/>
      <c r="O872" s="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2"/>
      <c r="L873" s="2"/>
      <c r="M873" s="3"/>
      <c r="N873" s="1"/>
      <c r="O873" s="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2"/>
      <c r="L874" s="2"/>
      <c r="M874" s="3"/>
      <c r="N874" s="1"/>
      <c r="O874" s="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2"/>
      <c r="L875" s="2"/>
      <c r="M875" s="3"/>
      <c r="N875" s="1"/>
      <c r="O875" s="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2"/>
      <c r="L876" s="2"/>
      <c r="M876" s="3"/>
      <c r="N876" s="1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2"/>
      <c r="L877" s="2"/>
      <c r="M877" s="3"/>
      <c r="N877" s="1"/>
      <c r="O877" s="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2"/>
      <c r="L878" s="2"/>
      <c r="M878" s="3"/>
      <c r="N878" s="1"/>
      <c r="O878" s="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2"/>
      <c r="L879" s="2"/>
      <c r="M879" s="3"/>
      <c r="N879" s="1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2"/>
      <c r="L880" s="2"/>
      <c r="M880" s="3"/>
      <c r="N880" s="1"/>
      <c r="O880" s="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2"/>
      <c r="L881" s="2"/>
      <c r="M881" s="3"/>
      <c r="N881" s="1"/>
      <c r="O881" s="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2"/>
      <c r="L882" s="2"/>
      <c r="M882" s="3"/>
      <c r="N882" s="1"/>
      <c r="O882" s="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2"/>
      <c r="L883" s="2"/>
      <c r="M883" s="3"/>
      <c r="N883" s="1"/>
      <c r="O883" s="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2"/>
      <c r="L884" s="2"/>
      <c r="M884" s="3"/>
      <c r="N884" s="1"/>
      <c r="O884" s="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2"/>
      <c r="L885" s="2"/>
      <c r="M885" s="3"/>
      <c r="N885" s="1"/>
      <c r="O885" s="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2"/>
      <c r="L886" s="2"/>
      <c r="M886" s="3"/>
      <c r="N886" s="1"/>
      <c r="O886" s="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2"/>
      <c r="L887" s="2"/>
      <c r="M887" s="3"/>
      <c r="N887" s="1"/>
      <c r="O887" s="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2"/>
      <c r="L888" s="2"/>
      <c r="M888" s="3"/>
      <c r="N888" s="1"/>
      <c r="O888" s="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2"/>
      <c r="L889" s="2"/>
      <c r="M889" s="3"/>
      <c r="N889" s="1"/>
      <c r="O889" s="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2"/>
      <c r="L890" s="2"/>
      <c r="M890" s="3"/>
      <c r="N890" s="1"/>
      <c r="O890" s="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2"/>
      <c r="L891" s="2"/>
      <c r="M891" s="3"/>
      <c r="N891" s="1"/>
      <c r="O891" s="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2"/>
      <c r="L892" s="2"/>
      <c r="M892" s="3"/>
      <c r="N892" s="1"/>
      <c r="O892" s="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2"/>
      <c r="L893" s="2"/>
      <c r="M893" s="3"/>
      <c r="N893" s="1"/>
      <c r="O893" s="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2"/>
      <c r="L894" s="2"/>
      <c r="M894" s="3"/>
      <c r="N894" s="1"/>
      <c r="O894" s="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2"/>
      <c r="L895" s="2"/>
      <c r="M895" s="3"/>
      <c r="N895" s="1"/>
      <c r="O895" s="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2"/>
      <c r="L896" s="2"/>
      <c r="M896" s="3"/>
      <c r="N896" s="1"/>
      <c r="O896" s="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2"/>
      <c r="L897" s="2"/>
      <c r="M897" s="3"/>
      <c r="N897" s="1"/>
      <c r="O897" s="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2"/>
      <c r="L898" s="2"/>
      <c r="M898" s="3"/>
      <c r="N898" s="1"/>
      <c r="O898" s="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2"/>
      <c r="L899" s="2"/>
      <c r="M899" s="3"/>
      <c r="N899" s="1"/>
      <c r="O899" s="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2"/>
      <c r="L900" s="2"/>
      <c r="M900" s="3"/>
      <c r="N900" s="1"/>
      <c r="O900" s="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2"/>
      <c r="L901" s="2"/>
      <c r="M901" s="3"/>
      <c r="N901" s="1"/>
      <c r="O901" s="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2"/>
      <c r="L902" s="2"/>
      <c r="M902" s="3"/>
      <c r="N902" s="1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2"/>
      <c r="L903" s="2"/>
      <c r="M903" s="3"/>
      <c r="N903" s="1"/>
      <c r="O903" s="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2"/>
      <c r="L904" s="2"/>
      <c r="M904" s="3"/>
      <c r="N904" s="1"/>
      <c r="O904" s="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2"/>
      <c r="L905" s="2"/>
      <c r="M905" s="3"/>
      <c r="N905" s="1"/>
      <c r="O905" s="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2"/>
      <c r="L906" s="2"/>
      <c r="M906" s="3"/>
      <c r="N906" s="1"/>
      <c r="O906" s="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2"/>
      <c r="L907" s="2"/>
      <c r="M907" s="3"/>
      <c r="N907" s="1"/>
      <c r="O907" s="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2"/>
      <c r="L908" s="2"/>
      <c r="M908" s="3"/>
      <c r="N908" s="1"/>
      <c r="O908" s="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2"/>
      <c r="L909" s="2"/>
      <c r="M909" s="3"/>
      <c r="N909" s="1"/>
      <c r="O909" s="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2"/>
      <c r="L910" s="2"/>
      <c r="M910" s="3"/>
      <c r="N910" s="1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2"/>
      <c r="L911" s="2"/>
      <c r="M911" s="3"/>
      <c r="N911" s="1"/>
      <c r="O911" s="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2"/>
      <c r="L912" s="2"/>
      <c r="M912" s="3"/>
      <c r="N912" s="1"/>
      <c r="O912" s="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2"/>
      <c r="L913" s="2"/>
      <c r="M913" s="3"/>
      <c r="N913" s="1"/>
      <c r="O913" s="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2"/>
      <c r="L914" s="2"/>
      <c r="M914" s="3"/>
      <c r="N914" s="1"/>
      <c r="O914" s="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2"/>
      <c r="L915" s="2"/>
      <c r="M915" s="3"/>
      <c r="N915" s="1"/>
      <c r="O915" s="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2"/>
      <c r="L916" s="2"/>
      <c r="M916" s="3"/>
      <c r="N916" s="1"/>
      <c r="O916" s="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2"/>
      <c r="L917" s="2"/>
      <c r="M917" s="3"/>
      <c r="N917" s="1"/>
      <c r="O917" s="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2"/>
      <c r="L918" s="2"/>
      <c r="M918" s="3"/>
      <c r="N918" s="1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2"/>
      <c r="L919" s="2"/>
      <c r="M919" s="3"/>
      <c r="N919" s="1"/>
      <c r="O919" s="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2"/>
      <c r="L920" s="2"/>
      <c r="M920" s="3"/>
      <c r="N920" s="1"/>
      <c r="O920" s="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2"/>
      <c r="L921" s="2"/>
      <c r="M921" s="3"/>
      <c r="N921" s="1"/>
      <c r="O921" s="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2"/>
      <c r="L922" s="2"/>
      <c r="M922" s="3"/>
      <c r="N922" s="1"/>
      <c r="O922" s="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2"/>
      <c r="L923" s="2"/>
      <c r="M923" s="3"/>
      <c r="N923" s="1"/>
      <c r="O923" s="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2"/>
      <c r="L924" s="2"/>
      <c r="M924" s="3"/>
      <c r="N924" s="1"/>
      <c r="O924" s="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2"/>
      <c r="L925" s="2"/>
      <c r="M925" s="3"/>
      <c r="N925" s="1"/>
      <c r="O925" s="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2"/>
      <c r="L926" s="2"/>
      <c r="M926" s="3"/>
      <c r="N926" s="1"/>
      <c r="O926" s="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2"/>
      <c r="L927" s="2"/>
      <c r="M927" s="3"/>
      <c r="N927" s="1"/>
      <c r="O927" s="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2"/>
      <c r="L928" s="2"/>
      <c r="M928" s="3"/>
      <c r="N928" s="1"/>
      <c r="O928" s="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2"/>
      <c r="L929" s="2"/>
      <c r="M929" s="3"/>
      <c r="N929" s="1"/>
      <c r="O929" s="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2"/>
      <c r="L930" s="2"/>
      <c r="M930" s="3"/>
      <c r="N930" s="1"/>
      <c r="O930" s="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2"/>
      <c r="L931" s="2"/>
      <c r="M931" s="3"/>
      <c r="N931" s="1"/>
      <c r="O931" s="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2"/>
      <c r="L932" s="2"/>
      <c r="M932" s="3"/>
      <c r="N932" s="1"/>
      <c r="O932" s="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2"/>
      <c r="L933" s="2"/>
      <c r="M933" s="3"/>
      <c r="N933" s="1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2"/>
      <c r="L934" s="2"/>
      <c r="M934" s="3"/>
      <c r="N934" s="1"/>
      <c r="O934" s="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2"/>
      <c r="L935" s="2"/>
      <c r="M935" s="3"/>
      <c r="N935" s="1"/>
      <c r="O935" s="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2"/>
      <c r="L936" s="2"/>
      <c r="M936" s="3"/>
      <c r="N936" s="1"/>
      <c r="O936" s="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2"/>
      <c r="L937" s="2"/>
      <c r="M937" s="3"/>
      <c r="N937" s="1"/>
      <c r="O937" s="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2"/>
      <c r="L938" s="2"/>
      <c r="M938" s="3"/>
      <c r="N938" s="1"/>
      <c r="O938" s="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2"/>
      <c r="L939" s="2"/>
      <c r="M939" s="3"/>
      <c r="N939" s="1"/>
      <c r="O939" s="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2"/>
      <c r="L940" s="2"/>
      <c r="M940" s="3"/>
      <c r="N940" s="1"/>
      <c r="O940" s="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2"/>
      <c r="L941" s="2"/>
      <c r="M941" s="3"/>
      <c r="N941" s="1"/>
      <c r="O941" s="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2"/>
      <c r="L942" s="2"/>
      <c r="M942" s="3"/>
      <c r="N942" s="1"/>
      <c r="O942" s="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2"/>
      <c r="L943" s="2"/>
      <c r="M943" s="3"/>
      <c r="N943" s="1"/>
      <c r="O943" s="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2"/>
      <c r="L944" s="2"/>
      <c r="M944" s="3"/>
      <c r="N944" s="1"/>
      <c r="O944" s="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2"/>
      <c r="L945" s="2"/>
      <c r="M945" s="3"/>
      <c r="N945" s="1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2"/>
      <c r="L946" s="2"/>
      <c r="M946" s="3"/>
      <c r="N946" s="1"/>
      <c r="O946" s="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2"/>
      <c r="L947" s="2"/>
      <c r="M947" s="3"/>
      <c r="N947" s="1"/>
      <c r="O947" s="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2"/>
      <c r="L948" s="2"/>
      <c r="M948" s="3"/>
      <c r="N948" s="1"/>
      <c r="O948" s="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2"/>
      <c r="L949" s="2"/>
      <c r="M949" s="3"/>
      <c r="N949" s="1"/>
      <c r="O949" s="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2"/>
      <c r="L950" s="2"/>
      <c r="M950" s="3"/>
      <c r="N950" s="1"/>
      <c r="O950" s="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2"/>
      <c r="L951" s="2"/>
      <c r="M951" s="3"/>
      <c r="N951" s="1"/>
      <c r="O951" s="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2"/>
      <c r="L952" s="2"/>
      <c r="M952" s="3"/>
      <c r="N952" s="1"/>
      <c r="O952" s="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2"/>
      <c r="L953" s="2"/>
      <c r="M953" s="3"/>
      <c r="N953" s="1"/>
      <c r="O953" s="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2"/>
      <c r="L954" s="2"/>
      <c r="M954" s="3"/>
      <c r="N954" s="1"/>
      <c r="O954" s="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2"/>
      <c r="L955" s="2"/>
      <c r="M955" s="3"/>
      <c r="N955" s="1"/>
      <c r="O955" s="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2"/>
      <c r="L956" s="2"/>
      <c r="M956" s="3"/>
      <c r="N956" s="1"/>
      <c r="O956" s="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2"/>
      <c r="L957" s="2"/>
      <c r="M957" s="3"/>
      <c r="N957" s="1"/>
      <c r="O957" s="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2"/>
      <c r="L958" s="2"/>
      <c r="M958" s="3"/>
      <c r="N958" s="1"/>
      <c r="O958" s="4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2"/>
      <c r="L959" s="2"/>
      <c r="M959" s="3"/>
      <c r="N959" s="1"/>
      <c r="O959" s="4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2"/>
      <c r="L960" s="2"/>
      <c r="M960" s="3"/>
      <c r="N960" s="1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2"/>
      <c r="L961" s="2"/>
      <c r="M961" s="3"/>
      <c r="N961" s="1"/>
      <c r="O961" s="4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2"/>
      <c r="L962" s="2"/>
      <c r="M962" s="3"/>
      <c r="N962" s="1"/>
      <c r="O962" s="4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2"/>
      <c r="L963" s="2"/>
      <c r="M963" s="3"/>
      <c r="N963" s="1"/>
      <c r="O963" s="4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2"/>
      <c r="L964" s="2"/>
      <c r="M964" s="3"/>
      <c r="N964" s="1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2"/>
      <c r="L965" s="2"/>
      <c r="M965" s="3"/>
      <c r="N965" s="1"/>
      <c r="O965" s="4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2"/>
      <c r="L966" s="2"/>
      <c r="M966" s="3"/>
      <c r="N966" s="1"/>
      <c r="O966" s="4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2"/>
      <c r="L967" s="2"/>
      <c r="M967" s="3"/>
      <c r="N967" s="1"/>
      <c r="O967" s="4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2"/>
      <c r="L968" s="2"/>
      <c r="M968" s="3"/>
      <c r="N968" s="1"/>
      <c r="O968" s="4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2"/>
      <c r="L969" s="2"/>
      <c r="M969" s="3"/>
      <c r="N969" s="1"/>
      <c r="O969" s="4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2"/>
      <c r="L970" s="2"/>
      <c r="M970" s="3"/>
      <c r="N970" s="1"/>
      <c r="O970" s="4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2"/>
      <c r="L971" s="2"/>
      <c r="M971" s="3"/>
      <c r="N971" s="1"/>
      <c r="O971" s="4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2"/>
      <c r="L972" s="2"/>
      <c r="M972" s="3"/>
      <c r="N972" s="1"/>
      <c r="O972" s="4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2"/>
      <c r="L973" s="2"/>
      <c r="M973" s="3"/>
      <c r="N973" s="1"/>
      <c r="O973" s="4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2"/>
      <c r="L974" s="2"/>
      <c r="M974" s="3"/>
      <c r="N974" s="1"/>
      <c r="O974" s="4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2"/>
      <c r="L975" s="2"/>
      <c r="M975" s="3"/>
      <c r="N975" s="1"/>
      <c r="O975" s="4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2"/>
      <c r="L976" s="2"/>
      <c r="M976" s="3"/>
      <c r="N976" s="1"/>
      <c r="O976" s="4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2"/>
      <c r="L977" s="2"/>
      <c r="M977" s="3"/>
      <c r="N977" s="1"/>
      <c r="O977" s="4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2"/>
      <c r="L978" s="2"/>
      <c r="M978" s="3"/>
      <c r="N978" s="1"/>
      <c r="O978" s="4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2"/>
      <c r="L979" s="2"/>
      <c r="M979" s="3"/>
      <c r="N979" s="1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2"/>
      <c r="L980" s="2"/>
      <c r="M980" s="3"/>
      <c r="N980" s="1"/>
      <c r="O980" s="4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2"/>
      <c r="L981" s="2"/>
      <c r="M981" s="3"/>
      <c r="N981" s="1"/>
      <c r="O981" s="4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2"/>
      <c r="L982" s="2"/>
      <c r="M982" s="3"/>
      <c r="N982" s="1"/>
      <c r="O982" s="4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2"/>
      <c r="L983" s="2"/>
      <c r="M983" s="3"/>
      <c r="N983" s="1"/>
      <c r="O983" s="4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2"/>
      <c r="L984" s="2"/>
      <c r="M984" s="3"/>
      <c r="N984" s="1"/>
      <c r="O984" s="4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2"/>
      <c r="L985" s="2"/>
      <c r="M985" s="3"/>
      <c r="N985" s="1"/>
      <c r="O985" s="4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2"/>
      <c r="L986" s="2"/>
      <c r="M986" s="3"/>
      <c r="N986" s="1"/>
      <c r="O986" s="4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2"/>
      <c r="L987" s="2"/>
      <c r="M987" s="3"/>
      <c r="N987" s="1"/>
      <c r="O987" s="4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2"/>
      <c r="L988" s="2"/>
      <c r="M988" s="3"/>
      <c r="N988" s="1"/>
      <c r="O988" s="4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2"/>
      <c r="L989" s="2"/>
      <c r="M989" s="3"/>
      <c r="N989" s="1"/>
      <c r="O989" s="4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2"/>
      <c r="L990" s="2"/>
      <c r="M990" s="3"/>
      <c r="N990" s="1"/>
      <c r="O990" s="4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2"/>
      <c r="L991" s="2"/>
      <c r="M991" s="3"/>
      <c r="N991" s="1"/>
      <c r="O991" s="4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2"/>
      <c r="L992" s="2"/>
      <c r="M992" s="3"/>
      <c r="N992" s="1"/>
      <c r="O992" s="4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2"/>
      <c r="L993" s="2"/>
      <c r="M993" s="3"/>
      <c r="N993" s="1"/>
      <c r="O993" s="4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2"/>
      <c r="L994" s="2"/>
      <c r="M994" s="3"/>
      <c r="N994" s="1"/>
      <c r="O994" s="4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2"/>
      <c r="L995" s="2"/>
      <c r="M995" s="3"/>
      <c r="N995" s="1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2"/>
      <c r="L996" s="2"/>
      <c r="M996" s="3"/>
      <c r="N996" s="1"/>
      <c r="O996" s="4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2"/>
      <c r="L997" s="2"/>
      <c r="M997" s="3"/>
      <c r="N997" s="1"/>
      <c r="O997" s="4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2"/>
      <c r="L998" s="2"/>
      <c r="M998" s="3"/>
      <c r="N998" s="1"/>
      <c r="O998" s="4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2"/>
      <c r="L999" s="2"/>
      <c r="M999" s="3"/>
      <c r="N999" s="1"/>
      <c r="O999" s="4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2"/>
      <c r="L1000" s="2"/>
      <c r="M1000" s="3"/>
      <c r="N1000" s="1"/>
      <c r="O1000" s="4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8">
    <mergeCell ref="B48:B51"/>
    <mergeCell ref="B53:C53"/>
    <mergeCell ref="D53:O53"/>
    <mergeCell ref="D54:O54"/>
    <mergeCell ref="D55:O55"/>
    <mergeCell ref="D56:O56"/>
    <mergeCell ref="D57:O57"/>
    <mergeCell ref="B54:C54"/>
    <mergeCell ref="B55:C55"/>
    <mergeCell ref="B56:C56"/>
    <mergeCell ref="B57:C57"/>
    <mergeCell ref="B2:C2"/>
    <mergeCell ref="B3:C3"/>
    <mergeCell ref="B4:B15"/>
    <mergeCell ref="B16:B27"/>
    <mergeCell ref="B28:B33"/>
    <mergeCell ref="B34:B39"/>
    <mergeCell ref="B40:B47"/>
  </mergeCells>
  <conditionalFormatting sqref="B4:C51">
    <cfRule type="expression" dxfId="0" priority="1">
      <formula>OR(B4="N.D.", B4="N.A.")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22.25"/>
    <col customWidth="1" min="4" max="6" width="12.63"/>
    <col customWidth="1" min="7" max="7" width="14.0"/>
    <col customWidth="1" min="8" max="8" width="14.5"/>
    <col customWidth="1" min="9" max="9" width="14.75"/>
    <col customWidth="1" min="10" max="10" width="16.63"/>
    <col customWidth="1" min="11" max="11" width="12.63"/>
    <col customWidth="1" min="12" max="12" width="13.5"/>
    <col customWidth="1" min="13" max="13" width="16.63"/>
    <col customWidth="1" min="14" max="14" width="12.63"/>
    <col customWidth="1" min="15" max="15" width="17.63"/>
    <col customWidth="1" min="16" max="27" width="12.63"/>
    <col customWidth="1" min="28" max="28" width="15.0"/>
    <col customWidth="1" min="29" max="29" width="14.5"/>
    <col customWidth="1" min="30" max="39" width="12.63"/>
    <col customWidth="1" min="40" max="40" width="15.13"/>
    <col customWidth="1" min="41" max="41" width="15.63"/>
    <col customWidth="1" min="42" max="42" width="14.25"/>
    <col customWidth="1" min="43" max="43" width="13.88"/>
    <col customWidth="1" min="44" max="46" width="10.13"/>
  </cols>
  <sheetData>
    <row r="1" ht="1.5" customHeight="1">
      <c r="A1" s="25"/>
      <c r="B1" s="26"/>
      <c r="C1" s="26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</row>
    <row r="2">
      <c r="A2" s="65"/>
      <c r="B2" s="66" t="s">
        <v>78</v>
      </c>
      <c r="C2" s="58"/>
      <c r="D2" s="67" t="s">
        <v>79</v>
      </c>
      <c r="E2" s="67" t="s">
        <v>80</v>
      </c>
      <c r="F2" s="67" t="s">
        <v>81</v>
      </c>
      <c r="G2" s="68" t="s">
        <v>82</v>
      </c>
      <c r="H2" s="67" t="s">
        <v>83</v>
      </c>
      <c r="I2" s="68" t="s">
        <v>84</v>
      </c>
      <c r="J2" s="68" t="s">
        <v>85</v>
      </c>
      <c r="P2" s="25"/>
      <c r="Q2" s="25"/>
      <c r="W2" s="69"/>
      <c r="X2" s="70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</row>
    <row r="3">
      <c r="A3" s="71"/>
      <c r="B3" s="35"/>
      <c r="C3" s="64"/>
      <c r="D3" s="72" t="s">
        <v>86</v>
      </c>
      <c r="E3" s="73" t="s">
        <v>86</v>
      </c>
      <c r="F3" s="74" t="s">
        <v>87</v>
      </c>
      <c r="G3" s="73" t="s">
        <v>88</v>
      </c>
      <c r="H3" s="74" t="s">
        <v>89</v>
      </c>
      <c r="I3" s="73" t="s">
        <v>90</v>
      </c>
      <c r="J3" s="73" t="s">
        <v>91</v>
      </c>
      <c r="P3" s="25"/>
      <c r="Q3" s="25"/>
      <c r="W3" s="69"/>
      <c r="X3" s="70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</row>
    <row r="4">
      <c r="A4" s="25"/>
      <c r="B4" s="75" t="s">
        <v>13</v>
      </c>
      <c r="C4" s="58"/>
      <c r="D4" s="76">
        <v>300.0</v>
      </c>
      <c r="E4" s="77">
        <v>0.2</v>
      </c>
      <c r="F4" s="25">
        <v>-0.05</v>
      </c>
      <c r="G4" s="77">
        <v>0.153</v>
      </c>
      <c r="H4" s="78">
        <v>6.69</v>
      </c>
      <c r="I4" s="77">
        <v>0.025</v>
      </c>
      <c r="J4" s="77">
        <v>0.247</v>
      </c>
      <c r="P4" s="25"/>
      <c r="Q4" s="25"/>
      <c r="W4" s="69"/>
      <c r="X4" s="70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</row>
    <row r="5">
      <c r="A5" s="25"/>
      <c r="B5" s="31"/>
      <c r="D5" s="76">
        <f>549+90</f>
        <v>639</v>
      </c>
      <c r="E5" s="77">
        <v>0.2</v>
      </c>
      <c r="F5" s="25">
        <v>-0.05</v>
      </c>
      <c r="G5" s="77">
        <v>0.361</v>
      </c>
      <c r="H5" s="78">
        <v>1.082</v>
      </c>
      <c r="I5" s="79">
        <v>0.025</v>
      </c>
      <c r="J5" s="77">
        <v>0.171</v>
      </c>
      <c r="P5" s="25"/>
      <c r="Q5" s="25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</row>
    <row r="6">
      <c r="A6" s="80"/>
      <c r="B6" s="21" t="s">
        <v>15</v>
      </c>
      <c r="C6" s="81" t="str">
        <f>Config!C4</f>
        <v>2026_C_PR_B3_CONFIG1</v>
      </c>
      <c r="D6" s="82">
        <v>300.0</v>
      </c>
      <c r="E6" s="83">
        <v>0.2</v>
      </c>
      <c r="F6" s="82">
        <v>-0.05</v>
      </c>
      <c r="G6" s="83">
        <f>Config!K4</f>
        <v>0.4</v>
      </c>
      <c r="H6" s="84">
        <f>Config!N4/Config!E4</f>
        <v>0.3</v>
      </c>
      <c r="I6" s="85">
        <v>0.025</v>
      </c>
      <c r="J6" s="85">
        <f>Config!L4</f>
        <v>0.2</v>
      </c>
      <c r="P6" s="25"/>
      <c r="Q6" s="25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</row>
    <row r="7">
      <c r="A7" s="80"/>
      <c r="B7" s="31"/>
      <c r="C7" s="53" t="str">
        <f>Config!C5</f>
        <v>2025_C_PR_B3_CONFIG2</v>
      </c>
      <c r="D7" s="86">
        <v>300.0</v>
      </c>
      <c r="E7" s="87">
        <v>0.2</v>
      </c>
      <c r="F7" s="86">
        <v>-0.05</v>
      </c>
      <c r="G7" s="88">
        <f>Config!K5</f>
        <v>0.4</v>
      </c>
      <c r="H7" s="89">
        <f>Config!N5/Config!E5</f>
        <v>0.3</v>
      </c>
      <c r="I7" s="88">
        <v>0.025</v>
      </c>
      <c r="J7" s="87">
        <f>Config!L5</f>
        <v>0.2</v>
      </c>
      <c r="P7" s="25"/>
      <c r="Q7" s="25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</row>
    <row r="8">
      <c r="A8" s="80"/>
      <c r="B8" s="31"/>
      <c r="C8" s="53" t="str">
        <f>Config!C6</f>
        <v>2026_C_PR_B3_CONFIG3</v>
      </c>
      <c r="D8" s="86">
        <v>300.0</v>
      </c>
      <c r="E8" s="87">
        <v>0.2</v>
      </c>
      <c r="F8" s="86">
        <v>-0.05</v>
      </c>
      <c r="G8" s="88">
        <f>Config!K6</f>
        <v>0.4</v>
      </c>
      <c r="H8" s="89">
        <f>Config!N6/Config!E6</f>
        <v>0.3</v>
      </c>
      <c r="I8" s="88">
        <v>0.025</v>
      </c>
      <c r="J8" s="87">
        <f>Config!L6</f>
        <v>0.2</v>
      </c>
      <c r="P8" s="25"/>
      <c r="Q8" s="25"/>
      <c r="W8" s="25"/>
      <c r="X8" s="26"/>
      <c r="Y8" s="26"/>
      <c r="Z8" s="26"/>
      <c r="AA8" s="26"/>
      <c r="AB8" s="26"/>
      <c r="AC8" s="26"/>
      <c r="AD8" s="26"/>
      <c r="AE8" s="25"/>
      <c r="AF8" s="25"/>
      <c r="AG8" s="26"/>
      <c r="AH8" s="25"/>
      <c r="AI8" s="25"/>
      <c r="AJ8" s="25"/>
      <c r="AK8" s="25"/>
      <c r="AL8" s="25"/>
      <c r="AM8" s="25"/>
      <c r="AN8" s="25"/>
    </row>
    <row r="9">
      <c r="A9" s="80"/>
      <c r="B9" s="31"/>
      <c r="C9" s="53" t="str">
        <f>Config!C7</f>
        <v>2025_C_PR_B3_CONFIG4</v>
      </c>
      <c r="D9" s="86">
        <v>300.0</v>
      </c>
      <c r="E9" s="87">
        <v>0.2</v>
      </c>
      <c r="F9" s="86">
        <v>-0.05</v>
      </c>
      <c r="G9" s="88">
        <f>Config!K7</f>
        <v>0.4</v>
      </c>
      <c r="H9" s="89">
        <f>Config!N7/Config!E7</f>
        <v>5.838461538</v>
      </c>
      <c r="I9" s="88">
        <v>0.025</v>
      </c>
      <c r="J9" s="87">
        <f>Config!L7</f>
        <v>0.2</v>
      </c>
      <c r="P9" s="25"/>
      <c r="Q9" s="25"/>
      <c r="R9" s="25"/>
      <c r="S9" s="25"/>
      <c r="T9" s="25"/>
      <c r="U9" s="26"/>
      <c r="V9" s="25"/>
      <c r="W9" s="25"/>
      <c r="X9" s="26"/>
      <c r="Y9" s="26"/>
      <c r="Z9" s="26"/>
      <c r="AA9" s="26"/>
      <c r="AB9" s="26"/>
      <c r="AC9" s="26"/>
      <c r="AD9" s="26"/>
      <c r="AE9" s="25"/>
      <c r="AF9" s="25"/>
      <c r="AG9" s="26"/>
      <c r="AH9" s="25"/>
      <c r="AI9" s="25"/>
      <c r="AJ9" s="25"/>
      <c r="AK9" s="25"/>
      <c r="AL9" s="25"/>
      <c r="AM9" s="25"/>
      <c r="AN9" s="25"/>
    </row>
    <row r="10">
      <c r="A10" s="80"/>
      <c r="B10" s="31"/>
      <c r="C10" s="53" t="str">
        <f>Config!C8</f>
        <v>2026_C_PR_B3_CONFIG5</v>
      </c>
      <c r="D10" s="86">
        <v>300.0</v>
      </c>
      <c r="E10" s="87">
        <v>0.2</v>
      </c>
      <c r="F10" s="86">
        <v>-0.05</v>
      </c>
      <c r="G10" s="88">
        <f>Config!K8</f>
        <v>0.4</v>
      </c>
      <c r="H10" s="89">
        <f>Config!N8/Config!E8</f>
        <v>5.442857143</v>
      </c>
      <c r="I10" s="88">
        <v>0.025</v>
      </c>
      <c r="J10" s="87">
        <f>Config!L8</f>
        <v>0.2</v>
      </c>
      <c r="L10" s="25"/>
      <c r="M10" s="25"/>
      <c r="N10" s="26"/>
      <c r="O10" s="25"/>
      <c r="P10" s="26"/>
      <c r="R10" s="25"/>
      <c r="S10" s="25"/>
      <c r="T10" s="25"/>
      <c r="U10" s="26"/>
      <c r="V10" s="25"/>
      <c r="W10" s="25"/>
      <c r="X10" s="26"/>
      <c r="Y10" s="26"/>
      <c r="Z10" s="26"/>
      <c r="AA10" s="26"/>
      <c r="AB10" s="26"/>
      <c r="AC10" s="26"/>
      <c r="AD10" s="26"/>
      <c r="AE10" s="25"/>
      <c r="AF10" s="25"/>
      <c r="AG10" s="26"/>
      <c r="AH10" s="25"/>
      <c r="AI10" s="25"/>
      <c r="AJ10" s="25"/>
      <c r="AK10" s="25"/>
      <c r="AL10" s="25"/>
      <c r="AM10" s="25"/>
      <c r="AN10" s="25"/>
    </row>
    <row r="11">
      <c r="A11" s="80"/>
      <c r="B11" s="31"/>
      <c r="C11" s="53" t="str">
        <f>Config!C9</f>
        <v>2025_C_PR_B3_CONFIG6</v>
      </c>
      <c r="D11" s="86">
        <v>300.0</v>
      </c>
      <c r="E11" s="87">
        <v>0.2</v>
      </c>
      <c r="F11" s="86">
        <v>-0.05</v>
      </c>
      <c r="G11" s="88">
        <f>Config!K9</f>
        <v>0.4</v>
      </c>
      <c r="H11" s="89">
        <f>Config!N9/Config!E9</f>
        <v>0.3</v>
      </c>
      <c r="I11" s="88">
        <v>0.025</v>
      </c>
      <c r="J11" s="87">
        <f>Config!L9</f>
        <v>0.2</v>
      </c>
      <c r="L11" s="25"/>
      <c r="M11" s="25"/>
      <c r="N11" s="25"/>
      <c r="O11" s="25"/>
      <c r="P11" s="25"/>
      <c r="R11" s="25"/>
      <c r="S11" s="25"/>
      <c r="T11" s="25"/>
      <c r="U11" s="26"/>
      <c r="V11" s="25"/>
      <c r="W11" s="25"/>
      <c r="X11" s="26"/>
      <c r="Y11" s="26"/>
      <c r="Z11" s="26"/>
      <c r="AA11" s="26"/>
      <c r="AB11" s="26"/>
      <c r="AC11" s="26"/>
      <c r="AD11" s="26"/>
      <c r="AE11" s="25"/>
      <c r="AF11" s="25"/>
      <c r="AG11" s="26"/>
      <c r="AH11" s="25"/>
      <c r="AI11" s="25"/>
      <c r="AJ11" s="25"/>
      <c r="AK11" s="25"/>
      <c r="AL11" s="25"/>
      <c r="AM11" s="25"/>
      <c r="AN11" s="25"/>
    </row>
    <row r="12">
      <c r="A12" s="80"/>
      <c r="B12" s="31"/>
      <c r="C12" s="53" t="str">
        <f>Config!C10</f>
        <v>2026_C_PR_B3_CONFIG7</v>
      </c>
      <c r="D12" s="86">
        <v>300.0</v>
      </c>
      <c r="E12" s="87">
        <v>0.2</v>
      </c>
      <c r="F12" s="86">
        <v>-0.05</v>
      </c>
      <c r="G12" s="88">
        <f>Config!K10</f>
        <v>0.4</v>
      </c>
      <c r="H12" s="89">
        <f>Config!N10/Config!E10</f>
        <v>0.3</v>
      </c>
      <c r="I12" s="88">
        <v>0.025</v>
      </c>
      <c r="J12" s="87">
        <f>Config!L10</f>
        <v>0.2</v>
      </c>
      <c r="P12" s="25"/>
      <c r="Q12" s="25"/>
      <c r="R12" s="25"/>
      <c r="S12" s="25"/>
      <c r="T12" s="25"/>
      <c r="U12" s="26"/>
      <c r="V12" s="25"/>
      <c r="W12" s="25"/>
      <c r="X12" s="26"/>
      <c r="Y12" s="26"/>
      <c r="Z12" s="26"/>
      <c r="AA12" s="26"/>
      <c r="AB12" s="26"/>
      <c r="AC12" s="26"/>
      <c r="AD12" s="26"/>
      <c r="AE12" s="25"/>
      <c r="AF12" s="25"/>
      <c r="AG12" s="26"/>
      <c r="AH12" s="25"/>
      <c r="AI12" s="25"/>
      <c r="AJ12" s="25"/>
      <c r="AK12" s="25"/>
      <c r="AL12" s="25"/>
      <c r="AM12" s="25"/>
      <c r="AN12" s="25"/>
    </row>
    <row r="13">
      <c r="A13" s="80"/>
      <c r="B13" s="31"/>
      <c r="C13" s="53" t="str">
        <f>Config!C11</f>
        <v>2025_C_PR_B3_CONFIG8</v>
      </c>
      <c r="D13" s="86">
        <v>300.0</v>
      </c>
      <c r="E13" s="87">
        <v>0.2</v>
      </c>
      <c r="F13" s="86">
        <v>-0.05</v>
      </c>
      <c r="G13" s="88">
        <f>Config!K11</f>
        <v>0.4</v>
      </c>
      <c r="H13" s="89">
        <f>Config!N11/Config!E11</f>
        <v>0.3</v>
      </c>
      <c r="I13" s="88">
        <v>0.025</v>
      </c>
      <c r="J13" s="87">
        <f>Config!L11</f>
        <v>0.2</v>
      </c>
      <c r="P13" s="25"/>
      <c r="Q13" s="25"/>
      <c r="R13" s="25"/>
      <c r="S13" s="25"/>
      <c r="T13" s="25"/>
      <c r="U13" s="26"/>
      <c r="V13" s="25"/>
      <c r="W13" s="25"/>
      <c r="X13" s="26"/>
      <c r="Y13" s="26"/>
      <c r="Z13" s="26"/>
      <c r="AA13" s="26"/>
      <c r="AB13" s="26"/>
      <c r="AC13" s="26"/>
      <c r="AD13" s="26"/>
      <c r="AE13" s="25"/>
      <c r="AF13" s="25"/>
      <c r="AG13" s="26"/>
      <c r="AH13" s="25"/>
      <c r="AI13" s="25"/>
      <c r="AJ13" s="25"/>
      <c r="AK13" s="25"/>
      <c r="AL13" s="25"/>
      <c r="AM13" s="25"/>
      <c r="AN13" s="25"/>
    </row>
    <row r="14">
      <c r="A14" s="80"/>
      <c r="B14" s="31"/>
      <c r="C14" s="53" t="str">
        <f>Config!C12</f>
        <v>2026_C_PR_B3_CONFIG9</v>
      </c>
      <c r="D14" s="86">
        <v>300.0</v>
      </c>
      <c r="E14" s="87">
        <v>0.2</v>
      </c>
      <c r="F14" s="86">
        <v>-0.05</v>
      </c>
      <c r="G14" s="88">
        <f>Config!K12</f>
        <v>0.4</v>
      </c>
      <c r="H14" s="89">
        <f>Config!N12/Config!E12</f>
        <v>0.3</v>
      </c>
      <c r="I14" s="88">
        <v>0.025</v>
      </c>
      <c r="J14" s="87">
        <f>Config!L12</f>
        <v>0.2</v>
      </c>
      <c r="P14" s="25"/>
      <c r="Q14" s="25"/>
      <c r="R14" s="25"/>
      <c r="S14" s="25"/>
      <c r="T14" s="25"/>
      <c r="U14" s="26"/>
      <c r="V14" s="25"/>
      <c r="W14" s="25"/>
      <c r="X14" s="26"/>
      <c r="Y14" s="26"/>
      <c r="Z14" s="26"/>
      <c r="AA14" s="26"/>
      <c r="AB14" s="26"/>
      <c r="AC14" s="26"/>
      <c r="AD14" s="26"/>
      <c r="AE14" s="25"/>
      <c r="AF14" s="25"/>
      <c r="AG14" s="26"/>
      <c r="AH14" s="25"/>
      <c r="AI14" s="25"/>
      <c r="AJ14" s="25"/>
      <c r="AK14" s="25"/>
      <c r="AL14" s="25"/>
      <c r="AM14" s="25"/>
      <c r="AN14" s="25"/>
    </row>
    <row r="15">
      <c r="A15" s="80"/>
      <c r="B15" s="31"/>
      <c r="C15" s="53" t="str">
        <f>Config!C13</f>
        <v>2026_C_PR_B3_CONFIG10</v>
      </c>
      <c r="D15" s="86">
        <v>300.0</v>
      </c>
      <c r="E15" s="87">
        <v>0.2</v>
      </c>
      <c r="F15" s="86">
        <v>-0.05</v>
      </c>
      <c r="G15" s="87">
        <f>Config!K13</f>
        <v>0.4</v>
      </c>
      <c r="H15" s="90">
        <f>Config!N13/Config!E13</f>
        <v>0.3</v>
      </c>
      <c r="I15" s="91">
        <v>0.025</v>
      </c>
      <c r="J15" s="91">
        <f>Config!L13</f>
        <v>0.2</v>
      </c>
      <c r="P15" s="25"/>
      <c r="Q15" s="25"/>
      <c r="R15" s="25"/>
      <c r="S15" s="25"/>
      <c r="T15" s="25"/>
      <c r="U15" s="26"/>
      <c r="V15" s="25"/>
      <c r="W15" s="25"/>
      <c r="X15" s="26"/>
      <c r="Y15" s="26"/>
      <c r="Z15" s="26"/>
      <c r="AA15" s="26"/>
      <c r="AB15" s="26"/>
      <c r="AC15" s="26"/>
      <c r="AD15" s="26"/>
      <c r="AE15" s="25"/>
      <c r="AF15" s="25"/>
      <c r="AG15" s="26"/>
      <c r="AH15" s="25"/>
      <c r="AI15" s="25"/>
      <c r="AJ15" s="25"/>
      <c r="AK15" s="25"/>
      <c r="AL15" s="25"/>
      <c r="AM15" s="25"/>
      <c r="AN15" s="25"/>
    </row>
    <row r="16">
      <c r="A16" s="80"/>
      <c r="B16" s="31"/>
      <c r="C16" s="53" t="str">
        <f>Config!C14</f>
        <v>2026_C_PR_B3_CONFIG11</v>
      </c>
      <c r="D16" s="86">
        <v>300.0</v>
      </c>
      <c r="E16" s="87">
        <v>0.2</v>
      </c>
      <c r="F16" s="86">
        <v>-0.0500000000000001</v>
      </c>
      <c r="G16" s="87">
        <f>Config!K14</f>
        <v>0.4</v>
      </c>
      <c r="H16" s="90">
        <f>Config!N14/Config!E14</f>
        <v>0.3</v>
      </c>
      <c r="I16" s="91">
        <v>0.025</v>
      </c>
      <c r="J16" s="91">
        <f>Config!L14</f>
        <v>0.2</v>
      </c>
      <c r="P16" s="25"/>
      <c r="Q16" s="25"/>
      <c r="R16" s="25"/>
      <c r="S16" s="25"/>
      <c r="T16" s="25"/>
      <c r="U16" s="26"/>
      <c r="V16" s="25"/>
      <c r="W16" s="25"/>
      <c r="X16" s="26"/>
      <c r="Y16" s="26"/>
      <c r="Z16" s="26"/>
      <c r="AA16" s="26"/>
      <c r="AB16" s="26"/>
      <c r="AC16" s="26"/>
      <c r="AD16" s="26"/>
      <c r="AE16" s="25"/>
      <c r="AF16" s="25"/>
      <c r="AG16" s="26"/>
      <c r="AH16" s="25"/>
      <c r="AI16" s="25"/>
      <c r="AJ16" s="25"/>
      <c r="AK16" s="25"/>
      <c r="AL16" s="25"/>
      <c r="AM16" s="25"/>
      <c r="AN16" s="25"/>
    </row>
    <row r="17">
      <c r="A17" s="80"/>
      <c r="B17" s="35"/>
      <c r="C17" s="54" t="str">
        <f>Config!C15</f>
        <v>2026_C_PR_B3_CONFIG12</v>
      </c>
      <c r="D17" s="92">
        <v>300.0</v>
      </c>
      <c r="E17" s="93">
        <v>0.2</v>
      </c>
      <c r="F17" s="92">
        <v>-0.0500000000000001</v>
      </c>
      <c r="G17" s="94">
        <f>Config!K15</f>
        <v>0.4</v>
      </c>
      <c r="H17" s="95">
        <f>Config!N15/Config!E15</f>
        <v>0.3</v>
      </c>
      <c r="I17" s="94">
        <v>0.0250000000000001</v>
      </c>
      <c r="J17" s="93">
        <f>Config!L15</f>
        <v>0.2</v>
      </c>
      <c r="P17" s="25"/>
      <c r="Q17" s="25"/>
      <c r="R17" s="25"/>
      <c r="S17" s="25"/>
      <c r="T17" s="25"/>
      <c r="U17" s="26"/>
      <c r="V17" s="25"/>
      <c r="W17" s="25"/>
      <c r="X17" s="26"/>
      <c r="Y17" s="26"/>
      <c r="Z17" s="26"/>
      <c r="AA17" s="26"/>
      <c r="AB17" s="26"/>
      <c r="AC17" s="26"/>
      <c r="AD17" s="26"/>
      <c r="AE17" s="25"/>
      <c r="AF17" s="25"/>
      <c r="AG17" s="26"/>
      <c r="AH17" s="25"/>
      <c r="AI17" s="25"/>
      <c r="AJ17" s="25"/>
      <c r="AK17" s="25"/>
      <c r="AL17" s="25"/>
      <c r="AM17" s="25"/>
      <c r="AN17" s="25"/>
    </row>
    <row r="18">
      <c r="A18" s="80"/>
      <c r="B18" s="21" t="s">
        <v>29</v>
      </c>
      <c r="C18" s="53" t="str">
        <f>Config!C16</f>
        <v>2026_C_PR_B3_CONFIG13</v>
      </c>
      <c r="D18" s="86">
        <v>300.0</v>
      </c>
      <c r="E18" s="87">
        <v>0.2</v>
      </c>
      <c r="F18" s="86">
        <v>-0.0500000000000001</v>
      </c>
      <c r="G18" s="88">
        <f>Config!K16</f>
        <v>0.4</v>
      </c>
      <c r="H18" s="89">
        <f>Config!N16/Config!E16</f>
        <v>0.3</v>
      </c>
      <c r="I18" s="88">
        <v>0.0250000000000001</v>
      </c>
      <c r="J18" s="87">
        <f>Config!L16</f>
        <v>0.2</v>
      </c>
      <c r="P18" s="25"/>
      <c r="Q18" s="25"/>
      <c r="R18" s="25"/>
      <c r="S18" s="25"/>
      <c r="T18" s="25"/>
      <c r="U18" s="26"/>
      <c r="V18" s="25"/>
      <c r="W18" s="25"/>
      <c r="X18" s="26"/>
      <c r="Y18" s="26"/>
      <c r="Z18" s="26"/>
      <c r="AA18" s="26"/>
      <c r="AB18" s="26"/>
      <c r="AC18" s="26"/>
      <c r="AD18" s="26"/>
      <c r="AE18" s="25"/>
      <c r="AF18" s="25"/>
      <c r="AG18" s="26"/>
      <c r="AH18" s="25"/>
      <c r="AI18" s="25"/>
      <c r="AJ18" s="25"/>
      <c r="AK18" s="25"/>
      <c r="AL18" s="25"/>
      <c r="AM18" s="25"/>
      <c r="AN18" s="25"/>
    </row>
    <row r="19">
      <c r="A19" s="80"/>
      <c r="B19" s="31"/>
      <c r="C19" s="53" t="str">
        <f>Config!C17</f>
        <v>2026_C_PR_B3_CONFIG14</v>
      </c>
      <c r="D19" s="86">
        <v>300.0</v>
      </c>
      <c r="E19" s="87">
        <v>0.2</v>
      </c>
      <c r="F19" s="86">
        <v>-0.0500000000000001</v>
      </c>
      <c r="G19" s="88">
        <f>Config!K17</f>
        <v>0.4</v>
      </c>
      <c r="H19" s="89">
        <f>Config!N17/Config!E17</f>
        <v>0.3</v>
      </c>
      <c r="I19" s="88">
        <v>0.0250000000000001</v>
      </c>
      <c r="J19" s="87">
        <f>Config!L17</f>
        <v>0.2</v>
      </c>
      <c r="P19" s="25"/>
      <c r="Q19" s="25"/>
      <c r="R19" s="25"/>
      <c r="S19" s="25"/>
      <c r="T19" s="25"/>
      <c r="U19" s="26"/>
      <c r="V19" s="25"/>
      <c r="W19" s="25"/>
      <c r="X19" s="26"/>
      <c r="Y19" s="26"/>
      <c r="Z19" s="26"/>
      <c r="AA19" s="26"/>
      <c r="AB19" s="26"/>
      <c r="AC19" s="26"/>
      <c r="AD19" s="26"/>
      <c r="AE19" s="25"/>
      <c r="AF19" s="25"/>
      <c r="AG19" s="26"/>
      <c r="AH19" s="25"/>
      <c r="AI19" s="25"/>
      <c r="AJ19" s="25"/>
      <c r="AK19" s="25"/>
      <c r="AL19" s="25"/>
      <c r="AM19" s="25"/>
      <c r="AN19" s="25"/>
    </row>
    <row r="20">
      <c r="A20" s="80"/>
      <c r="B20" s="31"/>
      <c r="C20" s="53" t="str">
        <f>Config!C18</f>
        <v>2026_C_PR_B3_CONFIG15</v>
      </c>
      <c r="D20" s="86">
        <v>300.0</v>
      </c>
      <c r="E20" s="87">
        <v>0.2</v>
      </c>
      <c r="F20" s="86">
        <v>-0.0500000000000001</v>
      </c>
      <c r="G20" s="88">
        <f>Config!K18</f>
        <v>0.4</v>
      </c>
      <c r="H20" s="89">
        <f>Config!N18/Config!E18</f>
        <v>0.3</v>
      </c>
      <c r="I20" s="88">
        <v>0.0250000000000001</v>
      </c>
      <c r="J20" s="87">
        <f>Config!L18</f>
        <v>0.2</v>
      </c>
      <c r="P20" s="25"/>
      <c r="Q20" s="25"/>
      <c r="R20" s="25"/>
      <c r="S20" s="25"/>
      <c r="T20" s="25"/>
      <c r="U20" s="26"/>
      <c r="V20" s="25"/>
      <c r="W20" s="25"/>
      <c r="X20" s="26"/>
      <c r="Y20" s="26"/>
      <c r="Z20" s="26"/>
      <c r="AA20" s="26"/>
      <c r="AB20" s="26"/>
      <c r="AC20" s="26"/>
      <c r="AD20" s="26"/>
      <c r="AE20" s="25"/>
      <c r="AF20" s="25"/>
      <c r="AG20" s="26"/>
      <c r="AH20" s="25"/>
      <c r="AI20" s="25"/>
      <c r="AJ20" s="25"/>
      <c r="AK20" s="25"/>
      <c r="AL20" s="25"/>
      <c r="AM20" s="25"/>
      <c r="AN20" s="25"/>
    </row>
    <row r="21">
      <c r="A21" s="80"/>
      <c r="B21" s="31"/>
      <c r="C21" s="53" t="str">
        <f>Config!C19</f>
        <v>2026_C_PR_B3_CONFIG16</v>
      </c>
      <c r="D21" s="86">
        <v>300.0</v>
      </c>
      <c r="E21" s="87">
        <v>0.2</v>
      </c>
      <c r="F21" s="86">
        <v>-0.0500000000000001</v>
      </c>
      <c r="G21" s="88">
        <f>Config!K19</f>
        <v>0.4</v>
      </c>
      <c r="H21" s="89">
        <f>Config!N19/Config!E19</f>
        <v>0.3</v>
      </c>
      <c r="I21" s="88">
        <v>0.0250000000000001</v>
      </c>
      <c r="J21" s="87">
        <f>Config!L19</f>
        <v>0.2</v>
      </c>
      <c r="P21" s="25"/>
      <c r="Q21" s="25"/>
      <c r="R21" s="25"/>
      <c r="S21" s="25"/>
      <c r="T21" s="25"/>
      <c r="U21" s="26"/>
      <c r="V21" s="25"/>
      <c r="W21" s="25"/>
      <c r="X21" s="26"/>
      <c r="Y21" s="26"/>
      <c r="Z21" s="26"/>
      <c r="AA21" s="26"/>
      <c r="AB21" s="26"/>
      <c r="AC21" s="26"/>
      <c r="AD21" s="26"/>
      <c r="AE21" s="25"/>
      <c r="AF21" s="25"/>
      <c r="AG21" s="26"/>
      <c r="AH21" s="25"/>
      <c r="AI21" s="25"/>
      <c r="AJ21" s="25"/>
      <c r="AK21" s="25"/>
      <c r="AL21" s="25"/>
      <c r="AM21" s="25"/>
      <c r="AN21" s="25"/>
    </row>
    <row r="22">
      <c r="A22" s="80"/>
      <c r="B22" s="31"/>
      <c r="C22" s="53" t="str">
        <f>Config!C20</f>
        <v>2026_C_PR_B3_CONFIG17</v>
      </c>
      <c r="D22" s="86">
        <v>300.0</v>
      </c>
      <c r="E22" s="87">
        <v>0.2</v>
      </c>
      <c r="F22" s="86">
        <v>-0.0500000000000001</v>
      </c>
      <c r="G22" s="88">
        <f>Config!K20</f>
        <v>0.4</v>
      </c>
      <c r="H22" s="89">
        <f>Config!N20/Config!E20</f>
        <v>0.3</v>
      </c>
      <c r="I22" s="88">
        <v>0.0250000000000001</v>
      </c>
      <c r="J22" s="87">
        <f>Config!L20</f>
        <v>0.2</v>
      </c>
      <c r="P22" s="25"/>
      <c r="Q22" s="25"/>
      <c r="R22" s="25"/>
      <c r="S22" s="25"/>
      <c r="T22" s="25"/>
      <c r="U22" s="26"/>
      <c r="V22" s="25"/>
      <c r="W22" s="25"/>
      <c r="X22" s="26"/>
      <c r="Y22" s="26"/>
      <c r="Z22" s="26"/>
      <c r="AA22" s="26"/>
      <c r="AB22" s="26"/>
      <c r="AC22" s="26"/>
      <c r="AD22" s="26"/>
      <c r="AE22" s="25"/>
      <c r="AF22" s="25"/>
      <c r="AG22" s="26"/>
      <c r="AH22" s="25"/>
      <c r="AI22" s="25"/>
      <c r="AJ22" s="25"/>
      <c r="AK22" s="25"/>
      <c r="AL22" s="25"/>
      <c r="AM22" s="25"/>
      <c r="AN22" s="25"/>
    </row>
    <row r="23">
      <c r="A23" s="80"/>
      <c r="B23" s="31"/>
      <c r="C23" s="53" t="str">
        <f>Config!C21</f>
        <v>2026_C_PR_B3_CONFIG18</v>
      </c>
      <c r="D23" s="25">
        <v>300.0</v>
      </c>
      <c r="E23" s="77">
        <v>0.2</v>
      </c>
      <c r="F23" s="25">
        <v>-0.0500000000000001</v>
      </c>
      <c r="G23" s="76">
        <f>Config!K21</f>
        <v>0.4</v>
      </c>
      <c r="H23" s="96">
        <f>Config!N21/Config!E21</f>
        <v>5.1</v>
      </c>
      <c r="I23" s="76">
        <v>0.025</v>
      </c>
      <c r="J23" s="77">
        <f>Config!L21</f>
        <v>0.2</v>
      </c>
      <c r="P23" s="25"/>
      <c r="Q23" s="25"/>
      <c r="R23" s="25"/>
      <c r="S23" s="25"/>
      <c r="T23" s="25"/>
      <c r="U23" s="26"/>
      <c r="V23" s="25"/>
      <c r="W23" s="25"/>
      <c r="X23" s="26"/>
      <c r="Y23" s="26"/>
      <c r="Z23" s="26"/>
      <c r="AA23" s="26"/>
      <c r="AB23" s="26"/>
      <c r="AC23" s="26"/>
      <c r="AD23" s="26"/>
      <c r="AE23" s="25"/>
      <c r="AF23" s="25"/>
      <c r="AG23" s="26"/>
      <c r="AH23" s="25"/>
      <c r="AI23" s="25"/>
      <c r="AJ23" s="25"/>
      <c r="AK23" s="25"/>
      <c r="AL23" s="25"/>
      <c r="AM23" s="25"/>
      <c r="AN23" s="25"/>
    </row>
    <row r="24">
      <c r="A24" s="80"/>
      <c r="B24" s="31"/>
      <c r="C24" s="53" t="str">
        <f>Config!C22</f>
        <v>2026_C_PR_B3_CONFIG19</v>
      </c>
      <c r="D24" s="86">
        <v>300.0</v>
      </c>
      <c r="E24" s="87">
        <v>0.2</v>
      </c>
      <c r="F24" s="86">
        <v>-0.0500000000000002</v>
      </c>
      <c r="G24" s="88">
        <f>Config!K22</f>
        <v>0.4</v>
      </c>
      <c r="H24" s="89">
        <f>Config!N22/Config!E22</f>
        <v>4.8</v>
      </c>
      <c r="I24" s="88">
        <v>0.0250000000000001</v>
      </c>
      <c r="J24" s="87">
        <f>Config!L22</f>
        <v>0.2</v>
      </c>
      <c r="P24" s="25"/>
      <c r="Q24" s="25"/>
      <c r="R24" s="25"/>
      <c r="S24" s="25"/>
      <c r="T24" s="25"/>
      <c r="U24" s="26"/>
      <c r="V24" s="25"/>
      <c r="W24" s="25"/>
      <c r="X24" s="26"/>
      <c r="Y24" s="26"/>
      <c r="Z24" s="26"/>
      <c r="AA24" s="26"/>
      <c r="AB24" s="26"/>
      <c r="AC24" s="26"/>
      <c r="AD24" s="26"/>
      <c r="AE24" s="25"/>
      <c r="AF24" s="25"/>
      <c r="AG24" s="26"/>
      <c r="AH24" s="25"/>
      <c r="AI24" s="25"/>
      <c r="AJ24" s="25"/>
      <c r="AK24" s="25"/>
      <c r="AL24" s="25"/>
      <c r="AM24" s="25"/>
      <c r="AN24" s="25"/>
    </row>
    <row r="25">
      <c r="A25" s="80"/>
      <c r="B25" s="31"/>
      <c r="C25" s="53" t="str">
        <f>Config!C23</f>
        <v>2026_C_PR_B3_CONFIG20</v>
      </c>
      <c r="D25" s="86">
        <v>300.0</v>
      </c>
      <c r="E25" s="87">
        <v>0.2</v>
      </c>
      <c r="F25" s="86">
        <v>-0.0500000000000002</v>
      </c>
      <c r="G25" s="87">
        <f>Config!K23</f>
        <v>0.4</v>
      </c>
      <c r="H25" s="90">
        <f>Config!N23/Config!E23</f>
        <v>0.3</v>
      </c>
      <c r="I25" s="91">
        <v>0.0250000000000001</v>
      </c>
      <c r="J25" s="91">
        <f>Config!L23</f>
        <v>0.2</v>
      </c>
      <c r="P25" s="25"/>
      <c r="Q25" s="25"/>
      <c r="R25" s="25"/>
      <c r="S25" s="25"/>
      <c r="T25" s="25"/>
      <c r="U25" s="26"/>
      <c r="V25" s="25"/>
      <c r="W25" s="25"/>
      <c r="X25" s="26"/>
      <c r="Y25" s="26"/>
      <c r="Z25" s="26"/>
      <c r="AA25" s="26"/>
      <c r="AB25" s="26"/>
      <c r="AC25" s="26"/>
      <c r="AD25" s="26"/>
      <c r="AE25" s="25"/>
      <c r="AF25" s="25"/>
      <c r="AG25" s="26"/>
      <c r="AH25" s="25"/>
      <c r="AI25" s="25"/>
      <c r="AJ25" s="25"/>
      <c r="AK25" s="25"/>
      <c r="AL25" s="25"/>
      <c r="AM25" s="25"/>
      <c r="AN25" s="25"/>
    </row>
    <row r="26">
      <c r="A26" s="80"/>
      <c r="B26" s="31"/>
      <c r="C26" s="53" t="str">
        <f>Config!C24</f>
        <v>2026_C_PR_B3_CONFIG21</v>
      </c>
      <c r="D26" s="86">
        <v>300.0</v>
      </c>
      <c r="E26" s="87">
        <v>0.2</v>
      </c>
      <c r="F26" s="86">
        <v>-0.0500000000000002</v>
      </c>
      <c r="G26" s="87">
        <f>Config!K24</f>
        <v>0.4</v>
      </c>
      <c r="H26" s="90">
        <f>Config!N24/Config!E24</f>
        <v>0.3</v>
      </c>
      <c r="I26" s="91">
        <v>0.0250000000000001</v>
      </c>
      <c r="J26" s="91">
        <f>Config!L24</f>
        <v>0.2</v>
      </c>
      <c r="P26" s="25"/>
      <c r="Q26" s="25"/>
      <c r="R26" s="25"/>
      <c r="S26" s="25"/>
      <c r="T26" s="25"/>
      <c r="U26" s="26"/>
      <c r="V26" s="25"/>
      <c r="W26" s="25"/>
      <c r="X26" s="26"/>
      <c r="Y26" s="26"/>
      <c r="Z26" s="26"/>
      <c r="AA26" s="26"/>
      <c r="AB26" s="26"/>
      <c r="AC26" s="26"/>
      <c r="AD26" s="26"/>
      <c r="AE26" s="25"/>
      <c r="AF26" s="25"/>
      <c r="AG26" s="26"/>
      <c r="AH26" s="25"/>
      <c r="AI26" s="25"/>
      <c r="AJ26" s="25"/>
      <c r="AK26" s="25"/>
      <c r="AL26" s="25"/>
      <c r="AM26" s="25"/>
      <c r="AN26" s="25"/>
    </row>
    <row r="27">
      <c r="A27" s="80"/>
      <c r="B27" s="31"/>
      <c r="C27" s="53" t="str">
        <f>Config!C25</f>
        <v>2026_C_PR_B3_CONFIG22</v>
      </c>
      <c r="D27" s="86">
        <v>300.0</v>
      </c>
      <c r="E27" s="87">
        <v>0.2</v>
      </c>
      <c r="F27" s="86">
        <v>-0.0500000000000002</v>
      </c>
      <c r="G27" s="87">
        <f>Config!K25</f>
        <v>0.4</v>
      </c>
      <c r="H27" s="90">
        <f>Config!N25/Config!E25</f>
        <v>0.3</v>
      </c>
      <c r="I27" s="91">
        <v>0.0250000000000002</v>
      </c>
      <c r="J27" s="91">
        <f>Config!L25</f>
        <v>0.2</v>
      </c>
      <c r="P27" s="25"/>
      <c r="Q27" s="25"/>
      <c r="R27" s="25"/>
      <c r="S27" s="25"/>
      <c r="T27" s="25"/>
      <c r="U27" s="26"/>
      <c r="V27" s="25"/>
      <c r="W27" s="25"/>
      <c r="X27" s="26"/>
      <c r="Y27" s="26"/>
      <c r="Z27" s="26"/>
      <c r="AA27" s="26"/>
      <c r="AB27" s="26"/>
      <c r="AC27" s="26"/>
      <c r="AD27" s="26"/>
      <c r="AE27" s="25"/>
      <c r="AF27" s="25"/>
      <c r="AG27" s="26"/>
      <c r="AH27" s="25"/>
      <c r="AI27" s="25"/>
      <c r="AJ27" s="25"/>
      <c r="AK27" s="25"/>
      <c r="AL27" s="25"/>
      <c r="AM27" s="25"/>
      <c r="AN27" s="25"/>
    </row>
    <row r="28">
      <c r="A28" s="80"/>
      <c r="B28" s="31"/>
      <c r="C28" s="53" t="str">
        <f>Config!C26</f>
        <v>2026_C_PR_B3_CONFIG23</v>
      </c>
      <c r="D28" s="86">
        <v>300.0</v>
      </c>
      <c r="E28" s="87">
        <v>0.2</v>
      </c>
      <c r="F28" s="86">
        <v>-0.0500000000000002</v>
      </c>
      <c r="G28" s="88">
        <f>Config!K26</f>
        <v>0.4</v>
      </c>
      <c r="H28" s="89">
        <f>Config!N26/Config!E26</f>
        <v>0.3</v>
      </c>
      <c r="I28" s="88">
        <v>0.0250000000000002</v>
      </c>
      <c r="J28" s="87">
        <f>Config!L26</f>
        <v>0.2</v>
      </c>
      <c r="P28" s="25"/>
      <c r="Q28" s="25"/>
      <c r="R28" s="25"/>
      <c r="S28" s="25"/>
      <c r="T28" s="25"/>
      <c r="U28" s="26"/>
      <c r="V28" s="25"/>
      <c r="W28" s="25"/>
      <c r="X28" s="26"/>
      <c r="Y28" s="26"/>
      <c r="Z28" s="26"/>
      <c r="AA28" s="26"/>
      <c r="AB28" s="26"/>
      <c r="AC28" s="26"/>
      <c r="AD28" s="26"/>
      <c r="AE28" s="25"/>
      <c r="AF28" s="25"/>
      <c r="AG28" s="26"/>
      <c r="AH28" s="25"/>
      <c r="AI28" s="25"/>
      <c r="AJ28" s="25"/>
      <c r="AK28" s="25"/>
      <c r="AL28" s="25"/>
      <c r="AM28" s="25"/>
      <c r="AN28" s="25"/>
    </row>
    <row r="29">
      <c r="A29" s="80"/>
      <c r="B29" s="35"/>
      <c r="C29" s="54" t="str">
        <f>Config!C27</f>
        <v>2026_C_PR_B3_CONFIG24</v>
      </c>
      <c r="D29" s="92">
        <v>300.0</v>
      </c>
      <c r="E29" s="93">
        <v>0.2</v>
      </c>
      <c r="F29" s="92">
        <v>-0.0500000000000002</v>
      </c>
      <c r="G29" s="94">
        <f>Config!K27</f>
        <v>0.4</v>
      </c>
      <c r="H29" s="95">
        <f>Config!N27/Config!E27</f>
        <v>0.3</v>
      </c>
      <c r="I29" s="94">
        <v>0.0250000000000002</v>
      </c>
      <c r="J29" s="93">
        <f>Config!L27</f>
        <v>0.2</v>
      </c>
      <c r="P29" s="25"/>
      <c r="Q29" s="25"/>
      <c r="R29" s="25"/>
      <c r="S29" s="25"/>
      <c r="T29" s="25"/>
      <c r="U29" s="26"/>
      <c r="V29" s="25"/>
      <c r="W29" s="25"/>
      <c r="X29" s="26"/>
      <c r="Y29" s="26"/>
      <c r="Z29" s="26"/>
      <c r="AA29" s="26"/>
      <c r="AB29" s="26"/>
      <c r="AC29" s="26"/>
      <c r="AD29" s="26"/>
      <c r="AE29" s="25"/>
      <c r="AF29" s="25"/>
      <c r="AG29" s="26"/>
      <c r="AH29" s="25"/>
      <c r="AI29" s="25"/>
      <c r="AJ29" s="25"/>
      <c r="AK29" s="25"/>
      <c r="AL29" s="25"/>
      <c r="AM29" s="25"/>
      <c r="AN29" s="25"/>
    </row>
    <row r="30">
      <c r="A30" s="80"/>
      <c r="B30" s="21" t="s">
        <v>43</v>
      </c>
      <c r="C30" s="53" t="str">
        <f>Config!C28</f>
        <v>2026_C_PR_B3_CONFIG25</v>
      </c>
      <c r="D30" s="86">
        <v>300.0</v>
      </c>
      <c r="E30" s="87">
        <v>0.2</v>
      </c>
      <c r="F30" s="86">
        <v>-0.0500000000000003</v>
      </c>
      <c r="G30" s="88">
        <f>Config!K28</f>
        <v>0.4</v>
      </c>
      <c r="H30" s="89">
        <f>Config!N28/Config!E28</f>
        <v>5.3</v>
      </c>
      <c r="I30" s="88">
        <v>0.0250000000000002</v>
      </c>
      <c r="J30" s="87">
        <f>Config!L28</f>
        <v>0.2</v>
      </c>
      <c r="P30" s="25"/>
      <c r="Q30" s="25"/>
      <c r="R30" s="25"/>
      <c r="S30" s="25"/>
      <c r="T30" s="25"/>
      <c r="U30" s="26"/>
      <c r="V30" s="25"/>
      <c r="W30" s="25"/>
      <c r="X30" s="26"/>
      <c r="Y30" s="26"/>
      <c r="Z30" s="26"/>
      <c r="AA30" s="26"/>
      <c r="AB30" s="26"/>
      <c r="AC30" s="26"/>
      <c r="AD30" s="26"/>
      <c r="AE30" s="25"/>
      <c r="AF30" s="25"/>
      <c r="AG30" s="26"/>
      <c r="AH30" s="25"/>
      <c r="AI30" s="25"/>
      <c r="AJ30" s="25"/>
      <c r="AK30" s="25"/>
      <c r="AL30" s="25"/>
      <c r="AM30" s="25"/>
      <c r="AN30" s="25"/>
    </row>
    <row r="31">
      <c r="A31" s="80"/>
      <c r="B31" s="31"/>
      <c r="C31" s="53" t="str">
        <f>Config!C29</f>
        <v>2026_C_PR_B3_CONFIG26</v>
      </c>
      <c r="D31" s="86">
        <v>300.0</v>
      </c>
      <c r="E31" s="87">
        <v>0.2</v>
      </c>
      <c r="F31" s="86">
        <v>-0.0500000000000003</v>
      </c>
      <c r="G31" s="88">
        <f>Config!K29</f>
        <v>0.4</v>
      </c>
      <c r="H31" s="89">
        <f>Config!N29/Config!E29</f>
        <v>5.657142857</v>
      </c>
      <c r="I31" s="88">
        <v>0.0250000000000002</v>
      </c>
      <c r="J31" s="87">
        <f>Config!L29</f>
        <v>0.2</v>
      </c>
      <c r="P31" s="25"/>
      <c r="Q31" s="25"/>
      <c r="R31" s="25"/>
      <c r="S31" s="25"/>
      <c r="T31" s="25"/>
      <c r="U31" s="26"/>
      <c r="V31" s="25"/>
      <c r="W31" s="25"/>
      <c r="X31" s="26"/>
      <c r="Y31" s="26"/>
      <c r="Z31" s="26"/>
      <c r="AA31" s="26"/>
      <c r="AB31" s="26"/>
      <c r="AC31" s="26"/>
      <c r="AD31" s="26"/>
      <c r="AE31" s="25"/>
      <c r="AF31" s="25"/>
      <c r="AG31" s="26"/>
      <c r="AH31" s="25"/>
      <c r="AI31" s="25"/>
      <c r="AJ31" s="25"/>
      <c r="AK31" s="25"/>
      <c r="AL31" s="25"/>
      <c r="AM31" s="25"/>
      <c r="AN31" s="25"/>
    </row>
    <row r="32">
      <c r="A32" s="80"/>
      <c r="B32" s="31"/>
      <c r="C32" s="53" t="str">
        <f>Config!C30</f>
        <v>2026_C_PR_B3_CONFIG27</v>
      </c>
      <c r="D32" s="86">
        <v>300.0</v>
      </c>
      <c r="E32" s="87">
        <v>0.2</v>
      </c>
      <c r="F32" s="86">
        <v>-0.0500000000000003</v>
      </c>
      <c r="G32" s="88">
        <f>Config!K30</f>
        <v>0.4</v>
      </c>
      <c r="H32" s="89">
        <f>Config!N30/Config!E30</f>
        <v>5.442857143</v>
      </c>
      <c r="I32" s="88">
        <v>0.0250000000000002</v>
      </c>
      <c r="J32" s="87">
        <f>Config!L30</f>
        <v>0.2</v>
      </c>
      <c r="P32" s="25"/>
      <c r="Q32" s="25"/>
      <c r="R32" s="25"/>
      <c r="S32" s="25"/>
      <c r="T32" s="25"/>
      <c r="U32" s="26"/>
      <c r="V32" s="25"/>
      <c r="W32" s="25"/>
      <c r="X32" s="26"/>
      <c r="Y32" s="26"/>
      <c r="Z32" s="26"/>
      <c r="AA32" s="26"/>
      <c r="AB32" s="26"/>
      <c r="AC32" s="26"/>
      <c r="AD32" s="26"/>
      <c r="AE32" s="25"/>
      <c r="AF32" s="25"/>
      <c r="AG32" s="26"/>
      <c r="AH32" s="25"/>
      <c r="AI32" s="25"/>
      <c r="AJ32" s="25"/>
      <c r="AK32" s="25"/>
      <c r="AL32" s="25"/>
      <c r="AM32" s="25"/>
      <c r="AN32" s="25"/>
    </row>
    <row r="33">
      <c r="A33" s="80"/>
      <c r="B33" s="31"/>
      <c r="C33" s="53" t="str">
        <f>Config!C31</f>
        <v>2026_C_PR_B3_CONFIG28</v>
      </c>
      <c r="D33" s="86">
        <v>300.0</v>
      </c>
      <c r="E33" s="87">
        <v>0.2</v>
      </c>
      <c r="F33" s="86">
        <v>-0.0500000000000003</v>
      </c>
      <c r="G33" s="88">
        <f>Config!K31</f>
        <v>0.4</v>
      </c>
      <c r="H33" s="89">
        <f>Config!N31/Config!E31</f>
        <v>5.514285714</v>
      </c>
      <c r="I33" s="88">
        <v>0.0250000000000002</v>
      </c>
      <c r="J33" s="87">
        <f>Config!L31</f>
        <v>0.2</v>
      </c>
      <c r="P33" s="25"/>
      <c r="Q33" s="25"/>
      <c r="R33" s="25"/>
      <c r="S33" s="25"/>
      <c r="T33" s="25"/>
      <c r="U33" s="26"/>
      <c r="V33" s="25"/>
      <c r="W33" s="25"/>
      <c r="X33" s="26"/>
      <c r="Y33" s="26"/>
      <c r="Z33" s="26"/>
      <c r="AA33" s="26"/>
      <c r="AB33" s="26"/>
      <c r="AC33" s="26"/>
      <c r="AD33" s="26"/>
      <c r="AE33" s="25"/>
      <c r="AF33" s="25"/>
      <c r="AG33" s="26"/>
      <c r="AH33" s="25"/>
      <c r="AI33" s="25"/>
      <c r="AJ33" s="25"/>
      <c r="AK33" s="25"/>
      <c r="AL33" s="25"/>
      <c r="AM33" s="25"/>
      <c r="AN33" s="25"/>
    </row>
    <row r="34">
      <c r="A34" s="80"/>
      <c r="B34" s="31"/>
      <c r="C34" s="97" t="str">
        <f>Config!C32</f>
        <v>2026_C_PR_B3_CONFIG29</v>
      </c>
      <c r="D34" s="45">
        <v>300.0</v>
      </c>
      <c r="E34" s="98">
        <v>0.2</v>
      </c>
      <c r="F34" s="45">
        <v>-0.0500000000000003</v>
      </c>
      <c r="G34" s="99">
        <f>Config!K32</f>
        <v>0.4</v>
      </c>
      <c r="H34" s="100">
        <f>Config!N32/Config!E32</f>
        <v>5.55</v>
      </c>
      <c r="I34" s="99">
        <v>0.0250000000000002</v>
      </c>
      <c r="J34" s="98">
        <f>Config!L32</f>
        <v>0.2</v>
      </c>
      <c r="P34" s="25"/>
      <c r="Q34" s="25"/>
      <c r="R34" s="25"/>
      <c r="S34" s="25"/>
      <c r="T34" s="25"/>
      <c r="U34" s="26"/>
      <c r="V34" s="25"/>
      <c r="W34" s="25"/>
      <c r="X34" s="26"/>
      <c r="Y34" s="26"/>
      <c r="Z34" s="26"/>
      <c r="AA34" s="26"/>
      <c r="AB34" s="26"/>
      <c r="AC34" s="26"/>
      <c r="AD34" s="26"/>
      <c r="AE34" s="25"/>
      <c r="AF34" s="25"/>
      <c r="AG34" s="26"/>
      <c r="AH34" s="25"/>
      <c r="AI34" s="25"/>
      <c r="AJ34" s="25"/>
      <c r="AK34" s="25"/>
      <c r="AL34" s="25"/>
      <c r="AM34" s="25"/>
      <c r="AN34" s="25"/>
    </row>
    <row r="35">
      <c r="A35" s="80"/>
      <c r="B35" s="35"/>
      <c r="C35" s="54" t="str">
        <f>Config!C33</f>
        <v>2026_C_PR_B3_CONFIG30</v>
      </c>
      <c r="D35" s="92">
        <v>300.0</v>
      </c>
      <c r="E35" s="93">
        <v>0.2</v>
      </c>
      <c r="F35" s="92">
        <v>-0.0500000000000003</v>
      </c>
      <c r="G35" s="94">
        <f>Config!K33</f>
        <v>0.4</v>
      </c>
      <c r="H35" s="95">
        <f>Config!N33/Config!E33</f>
        <v>1.3</v>
      </c>
      <c r="I35" s="94">
        <v>0.0250000000000002</v>
      </c>
      <c r="J35" s="93">
        <f>Config!L33</f>
        <v>0.2</v>
      </c>
      <c r="P35" s="25"/>
      <c r="Q35" s="25"/>
      <c r="R35" s="25"/>
      <c r="S35" s="25"/>
      <c r="T35" s="25"/>
      <c r="U35" s="26"/>
      <c r="V35" s="25"/>
      <c r="W35" s="25"/>
      <c r="X35" s="26"/>
      <c r="Y35" s="26"/>
      <c r="Z35" s="26"/>
      <c r="AA35" s="26"/>
      <c r="AB35" s="26"/>
      <c r="AC35" s="26"/>
      <c r="AD35" s="26"/>
      <c r="AE35" s="25"/>
      <c r="AF35" s="25"/>
      <c r="AG35" s="26"/>
      <c r="AH35" s="25"/>
      <c r="AI35" s="25"/>
      <c r="AJ35" s="25"/>
      <c r="AK35" s="25"/>
      <c r="AL35" s="25"/>
      <c r="AM35" s="25"/>
      <c r="AN35" s="25"/>
    </row>
    <row r="36">
      <c r="A36" s="80"/>
      <c r="B36" s="21" t="s">
        <v>51</v>
      </c>
      <c r="C36" s="53" t="str">
        <f>Config!C34</f>
        <v>2026_C_PR_B3_CONFIG31</v>
      </c>
      <c r="D36" s="86">
        <v>300.0</v>
      </c>
      <c r="E36" s="87">
        <v>0.2</v>
      </c>
      <c r="F36" s="86">
        <v>-0.0500000000000003</v>
      </c>
      <c r="G36" s="87">
        <f>Config!K34</f>
        <v>0.4</v>
      </c>
      <c r="H36" s="90">
        <f>Config!N34/Config!E34</f>
        <v>4.925</v>
      </c>
      <c r="I36" s="91">
        <v>0.0250000000000002</v>
      </c>
      <c r="J36" s="91">
        <f>Config!L34</f>
        <v>0.2</v>
      </c>
      <c r="P36" s="25"/>
      <c r="Q36" s="25"/>
      <c r="R36" s="25"/>
      <c r="S36" s="25"/>
      <c r="T36" s="25"/>
      <c r="U36" s="26"/>
      <c r="V36" s="25"/>
      <c r="W36" s="25"/>
      <c r="X36" s="26"/>
      <c r="Y36" s="26"/>
      <c r="Z36" s="26"/>
      <c r="AA36" s="26"/>
      <c r="AB36" s="26"/>
      <c r="AC36" s="26"/>
      <c r="AD36" s="26"/>
      <c r="AE36" s="25"/>
      <c r="AF36" s="25"/>
      <c r="AG36" s="26"/>
      <c r="AH36" s="25"/>
      <c r="AI36" s="25"/>
      <c r="AJ36" s="25"/>
      <c r="AK36" s="25"/>
      <c r="AL36" s="25"/>
      <c r="AM36" s="25"/>
      <c r="AN36" s="25"/>
    </row>
    <row r="37">
      <c r="A37" s="80"/>
      <c r="B37" s="31"/>
      <c r="C37" s="53" t="str">
        <f>Config!C35</f>
        <v>2026_C_PR_B3_CONFIG32</v>
      </c>
      <c r="D37" s="86">
        <v>300.0</v>
      </c>
      <c r="E37" s="87">
        <v>0.2</v>
      </c>
      <c r="F37" s="86">
        <v>-0.0500000000000003</v>
      </c>
      <c r="G37" s="87">
        <f>Config!K35</f>
        <v>0.4</v>
      </c>
      <c r="H37" s="90">
        <f>Config!N35/Config!E35</f>
        <v>4.9875</v>
      </c>
      <c r="I37" s="91">
        <v>0.0250000000000002</v>
      </c>
      <c r="J37" s="91">
        <f>Config!L35</f>
        <v>0.2</v>
      </c>
      <c r="P37" s="25"/>
      <c r="Q37" s="25"/>
      <c r="R37" s="25"/>
      <c r="S37" s="25"/>
      <c r="T37" s="25"/>
      <c r="U37" s="26"/>
      <c r="V37" s="25"/>
      <c r="W37" s="25"/>
      <c r="X37" s="26"/>
      <c r="Y37" s="26"/>
      <c r="Z37" s="26"/>
      <c r="AA37" s="26"/>
      <c r="AB37" s="26"/>
      <c r="AC37" s="26"/>
      <c r="AD37" s="26"/>
      <c r="AE37" s="25"/>
      <c r="AF37" s="25"/>
      <c r="AG37" s="26"/>
      <c r="AH37" s="25"/>
      <c r="AI37" s="25"/>
      <c r="AJ37" s="25"/>
      <c r="AK37" s="25"/>
      <c r="AL37" s="25"/>
      <c r="AM37" s="25"/>
      <c r="AN37" s="25"/>
    </row>
    <row r="38">
      <c r="A38" s="80"/>
      <c r="B38" s="31"/>
      <c r="C38" s="53" t="str">
        <f>Config!C36</f>
        <v>2026_C_PR_B3_CONFIG33</v>
      </c>
      <c r="D38" s="25">
        <v>300.0</v>
      </c>
      <c r="E38" s="77">
        <v>0.2</v>
      </c>
      <c r="F38" s="25">
        <v>-0.0500000000000003</v>
      </c>
      <c r="G38" s="77">
        <f>Config!K36</f>
        <v>0.4</v>
      </c>
      <c r="H38" s="101">
        <f>Config!N36/Config!E36</f>
        <v>0.300125</v>
      </c>
      <c r="I38" s="27">
        <v>0.0250000000000002</v>
      </c>
      <c r="J38" s="27">
        <f>Config!L36</f>
        <v>0.2</v>
      </c>
      <c r="P38" s="25"/>
      <c r="Q38" s="25"/>
      <c r="R38" s="25"/>
      <c r="S38" s="25"/>
      <c r="T38" s="25"/>
      <c r="U38" s="26"/>
      <c r="V38" s="25"/>
      <c r="W38" s="25"/>
      <c r="X38" s="26"/>
      <c r="Y38" s="26"/>
      <c r="Z38" s="26"/>
      <c r="AA38" s="26"/>
      <c r="AB38" s="26"/>
      <c r="AC38" s="26"/>
      <c r="AD38" s="26"/>
      <c r="AE38" s="25"/>
      <c r="AF38" s="25"/>
      <c r="AG38" s="26"/>
      <c r="AH38" s="25"/>
      <c r="AI38" s="25"/>
      <c r="AJ38" s="25"/>
      <c r="AK38" s="25"/>
      <c r="AL38" s="25"/>
      <c r="AM38" s="25"/>
      <c r="AN38" s="25"/>
    </row>
    <row r="39">
      <c r="A39" s="80"/>
      <c r="B39" s="31"/>
      <c r="C39" s="53" t="str">
        <f>Config!C37</f>
        <v>2026_C_PR_B3_CONFIG34</v>
      </c>
      <c r="D39" s="86">
        <v>300.0</v>
      </c>
      <c r="E39" s="87">
        <v>0.2</v>
      </c>
      <c r="F39" s="86">
        <v>-0.0500000000000003</v>
      </c>
      <c r="G39" s="87">
        <f>Config!K37</f>
        <v>0.4</v>
      </c>
      <c r="H39" s="90">
        <f>Config!N37/Config!E37</f>
        <v>0.300125</v>
      </c>
      <c r="I39" s="91">
        <v>0.0250000000000002</v>
      </c>
      <c r="J39" s="91">
        <f>Config!L37</f>
        <v>0.2</v>
      </c>
      <c r="P39" s="25"/>
      <c r="Q39" s="25"/>
      <c r="R39" s="25"/>
      <c r="S39" s="25"/>
      <c r="T39" s="25"/>
      <c r="U39" s="26"/>
      <c r="V39" s="25"/>
      <c r="W39" s="25"/>
      <c r="X39" s="26"/>
      <c r="Y39" s="26"/>
      <c r="Z39" s="26"/>
      <c r="AA39" s="26"/>
      <c r="AB39" s="26"/>
      <c r="AC39" s="26"/>
      <c r="AD39" s="26"/>
      <c r="AE39" s="25"/>
      <c r="AF39" s="25"/>
      <c r="AG39" s="26"/>
      <c r="AH39" s="25"/>
      <c r="AI39" s="25"/>
      <c r="AJ39" s="25"/>
      <c r="AK39" s="25"/>
      <c r="AL39" s="25"/>
      <c r="AM39" s="25"/>
      <c r="AN39" s="25"/>
    </row>
    <row r="40">
      <c r="A40" s="80"/>
      <c r="B40" s="31"/>
      <c r="C40" s="53" t="str">
        <f>Config!C38</f>
        <v>2026_C_PR_B1_CONFIG35</v>
      </c>
      <c r="D40" s="86">
        <v>639.0</v>
      </c>
      <c r="E40" s="87">
        <v>0.2</v>
      </c>
      <c r="F40" s="86">
        <v>-0.0500000000000003</v>
      </c>
      <c r="G40" s="87">
        <f>Config!K38</f>
        <v>0.4</v>
      </c>
      <c r="H40" s="90">
        <f>Config!N38/Config!E38</f>
        <v>1.3</v>
      </c>
      <c r="I40" s="91">
        <v>0.0250000000000002</v>
      </c>
      <c r="J40" s="91">
        <f>Config!L38</f>
        <v>0.2</v>
      </c>
      <c r="P40" s="25"/>
      <c r="Q40" s="25"/>
      <c r="R40" s="25"/>
      <c r="S40" s="25"/>
      <c r="T40" s="25"/>
      <c r="U40" s="26"/>
      <c r="V40" s="25"/>
      <c r="W40" s="25"/>
      <c r="X40" s="26"/>
      <c r="Y40" s="26"/>
      <c r="Z40" s="26"/>
      <c r="AA40" s="26"/>
      <c r="AB40" s="26"/>
      <c r="AC40" s="26"/>
      <c r="AD40" s="26"/>
      <c r="AE40" s="25"/>
      <c r="AF40" s="25"/>
      <c r="AG40" s="26"/>
      <c r="AH40" s="25"/>
      <c r="AI40" s="25"/>
      <c r="AJ40" s="25"/>
      <c r="AK40" s="25"/>
      <c r="AL40" s="25"/>
      <c r="AM40" s="25"/>
      <c r="AN40" s="25"/>
    </row>
    <row r="41">
      <c r="A41" s="80"/>
      <c r="B41" s="35"/>
      <c r="C41" s="54" t="str">
        <f>Config!C39</f>
        <v>2026_C_PR_B1_CONFIG36</v>
      </c>
      <c r="D41" s="92">
        <v>639.0</v>
      </c>
      <c r="E41" s="93">
        <v>0.2</v>
      </c>
      <c r="F41" s="92">
        <v>-0.0500000000000003</v>
      </c>
      <c r="G41" s="93">
        <f>Config!K39</f>
        <v>0.4</v>
      </c>
      <c r="H41" s="102">
        <f>Config!N39/Config!E39</f>
        <v>1.3</v>
      </c>
      <c r="I41" s="103">
        <v>0.0250000000000002</v>
      </c>
      <c r="J41" s="103">
        <f>Config!L39</f>
        <v>0.2</v>
      </c>
      <c r="P41" s="25"/>
      <c r="Q41" s="25"/>
      <c r="R41" s="25"/>
      <c r="S41" s="25"/>
      <c r="T41" s="25"/>
      <c r="U41" s="26"/>
      <c r="V41" s="25"/>
      <c r="W41" s="25"/>
      <c r="X41" s="26"/>
      <c r="Y41" s="26"/>
      <c r="Z41" s="26"/>
      <c r="AA41" s="26"/>
      <c r="AB41" s="26"/>
      <c r="AC41" s="26"/>
      <c r="AD41" s="26"/>
      <c r="AE41" s="25"/>
      <c r="AF41" s="25"/>
      <c r="AG41" s="26"/>
      <c r="AH41" s="25"/>
      <c r="AI41" s="25"/>
      <c r="AJ41" s="25"/>
      <c r="AK41" s="25"/>
      <c r="AL41" s="25"/>
      <c r="AM41" s="25"/>
      <c r="AN41" s="25"/>
    </row>
    <row r="42">
      <c r="A42" s="80"/>
      <c r="B42" s="21" t="s">
        <v>59</v>
      </c>
      <c r="C42" s="97" t="str">
        <f>Config!C40</f>
        <v>2026_C_PR_B1_CONFIG37</v>
      </c>
      <c r="D42" s="45">
        <v>639.0</v>
      </c>
      <c r="E42" s="98">
        <v>0.2</v>
      </c>
      <c r="F42" s="45">
        <v>-0.0500000000000003</v>
      </c>
      <c r="G42" s="98">
        <f>Config!K40</f>
        <v>0.4</v>
      </c>
      <c r="H42" s="104">
        <f>Config!N40/Config!E40</f>
        <v>5.55</v>
      </c>
      <c r="I42" s="47">
        <v>0.0250000000000002</v>
      </c>
      <c r="J42" s="47">
        <f>Config!L40</f>
        <v>0.2</v>
      </c>
      <c r="P42" s="25"/>
      <c r="Q42" s="25"/>
      <c r="R42" s="25"/>
      <c r="S42" s="25"/>
      <c r="T42" s="25"/>
      <c r="U42" s="26"/>
      <c r="V42" s="25"/>
      <c r="W42" s="25"/>
      <c r="X42" s="26"/>
      <c r="Y42" s="26"/>
      <c r="Z42" s="26"/>
      <c r="AA42" s="26"/>
      <c r="AB42" s="26"/>
      <c r="AC42" s="26"/>
      <c r="AD42" s="26"/>
      <c r="AE42" s="25"/>
      <c r="AF42" s="25"/>
      <c r="AG42" s="26"/>
      <c r="AH42" s="25"/>
      <c r="AI42" s="25"/>
      <c r="AJ42" s="25"/>
      <c r="AK42" s="25"/>
      <c r="AL42" s="25"/>
      <c r="AM42" s="25"/>
      <c r="AN42" s="25"/>
    </row>
    <row r="43">
      <c r="A43" s="80"/>
      <c r="B43" s="31"/>
      <c r="C43" s="53" t="str">
        <f>Config!C41</f>
        <v>2026_C_PR_B1_CONFIG38</v>
      </c>
      <c r="D43" s="86">
        <v>639.0</v>
      </c>
      <c r="E43" s="87">
        <v>0.2</v>
      </c>
      <c r="F43" s="86">
        <v>-0.0500000000000003</v>
      </c>
      <c r="G43" s="87">
        <f>Config!K41</f>
        <v>0.4</v>
      </c>
      <c r="H43" s="90">
        <f>Config!N41/Config!E41</f>
        <v>5.55</v>
      </c>
      <c r="I43" s="91">
        <v>0.0250000000000002</v>
      </c>
      <c r="J43" s="91">
        <f>Config!L41</f>
        <v>0.2</v>
      </c>
      <c r="P43" s="25"/>
      <c r="Q43" s="25"/>
      <c r="R43" s="25"/>
      <c r="S43" s="25"/>
      <c r="T43" s="25"/>
      <c r="U43" s="26"/>
      <c r="V43" s="25"/>
      <c r="W43" s="25"/>
      <c r="X43" s="26"/>
      <c r="Y43" s="26"/>
      <c r="Z43" s="26"/>
      <c r="AA43" s="26"/>
      <c r="AB43" s="26"/>
      <c r="AC43" s="26"/>
      <c r="AD43" s="26"/>
      <c r="AE43" s="25"/>
      <c r="AF43" s="25"/>
      <c r="AG43" s="26"/>
      <c r="AH43" s="25"/>
      <c r="AI43" s="25"/>
      <c r="AJ43" s="25"/>
      <c r="AK43" s="25"/>
      <c r="AL43" s="25"/>
      <c r="AM43" s="25"/>
      <c r="AN43" s="25"/>
    </row>
    <row r="44">
      <c r="A44" s="80"/>
      <c r="B44" s="31"/>
      <c r="C44" s="53" t="str">
        <f>Config!C42</f>
        <v>2026_C_PR_B1_CONFIG39</v>
      </c>
      <c r="D44" s="86">
        <v>639.0</v>
      </c>
      <c r="E44" s="87">
        <v>0.2</v>
      </c>
      <c r="F44" s="86">
        <v>-0.0500000000000003</v>
      </c>
      <c r="G44" s="87">
        <f>Config!K42</f>
        <v>0.4</v>
      </c>
      <c r="H44" s="90">
        <f>Config!N42/Config!E42</f>
        <v>5.55</v>
      </c>
      <c r="I44" s="91">
        <v>0.0250000000000002</v>
      </c>
      <c r="J44" s="91">
        <f>Config!L42</f>
        <v>0.2</v>
      </c>
      <c r="P44" s="25"/>
      <c r="Q44" s="25"/>
      <c r="R44" s="25"/>
      <c r="S44" s="25"/>
      <c r="T44" s="25"/>
      <c r="U44" s="26"/>
      <c r="V44" s="25"/>
      <c r="W44" s="25"/>
      <c r="X44" s="26"/>
      <c r="Y44" s="26"/>
      <c r="Z44" s="26"/>
      <c r="AA44" s="26"/>
      <c r="AB44" s="26"/>
      <c r="AC44" s="26"/>
      <c r="AD44" s="26"/>
      <c r="AE44" s="25"/>
      <c r="AF44" s="25"/>
      <c r="AG44" s="26"/>
      <c r="AH44" s="25"/>
      <c r="AI44" s="25"/>
      <c r="AJ44" s="25"/>
      <c r="AK44" s="25"/>
      <c r="AL44" s="25"/>
      <c r="AM44" s="25"/>
      <c r="AN44" s="25"/>
    </row>
    <row r="45">
      <c r="A45" s="80"/>
      <c r="B45" s="31"/>
      <c r="C45" s="53" t="str">
        <f>Config!C43</f>
        <v>2026_C_PR_B1_CONFIG40</v>
      </c>
      <c r="D45" s="86">
        <v>639.0</v>
      </c>
      <c r="E45" s="87">
        <v>0.2</v>
      </c>
      <c r="F45" s="86">
        <v>-0.0500000000000003</v>
      </c>
      <c r="G45" s="87">
        <f>Config!K43</f>
        <v>0.4</v>
      </c>
      <c r="H45" s="90">
        <f>Config!N43/Config!E43</f>
        <v>5.55</v>
      </c>
      <c r="I45" s="91">
        <v>0.0250000000000002</v>
      </c>
      <c r="J45" s="91">
        <f>Config!L43</f>
        <v>0.2</v>
      </c>
      <c r="P45" s="25"/>
      <c r="Q45" s="25"/>
      <c r="R45" s="25"/>
      <c r="S45" s="25"/>
      <c r="T45" s="25"/>
      <c r="U45" s="26"/>
      <c r="V45" s="25"/>
      <c r="W45" s="25"/>
      <c r="X45" s="26"/>
      <c r="Y45" s="26"/>
      <c r="Z45" s="26"/>
      <c r="AA45" s="26"/>
      <c r="AB45" s="26"/>
      <c r="AC45" s="26"/>
      <c r="AD45" s="26"/>
      <c r="AE45" s="25"/>
      <c r="AF45" s="25"/>
      <c r="AG45" s="26"/>
      <c r="AH45" s="25"/>
      <c r="AI45" s="25"/>
      <c r="AJ45" s="25"/>
      <c r="AK45" s="25"/>
      <c r="AL45" s="25"/>
      <c r="AM45" s="25"/>
      <c r="AN45" s="25"/>
    </row>
    <row r="46">
      <c r="A46" s="80"/>
      <c r="B46" s="31"/>
      <c r="C46" s="53" t="str">
        <f>Config!C44</f>
        <v>2026_C_PR_B1_CONFIG41</v>
      </c>
      <c r="D46" s="86">
        <v>639.0</v>
      </c>
      <c r="E46" s="87">
        <v>0.2</v>
      </c>
      <c r="F46" s="86">
        <v>-0.0500000000000003</v>
      </c>
      <c r="G46" s="87">
        <f>Config!K44</f>
        <v>0.4</v>
      </c>
      <c r="H46" s="90">
        <f>Config!N44/Config!E44</f>
        <v>5.55</v>
      </c>
      <c r="I46" s="91">
        <v>0.0250000000000002</v>
      </c>
      <c r="J46" s="91">
        <f>Config!L44</f>
        <v>0.2</v>
      </c>
      <c r="P46" s="25"/>
      <c r="Q46" s="25"/>
      <c r="R46" s="25"/>
      <c r="S46" s="25"/>
      <c r="T46" s="25"/>
      <c r="U46" s="26"/>
      <c r="V46" s="25"/>
      <c r="W46" s="25"/>
      <c r="X46" s="26"/>
      <c r="Y46" s="26"/>
      <c r="Z46" s="26"/>
      <c r="AA46" s="26"/>
      <c r="AB46" s="26"/>
      <c r="AC46" s="26"/>
      <c r="AD46" s="26"/>
      <c r="AE46" s="25"/>
      <c r="AF46" s="25"/>
      <c r="AG46" s="26"/>
      <c r="AH46" s="25"/>
      <c r="AI46" s="25"/>
      <c r="AJ46" s="25"/>
      <c r="AK46" s="25"/>
      <c r="AL46" s="25"/>
      <c r="AM46" s="25"/>
      <c r="AN46" s="25"/>
    </row>
    <row r="47">
      <c r="A47" s="80"/>
      <c r="B47" s="31"/>
      <c r="C47" s="53" t="str">
        <f>Config!C45</f>
        <v>2026_C_PR_B1_CONFIG42</v>
      </c>
      <c r="D47" s="86">
        <v>639.0</v>
      </c>
      <c r="E47" s="87">
        <v>0.2</v>
      </c>
      <c r="F47" s="86">
        <v>-0.0500000000000003</v>
      </c>
      <c r="G47" s="87">
        <f>Config!K45</f>
        <v>0.4</v>
      </c>
      <c r="H47" s="90">
        <f>Config!N45/Config!E45</f>
        <v>5.55</v>
      </c>
      <c r="I47" s="91">
        <v>0.0250000000000002</v>
      </c>
      <c r="J47" s="91">
        <f>Config!L45</f>
        <v>0.2</v>
      </c>
      <c r="P47" s="25"/>
      <c r="Q47" s="25"/>
      <c r="R47" s="25"/>
      <c r="S47" s="25"/>
      <c r="T47" s="25"/>
      <c r="U47" s="26"/>
      <c r="V47" s="25"/>
      <c r="W47" s="25"/>
      <c r="X47" s="26"/>
      <c r="Y47" s="26"/>
      <c r="Z47" s="26"/>
      <c r="AA47" s="26"/>
      <c r="AB47" s="26"/>
      <c r="AC47" s="26"/>
      <c r="AD47" s="26"/>
      <c r="AE47" s="25"/>
      <c r="AF47" s="25"/>
      <c r="AG47" s="26"/>
      <c r="AH47" s="25"/>
      <c r="AI47" s="25"/>
      <c r="AJ47" s="25"/>
      <c r="AK47" s="25"/>
      <c r="AL47" s="25"/>
      <c r="AM47" s="25"/>
      <c r="AN47" s="25"/>
    </row>
    <row r="48">
      <c r="A48" s="80"/>
      <c r="B48" s="31"/>
      <c r="C48" s="53" t="str">
        <f>Config!C46</f>
        <v>2026_C_PR_B1_CONFIG43</v>
      </c>
      <c r="D48" s="86">
        <v>639.0</v>
      </c>
      <c r="E48" s="87">
        <v>0.2</v>
      </c>
      <c r="F48" s="86">
        <v>-0.0500000000000003</v>
      </c>
      <c r="G48" s="87">
        <f>Config!K46</f>
        <v>0.4</v>
      </c>
      <c r="H48" s="90">
        <f>Config!N46/Config!E46</f>
        <v>5.55</v>
      </c>
      <c r="I48" s="91">
        <v>0.0250000000000002</v>
      </c>
      <c r="J48" s="91">
        <f>Config!L46</f>
        <v>0.2</v>
      </c>
      <c r="P48" s="25"/>
      <c r="Q48" s="25"/>
      <c r="R48" s="25"/>
      <c r="S48" s="25"/>
      <c r="T48" s="25"/>
      <c r="U48" s="26"/>
      <c r="V48" s="25"/>
      <c r="W48" s="25"/>
      <c r="X48" s="26"/>
      <c r="Y48" s="26"/>
      <c r="Z48" s="26"/>
      <c r="AA48" s="26"/>
      <c r="AB48" s="26"/>
      <c r="AC48" s="26"/>
      <c r="AD48" s="26"/>
      <c r="AE48" s="25"/>
      <c r="AF48" s="25"/>
      <c r="AG48" s="26"/>
      <c r="AH48" s="25"/>
      <c r="AI48" s="25"/>
      <c r="AJ48" s="25"/>
      <c r="AK48" s="25"/>
      <c r="AL48" s="25"/>
      <c r="AM48" s="25"/>
      <c r="AN48" s="25"/>
    </row>
    <row r="49">
      <c r="A49" s="80"/>
      <c r="B49" s="35"/>
      <c r="C49" s="54" t="str">
        <f>Config!C47</f>
        <v>2026_C_PR_B1_CONFIG44</v>
      </c>
      <c r="D49" s="92">
        <v>639.0</v>
      </c>
      <c r="E49" s="93">
        <v>0.2</v>
      </c>
      <c r="F49" s="92">
        <v>-0.0500000000000003</v>
      </c>
      <c r="G49" s="93">
        <f>Config!K47</f>
        <v>0.4</v>
      </c>
      <c r="H49" s="102">
        <f>Config!N47/Config!E47</f>
        <v>5.55</v>
      </c>
      <c r="I49" s="103">
        <v>0.0250000000000002</v>
      </c>
      <c r="J49" s="103">
        <f>Config!L47</f>
        <v>0.2</v>
      </c>
      <c r="P49" s="25"/>
      <c r="Q49" s="25"/>
      <c r="R49" s="25"/>
      <c r="S49" s="25"/>
      <c r="T49" s="25"/>
      <c r="U49" s="26"/>
      <c r="V49" s="25"/>
      <c r="W49" s="25"/>
      <c r="X49" s="26"/>
      <c r="Y49" s="26"/>
      <c r="Z49" s="26"/>
      <c r="AA49" s="26"/>
      <c r="AB49" s="26"/>
      <c r="AC49" s="26"/>
      <c r="AD49" s="26"/>
      <c r="AE49" s="25"/>
      <c r="AF49" s="25"/>
      <c r="AG49" s="26"/>
      <c r="AH49" s="25"/>
      <c r="AI49" s="25"/>
      <c r="AJ49" s="25"/>
      <c r="AK49" s="25"/>
      <c r="AL49" s="25"/>
      <c r="AM49" s="25"/>
      <c r="AN49" s="25"/>
    </row>
    <row r="50">
      <c r="A50" s="80"/>
      <c r="B50" s="21"/>
      <c r="C50" s="53" t="str">
        <f>Config!C48</f>
        <v>2026_C_PR_B1_CONFIG45</v>
      </c>
      <c r="D50" s="86"/>
      <c r="E50" s="87"/>
      <c r="F50" s="86"/>
      <c r="G50" s="87"/>
      <c r="H50" s="90"/>
      <c r="I50" s="91"/>
      <c r="J50" s="91"/>
      <c r="P50" s="25"/>
      <c r="Q50" s="25"/>
      <c r="R50" s="25"/>
      <c r="S50" s="25"/>
      <c r="T50" s="25"/>
      <c r="U50" s="26"/>
      <c r="V50" s="25"/>
      <c r="W50" s="25"/>
      <c r="X50" s="26"/>
      <c r="Y50" s="26"/>
      <c r="Z50" s="26"/>
      <c r="AA50" s="26"/>
      <c r="AB50" s="26"/>
      <c r="AC50" s="26"/>
      <c r="AD50" s="26"/>
      <c r="AE50" s="25"/>
      <c r="AF50" s="25"/>
      <c r="AG50" s="26"/>
      <c r="AH50" s="25"/>
      <c r="AI50" s="25"/>
      <c r="AJ50" s="25"/>
      <c r="AK50" s="25"/>
      <c r="AL50" s="25"/>
      <c r="AM50" s="25"/>
      <c r="AN50" s="25"/>
    </row>
    <row r="51">
      <c r="A51" s="80"/>
      <c r="B51" s="31"/>
      <c r="C51" s="53" t="str">
        <f>Config!C49</f>
        <v>2026_C_PR_B1_CONFIG46</v>
      </c>
      <c r="D51" s="86"/>
      <c r="E51" s="87"/>
      <c r="F51" s="86"/>
      <c r="G51" s="87"/>
      <c r="H51" s="90"/>
      <c r="I51" s="91"/>
      <c r="J51" s="91"/>
      <c r="P51" s="25"/>
      <c r="Q51" s="25"/>
      <c r="R51" s="25"/>
      <c r="S51" s="25"/>
      <c r="T51" s="25"/>
      <c r="U51" s="26"/>
      <c r="V51" s="25"/>
      <c r="W51" s="25"/>
      <c r="X51" s="26"/>
      <c r="Y51" s="26"/>
      <c r="Z51" s="26"/>
      <c r="AA51" s="26"/>
      <c r="AB51" s="26"/>
      <c r="AC51" s="26"/>
      <c r="AD51" s="26"/>
      <c r="AE51" s="25"/>
      <c r="AF51" s="25"/>
      <c r="AG51" s="26"/>
      <c r="AH51" s="25"/>
      <c r="AI51" s="25"/>
      <c r="AJ51" s="25"/>
      <c r="AK51" s="25"/>
      <c r="AL51" s="25"/>
      <c r="AM51" s="25"/>
      <c r="AN51" s="25"/>
    </row>
    <row r="52">
      <c r="A52" s="80"/>
      <c r="B52" s="31"/>
      <c r="C52" s="53" t="str">
        <f>Config!C50</f>
        <v>2026_C_PR_B1_CONFIG47</v>
      </c>
      <c r="D52" s="86"/>
      <c r="E52" s="87"/>
      <c r="F52" s="86"/>
      <c r="G52" s="87"/>
      <c r="H52" s="90"/>
      <c r="I52" s="91"/>
      <c r="J52" s="91"/>
      <c r="P52" s="25"/>
      <c r="Q52" s="25"/>
      <c r="R52" s="25"/>
      <c r="S52" s="25"/>
      <c r="T52" s="25"/>
      <c r="U52" s="26"/>
      <c r="V52" s="25"/>
      <c r="W52" s="25"/>
      <c r="X52" s="26"/>
      <c r="Y52" s="26"/>
      <c r="Z52" s="26"/>
      <c r="AA52" s="26"/>
      <c r="AB52" s="26"/>
      <c r="AC52" s="26"/>
      <c r="AD52" s="26"/>
      <c r="AE52" s="25"/>
      <c r="AF52" s="25"/>
      <c r="AG52" s="26"/>
      <c r="AH52" s="25"/>
      <c r="AI52" s="25"/>
      <c r="AJ52" s="25"/>
      <c r="AK52" s="25"/>
      <c r="AL52" s="25"/>
      <c r="AM52" s="25"/>
      <c r="AN52" s="25"/>
    </row>
    <row r="53">
      <c r="A53" s="80"/>
      <c r="B53" s="35"/>
      <c r="C53" s="54" t="str">
        <f>Config!C51</f>
        <v>2026_C_PR_B1_CONFIG48</v>
      </c>
      <c r="D53" s="92"/>
      <c r="E53" s="93"/>
      <c r="F53" s="92"/>
      <c r="G53" s="93"/>
      <c r="H53" s="102"/>
      <c r="I53" s="103"/>
      <c r="J53" s="103"/>
      <c r="P53" s="25"/>
      <c r="Q53" s="25"/>
      <c r="R53" s="25"/>
      <c r="S53" s="25"/>
      <c r="T53" s="25"/>
      <c r="U53" s="26"/>
      <c r="V53" s="25"/>
      <c r="W53" s="25"/>
      <c r="X53" s="26"/>
      <c r="Y53" s="26"/>
      <c r="Z53" s="26"/>
      <c r="AA53" s="26"/>
      <c r="AB53" s="26"/>
      <c r="AC53" s="26"/>
      <c r="AD53" s="26"/>
      <c r="AE53" s="25"/>
      <c r="AF53" s="25"/>
      <c r="AG53" s="26"/>
      <c r="AH53" s="25"/>
      <c r="AI53" s="25"/>
      <c r="AJ53" s="25"/>
      <c r="AK53" s="25"/>
      <c r="AL53" s="25"/>
      <c r="AM53" s="25"/>
      <c r="AN53" s="25"/>
    </row>
    <row r="54">
      <c r="A54" s="80"/>
      <c r="P54" s="25"/>
      <c r="Q54" s="25"/>
      <c r="R54" s="25"/>
      <c r="S54" s="25"/>
      <c r="T54" s="25"/>
      <c r="U54" s="26"/>
      <c r="V54" s="25"/>
      <c r="W54" s="25"/>
      <c r="X54" s="26"/>
      <c r="Y54" s="26"/>
      <c r="Z54" s="26"/>
      <c r="AA54" s="26"/>
      <c r="AB54" s="26"/>
      <c r="AC54" s="26"/>
      <c r="AD54" s="26"/>
      <c r="AE54" s="25"/>
      <c r="AF54" s="25"/>
      <c r="AG54" s="26"/>
      <c r="AH54" s="25"/>
      <c r="AI54" s="25"/>
      <c r="AJ54" s="25"/>
      <c r="AK54" s="25"/>
      <c r="AL54" s="25"/>
      <c r="AM54" s="25"/>
      <c r="AN54" s="25"/>
    </row>
    <row r="55">
      <c r="A55" s="80"/>
      <c r="B55" s="105" t="s">
        <v>92</v>
      </c>
      <c r="C55" s="58"/>
      <c r="D55" s="106" t="s">
        <v>93</v>
      </c>
      <c r="E55" s="106" t="s">
        <v>94</v>
      </c>
      <c r="F55" s="107" t="s">
        <v>95</v>
      </c>
      <c r="G55" s="106" t="s">
        <v>96</v>
      </c>
      <c r="H55" s="25"/>
      <c r="I55" s="26"/>
      <c r="L55" s="25"/>
      <c r="M55" s="25"/>
      <c r="N55" s="26"/>
      <c r="O55" s="25"/>
      <c r="P55" s="26"/>
      <c r="W55" s="25"/>
      <c r="X55" s="26"/>
      <c r="Y55" s="26"/>
      <c r="Z55" s="25"/>
      <c r="AA55" s="25"/>
      <c r="AB55" s="25"/>
      <c r="AC55" s="25"/>
      <c r="AD55" s="25"/>
      <c r="AE55" s="26"/>
      <c r="AF55" s="26"/>
      <c r="AG55" s="26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</row>
    <row r="56">
      <c r="A56" s="80"/>
      <c r="B56" s="35"/>
      <c r="C56" s="64"/>
      <c r="D56" s="108" t="s">
        <v>97</v>
      </c>
      <c r="E56" s="108" t="s">
        <v>98</v>
      </c>
      <c r="F56" s="108" t="s">
        <v>99</v>
      </c>
      <c r="G56" s="109" t="s">
        <v>100</v>
      </c>
      <c r="H56" s="25"/>
      <c r="I56" s="25"/>
      <c r="L56" s="25"/>
      <c r="M56" s="25"/>
      <c r="N56" s="25"/>
      <c r="O56" s="25"/>
      <c r="P56" s="25"/>
      <c r="X56" s="25"/>
      <c r="Y56" s="26"/>
      <c r="Z56" s="25"/>
      <c r="AA56" s="25"/>
      <c r="AB56" s="25"/>
      <c r="AC56" s="25"/>
      <c r="AD56" s="25"/>
      <c r="AE56" s="25"/>
      <c r="AF56" s="26"/>
      <c r="AG56" s="26"/>
      <c r="AH56" s="26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</row>
    <row r="57">
      <c r="A57" s="80"/>
      <c r="B57" s="75" t="s">
        <v>13</v>
      </c>
      <c r="C57" s="58"/>
      <c r="D57" s="110">
        <v>289.465</v>
      </c>
      <c r="E57" s="111">
        <v>300.0</v>
      </c>
      <c r="F57" s="110">
        <v>2.605</v>
      </c>
      <c r="G57" s="112">
        <v>9.0</v>
      </c>
      <c r="H57" s="25"/>
      <c r="I57" s="25"/>
      <c r="L57" s="78"/>
      <c r="M57" s="25"/>
      <c r="N57" s="25"/>
      <c r="O57" s="25"/>
      <c r="P57" s="25"/>
      <c r="Q57" s="26"/>
      <c r="X57" s="26"/>
      <c r="Y57" s="26"/>
      <c r="Z57" s="25"/>
      <c r="AA57" s="25"/>
      <c r="AB57" s="25"/>
      <c r="AC57" s="25"/>
      <c r="AD57" s="25"/>
      <c r="AE57" s="26"/>
      <c r="AF57" s="26"/>
      <c r="AG57" s="26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</row>
    <row r="58">
      <c r="A58" s="80"/>
      <c r="B58" s="31"/>
      <c r="D58" s="79">
        <f> (H58*100000 * 0.0280134) / (8.314 * E58)</f>
        <v>0</v>
      </c>
      <c r="E58" s="113">
        <v>300.0</v>
      </c>
      <c r="F58" s="79">
        <f t="shared" ref="F58:F102" si="1">D58*G58/1000</f>
        <v>0</v>
      </c>
      <c r="G58" s="101">
        <v>9.0</v>
      </c>
      <c r="H58" s="25"/>
      <c r="I58" s="25"/>
      <c r="L58" s="114"/>
      <c r="M58" s="114"/>
      <c r="N58" s="114"/>
      <c r="O58" s="78"/>
      <c r="P58" s="25"/>
      <c r="Q58" s="26"/>
      <c r="X58" s="26"/>
      <c r="Y58" s="26"/>
      <c r="Z58" s="25"/>
      <c r="AA58" s="25"/>
      <c r="AB58" s="25"/>
      <c r="AC58" s="25"/>
      <c r="AD58" s="25"/>
      <c r="AE58" s="26"/>
      <c r="AF58" s="26"/>
      <c r="AG58" s="26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</row>
    <row r="59">
      <c r="A59" s="80"/>
      <c r="B59" s="21" t="s">
        <v>15</v>
      </c>
      <c r="C59" s="81" t="str">
        <f>Config!C4</f>
        <v>2026_C_PR_B3_CONFIG1</v>
      </c>
      <c r="D59" s="82">
        <v>289.465</v>
      </c>
      <c r="E59" s="110">
        <v>300.0</v>
      </c>
      <c r="F59" s="115">
        <f t="shared" si="1"/>
        <v>5.21037</v>
      </c>
      <c r="G59" s="112">
        <v>18.0</v>
      </c>
      <c r="H59" s="25"/>
      <c r="I59" s="25"/>
      <c r="L59" s="114"/>
      <c r="M59" s="114"/>
      <c r="N59" s="114"/>
      <c r="O59" s="78"/>
      <c r="P59" s="25"/>
      <c r="Q59" s="26"/>
      <c r="X59" s="26"/>
      <c r="Y59" s="26"/>
      <c r="Z59" s="25"/>
      <c r="AA59" s="25"/>
      <c r="AB59" s="25"/>
      <c r="AC59" s="25"/>
      <c r="AD59" s="25"/>
      <c r="AE59" s="26"/>
      <c r="AF59" s="26"/>
      <c r="AG59" s="26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</row>
    <row r="60">
      <c r="A60" s="80"/>
      <c r="B60" s="31"/>
      <c r="C60" s="53" t="str">
        <f>Config!C5</f>
        <v>2025_C_PR_B3_CONFIG2</v>
      </c>
      <c r="D60" s="86">
        <v>289.465</v>
      </c>
      <c r="E60" s="88">
        <v>300.0</v>
      </c>
      <c r="F60" s="87">
        <f t="shared" si="1"/>
        <v>5.21037</v>
      </c>
      <c r="G60" s="90">
        <v>18.0</v>
      </c>
      <c r="H60" s="25"/>
      <c r="I60" s="25"/>
      <c r="L60" s="114"/>
      <c r="M60" s="114"/>
      <c r="N60" s="114"/>
      <c r="O60" s="78"/>
      <c r="P60" s="25"/>
      <c r="Q60" s="26"/>
      <c r="X60" s="26"/>
      <c r="Y60" s="26"/>
      <c r="Z60" s="25"/>
      <c r="AA60" s="25"/>
      <c r="AB60" s="25"/>
      <c r="AC60" s="25"/>
      <c r="AD60" s="25"/>
      <c r="AE60" s="26"/>
      <c r="AF60" s="26"/>
      <c r="AG60" s="26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</row>
    <row r="61">
      <c r="A61" s="80"/>
      <c r="B61" s="31"/>
      <c r="C61" s="53" t="str">
        <f>Config!C6</f>
        <v>2026_C_PR_B3_CONFIG3</v>
      </c>
      <c r="D61" s="86">
        <v>289.465</v>
      </c>
      <c r="E61" s="88">
        <v>300.0</v>
      </c>
      <c r="F61" s="87">
        <f t="shared" si="1"/>
        <v>5.21037</v>
      </c>
      <c r="G61" s="90">
        <v>18.0</v>
      </c>
      <c r="H61" s="25"/>
      <c r="I61" s="25"/>
      <c r="L61" s="114"/>
      <c r="M61" s="114"/>
      <c r="N61" s="114"/>
      <c r="O61" s="78"/>
      <c r="P61" s="25"/>
      <c r="Q61" s="26"/>
      <c r="R61" s="26"/>
      <c r="S61" s="26"/>
      <c r="T61" s="26"/>
      <c r="U61" s="25"/>
      <c r="V61" s="25"/>
      <c r="W61" s="25"/>
      <c r="X61" s="26"/>
      <c r="Y61" s="26"/>
      <c r="Z61" s="25"/>
      <c r="AA61" s="25"/>
      <c r="AB61" s="25"/>
      <c r="AC61" s="25"/>
      <c r="AD61" s="25"/>
      <c r="AE61" s="26"/>
      <c r="AF61" s="26"/>
      <c r="AG61" s="26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</row>
    <row r="62">
      <c r="A62" s="80"/>
      <c r="B62" s="31"/>
      <c r="C62" s="53" t="str">
        <f>Config!C7</f>
        <v>2025_C_PR_B3_CONFIG4</v>
      </c>
      <c r="D62" s="86">
        <v>289.465</v>
      </c>
      <c r="E62" s="88">
        <v>300.0</v>
      </c>
      <c r="F62" s="87">
        <f t="shared" si="1"/>
        <v>5.21037</v>
      </c>
      <c r="G62" s="90">
        <v>18.0</v>
      </c>
      <c r="H62" s="25"/>
      <c r="I62" s="25"/>
      <c r="L62" s="114"/>
      <c r="M62" s="114"/>
      <c r="N62" s="114"/>
      <c r="O62" s="78"/>
      <c r="P62" s="25"/>
      <c r="Q62" s="26"/>
      <c r="R62" s="26"/>
      <c r="S62" s="26"/>
      <c r="T62" s="26"/>
      <c r="U62" s="25"/>
      <c r="V62" s="25"/>
      <c r="W62" s="25"/>
      <c r="X62" s="26"/>
      <c r="Y62" s="26"/>
      <c r="Z62" s="25"/>
      <c r="AA62" s="25"/>
      <c r="AB62" s="25"/>
      <c r="AC62" s="25"/>
      <c r="AD62" s="25"/>
      <c r="AE62" s="26"/>
      <c r="AF62" s="26"/>
      <c r="AG62" s="26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</row>
    <row r="63">
      <c r="A63" s="80"/>
      <c r="B63" s="31"/>
      <c r="C63" s="53" t="str">
        <f>Config!C8</f>
        <v>2026_C_PR_B3_CONFIG5</v>
      </c>
      <c r="D63" s="86">
        <v>289.465</v>
      </c>
      <c r="E63" s="88">
        <v>300.0</v>
      </c>
      <c r="F63" s="87">
        <f t="shared" si="1"/>
        <v>5.21037</v>
      </c>
      <c r="G63" s="90">
        <v>18.0</v>
      </c>
      <c r="H63" s="25"/>
      <c r="I63" s="25"/>
      <c r="L63" s="114"/>
      <c r="M63" s="114"/>
      <c r="N63" s="114"/>
      <c r="O63" s="78"/>
      <c r="P63" s="25"/>
      <c r="Q63" s="26"/>
      <c r="R63" s="26"/>
      <c r="S63" s="26"/>
      <c r="T63" s="26"/>
      <c r="U63" s="25"/>
      <c r="V63" s="25"/>
      <c r="W63" s="25"/>
      <c r="X63" s="26"/>
      <c r="Y63" s="26"/>
      <c r="Z63" s="25"/>
      <c r="AA63" s="25"/>
      <c r="AB63" s="25"/>
      <c r="AC63" s="25"/>
      <c r="AD63" s="25"/>
      <c r="AE63" s="26"/>
      <c r="AF63" s="26"/>
      <c r="AG63" s="26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</row>
    <row r="64">
      <c r="A64" s="80"/>
      <c r="B64" s="31"/>
      <c r="C64" s="53" t="str">
        <f>Config!C9</f>
        <v>2025_C_PR_B3_CONFIG6</v>
      </c>
      <c r="D64" s="86">
        <v>289.465</v>
      </c>
      <c r="E64" s="88">
        <v>300.0</v>
      </c>
      <c r="F64" s="87">
        <f t="shared" si="1"/>
        <v>5.21037</v>
      </c>
      <c r="G64" s="90">
        <v>18.0</v>
      </c>
      <c r="H64" s="25"/>
      <c r="I64" s="25"/>
      <c r="L64" s="114"/>
      <c r="M64" s="114"/>
      <c r="N64" s="114"/>
      <c r="O64" s="78"/>
      <c r="P64" s="25"/>
      <c r="Q64" s="26"/>
      <c r="R64" s="26"/>
      <c r="S64" s="26"/>
      <c r="T64" s="26"/>
      <c r="U64" s="25"/>
      <c r="V64" s="25"/>
      <c r="W64" s="25"/>
      <c r="X64" s="26"/>
      <c r="Y64" s="26"/>
      <c r="Z64" s="25"/>
      <c r="AA64" s="25"/>
      <c r="AB64" s="25"/>
      <c r="AC64" s="25"/>
      <c r="AD64" s="25"/>
      <c r="AE64" s="26"/>
      <c r="AF64" s="26"/>
      <c r="AG64" s="26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</row>
    <row r="65">
      <c r="A65" s="80"/>
      <c r="B65" s="31"/>
      <c r="C65" s="53" t="str">
        <f>Config!C10</f>
        <v>2026_C_PR_B3_CONFIG7</v>
      </c>
      <c r="D65" s="86">
        <v>289.465</v>
      </c>
      <c r="E65" s="88">
        <v>300.0</v>
      </c>
      <c r="F65" s="87">
        <f t="shared" si="1"/>
        <v>5.21037</v>
      </c>
      <c r="G65" s="90">
        <v>18.0</v>
      </c>
      <c r="H65" s="25"/>
      <c r="I65" s="25"/>
      <c r="L65" s="114"/>
      <c r="M65" s="114"/>
      <c r="N65" s="114"/>
      <c r="O65" s="78"/>
      <c r="P65" s="25"/>
      <c r="Q65" s="26"/>
      <c r="R65" s="26"/>
      <c r="S65" s="26"/>
      <c r="T65" s="26"/>
      <c r="U65" s="25"/>
      <c r="V65" s="25"/>
      <c r="W65" s="25"/>
      <c r="X65" s="26"/>
      <c r="Y65" s="26"/>
      <c r="Z65" s="25"/>
      <c r="AA65" s="25"/>
      <c r="AB65" s="25"/>
      <c r="AC65" s="25"/>
      <c r="AD65" s="25"/>
      <c r="AE65" s="26"/>
      <c r="AF65" s="26"/>
      <c r="AG65" s="26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</row>
    <row r="66">
      <c r="A66" s="80"/>
      <c r="B66" s="31"/>
      <c r="C66" s="53" t="str">
        <f>Config!C11</f>
        <v>2025_C_PR_B3_CONFIG8</v>
      </c>
      <c r="D66" s="86">
        <v>289.465</v>
      </c>
      <c r="E66" s="88">
        <v>300.0</v>
      </c>
      <c r="F66" s="87">
        <f t="shared" si="1"/>
        <v>5.21037</v>
      </c>
      <c r="G66" s="90">
        <v>18.0</v>
      </c>
      <c r="H66" s="25"/>
      <c r="I66" s="25"/>
      <c r="L66" s="114"/>
      <c r="M66" s="114"/>
      <c r="N66" s="114"/>
      <c r="O66" s="78"/>
      <c r="P66" s="25"/>
      <c r="Q66" s="26"/>
      <c r="R66" s="26"/>
      <c r="S66" s="26"/>
      <c r="T66" s="26"/>
      <c r="U66" s="25"/>
      <c r="V66" s="25"/>
      <c r="W66" s="25"/>
      <c r="X66" s="26"/>
      <c r="Y66" s="26"/>
      <c r="Z66" s="25"/>
      <c r="AA66" s="25"/>
      <c r="AB66" s="25"/>
      <c r="AC66" s="25"/>
      <c r="AD66" s="25"/>
      <c r="AE66" s="26"/>
      <c r="AF66" s="26"/>
      <c r="AG66" s="26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</row>
    <row r="67">
      <c r="A67" s="80"/>
      <c r="B67" s="31"/>
      <c r="C67" s="53" t="str">
        <f>Config!C12</f>
        <v>2026_C_PR_B3_CONFIG9</v>
      </c>
      <c r="D67" s="86">
        <v>289.465</v>
      </c>
      <c r="E67" s="88">
        <v>300.0</v>
      </c>
      <c r="F67" s="87">
        <f t="shared" si="1"/>
        <v>5.21037</v>
      </c>
      <c r="G67" s="90">
        <v>18.0</v>
      </c>
      <c r="H67" s="25"/>
      <c r="I67" s="25"/>
      <c r="L67" s="114"/>
      <c r="M67" s="114"/>
      <c r="N67" s="114"/>
      <c r="O67" s="78"/>
      <c r="P67" s="25"/>
      <c r="Q67" s="26"/>
      <c r="R67" s="26"/>
      <c r="S67" s="26"/>
      <c r="T67" s="26"/>
      <c r="U67" s="25"/>
      <c r="V67" s="25"/>
      <c r="W67" s="25"/>
      <c r="X67" s="26"/>
      <c r="Y67" s="26"/>
      <c r="Z67" s="25"/>
      <c r="AA67" s="25"/>
      <c r="AB67" s="25"/>
      <c r="AC67" s="25"/>
      <c r="AD67" s="25"/>
      <c r="AE67" s="26"/>
      <c r="AF67" s="26"/>
      <c r="AG67" s="26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</row>
    <row r="68">
      <c r="A68" s="80"/>
      <c r="B68" s="31"/>
      <c r="C68" s="53" t="str">
        <f>Config!C13</f>
        <v>2026_C_PR_B3_CONFIG10</v>
      </c>
      <c r="D68" s="86">
        <v>289.465</v>
      </c>
      <c r="E68" s="87">
        <v>300.0</v>
      </c>
      <c r="F68" s="91">
        <f t="shared" si="1"/>
        <v>5.21037</v>
      </c>
      <c r="G68" s="90">
        <v>18.0</v>
      </c>
      <c r="H68" s="25"/>
      <c r="I68" s="25"/>
      <c r="L68" s="114"/>
      <c r="M68" s="114"/>
      <c r="N68" s="114"/>
      <c r="O68" s="78"/>
      <c r="P68" s="25"/>
      <c r="Q68" s="26"/>
      <c r="R68" s="26"/>
      <c r="S68" s="26"/>
      <c r="T68" s="26"/>
      <c r="U68" s="25"/>
      <c r="V68" s="25"/>
      <c r="W68" s="25"/>
      <c r="X68" s="26"/>
      <c r="Y68" s="26"/>
      <c r="Z68" s="25"/>
      <c r="AA68" s="25"/>
      <c r="AB68" s="25"/>
      <c r="AC68" s="25"/>
      <c r="AD68" s="25"/>
      <c r="AE68" s="26"/>
      <c r="AF68" s="26"/>
      <c r="AG68" s="26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</row>
    <row r="69">
      <c r="A69" s="80"/>
      <c r="B69" s="31"/>
      <c r="C69" s="53" t="str">
        <f>Config!C14</f>
        <v>2026_C_PR_B3_CONFIG11</v>
      </c>
      <c r="D69" s="86">
        <v>289.465</v>
      </c>
      <c r="E69" s="87">
        <v>300.0</v>
      </c>
      <c r="F69" s="91">
        <f t="shared" si="1"/>
        <v>5.21037</v>
      </c>
      <c r="G69" s="90">
        <v>18.0</v>
      </c>
      <c r="H69" s="25"/>
      <c r="I69" s="25"/>
      <c r="L69" s="114"/>
      <c r="M69" s="114"/>
      <c r="N69" s="114"/>
      <c r="O69" s="78"/>
      <c r="P69" s="25"/>
      <c r="Q69" s="26"/>
      <c r="R69" s="26"/>
      <c r="S69" s="26"/>
      <c r="T69" s="26"/>
      <c r="U69" s="25"/>
      <c r="V69" s="25"/>
      <c r="W69" s="25"/>
      <c r="X69" s="26"/>
      <c r="Y69" s="26"/>
      <c r="Z69" s="25"/>
      <c r="AA69" s="25"/>
      <c r="AB69" s="25"/>
      <c r="AC69" s="25"/>
      <c r="AD69" s="25"/>
      <c r="AE69" s="26"/>
      <c r="AF69" s="26"/>
      <c r="AG69" s="26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</row>
    <row r="70">
      <c r="A70" s="80"/>
      <c r="B70" s="35"/>
      <c r="C70" s="54" t="str">
        <f>Config!C15</f>
        <v>2026_C_PR_B3_CONFIG12</v>
      </c>
      <c r="D70" s="92">
        <v>289.465</v>
      </c>
      <c r="E70" s="94">
        <v>300.0</v>
      </c>
      <c r="F70" s="93">
        <f t="shared" si="1"/>
        <v>5.21037</v>
      </c>
      <c r="G70" s="102">
        <v>18.0</v>
      </c>
      <c r="H70" s="25"/>
      <c r="I70" s="25"/>
      <c r="L70" s="114"/>
      <c r="M70" s="114"/>
      <c r="N70" s="114"/>
      <c r="O70" s="78"/>
      <c r="P70" s="25"/>
      <c r="Q70" s="26"/>
      <c r="R70" s="26"/>
      <c r="S70" s="26"/>
      <c r="T70" s="26"/>
      <c r="U70" s="25"/>
      <c r="V70" s="25"/>
      <c r="W70" s="25"/>
      <c r="X70" s="26"/>
      <c r="Y70" s="26"/>
      <c r="Z70" s="25"/>
      <c r="AA70" s="25"/>
      <c r="AB70" s="25"/>
      <c r="AC70" s="25"/>
      <c r="AD70" s="25"/>
      <c r="AE70" s="26"/>
      <c r="AF70" s="26"/>
      <c r="AG70" s="26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</row>
    <row r="71">
      <c r="A71" s="80"/>
      <c r="B71" s="21" t="s">
        <v>29</v>
      </c>
      <c r="C71" s="53" t="str">
        <f>Config!C16</f>
        <v>2026_C_PR_B3_CONFIG13</v>
      </c>
      <c r="D71" s="86">
        <v>289.465</v>
      </c>
      <c r="E71" s="88">
        <v>300.0</v>
      </c>
      <c r="F71" s="87">
        <f t="shared" si="1"/>
        <v>5.21037</v>
      </c>
      <c r="G71" s="90">
        <v>18.0</v>
      </c>
      <c r="H71" s="25"/>
      <c r="I71" s="25"/>
      <c r="L71" s="114"/>
      <c r="M71" s="114"/>
      <c r="N71" s="114"/>
      <c r="O71" s="78"/>
      <c r="P71" s="25"/>
      <c r="Q71" s="26"/>
      <c r="R71" s="26"/>
      <c r="S71" s="26"/>
      <c r="T71" s="26"/>
      <c r="U71" s="25"/>
      <c r="V71" s="25"/>
      <c r="W71" s="25"/>
      <c r="X71" s="26"/>
      <c r="Y71" s="26"/>
      <c r="Z71" s="25"/>
      <c r="AA71" s="25"/>
      <c r="AB71" s="25"/>
      <c r="AC71" s="25"/>
      <c r="AD71" s="25"/>
      <c r="AE71" s="26"/>
      <c r="AF71" s="26"/>
      <c r="AG71" s="26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</row>
    <row r="72">
      <c r="A72" s="80"/>
      <c r="B72" s="31"/>
      <c r="C72" s="53" t="str">
        <f>Config!C17</f>
        <v>2026_C_PR_B3_CONFIG14</v>
      </c>
      <c r="D72" s="86">
        <v>289.465</v>
      </c>
      <c r="E72" s="88">
        <v>300.0</v>
      </c>
      <c r="F72" s="87">
        <f t="shared" si="1"/>
        <v>5.21037</v>
      </c>
      <c r="G72" s="90">
        <v>18.0</v>
      </c>
      <c r="H72" s="25"/>
      <c r="I72" s="25"/>
      <c r="L72" s="114"/>
      <c r="M72" s="114"/>
      <c r="N72" s="114"/>
      <c r="O72" s="78"/>
      <c r="P72" s="25"/>
      <c r="Q72" s="26"/>
      <c r="R72" s="26"/>
      <c r="S72" s="26"/>
      <c r="T72" s="26"/>
      <c r="U72" s="25"/>
      <c r="V72" s="25"/>
      <c r="W72" s="25"/>
      <c r="X72" s="26"/>
      <c r="Y72" s="26"/>
      <c r="Z72" s="25"/>
      <c r="AA72" s="25"/>
      <c r="AB72" s="25"/>
      <c r="AC72" s="25"/>
      <c r="AD72" s="25"/>
      <c r="AE72" s="26"/>
      <c r="AF72" s="26"/>
      <c r="AG72" s="26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</row>
    <row r="73">
      <c r="A73" s="80"/>
      <c r="B73" s="31"/>
      <c r="C73" s="53" t="str">
        <f>Config!C18</f>
        <v>2026_C_PR_B3_CONFIG15</v>
      </c>
      <c r="D73" s="86">
        <v>289.465</v>
      </c>
      <c r="E73" s="88">
        <v>300.0</v>
      </c>
      <c r="F73" s="87">
        <f t="shared" si="1"/>
        <v>5.21037</v>
      </c>
      <c r="G73" s="90">
        <v>18.0</v>
      </c>
      <c r="H73" s="25"/>
      <c r="I73" s="25"/>
      <c r="L73" s="114"/>
      <c r="M73" s="114"/>
      <c r="N73" s="114"/>
      <c r="O73" s="78"/>
      <c r="P73" s="25"/>
      <c r="Q73" s="26"/>
      <c r="R73" s="26"/>
      <c r="S73" s="26"/>
      <c r="T73" s="26"/>
      <c r="U73" s="25"/>
      <c r="V73" s="25"/>
      <c r="W73" s="25"/>
      <c r="X73" s="26"/>
      <c r="Y73" s="26"/>
      <c r="Z73" s="25"/>
      <c r="AA73" s="25"/>
      <c r="AB73" s="25"/>
      <c r="AC73" s="25"/>
      <c r="AD73" s="25"/>
      <c r="AE73" s="26"/>
      <c r="AF73" s="26"/>
      <c r="AG73" s="26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</row>
    <row r="74">
      <c r="A74" s="80"/>
      <c r="B74" s="31"/>
      <c r="C74" s="53" t="str">
        <f>Config!C19</f>
        <v>2026_C_PR_B3_CONFIG16</v>
      </c>
      <c r="D74" s="86">
        <v>289.465</v>
      </c>
      <c r="E74" s="88">
        <v>300.0</v>
      </c>
      <c r="F74" s="87">
        <f t="shared" si="1"/>
        <v>5.21037</v>
      </c>
      <c r="G74" s="90">
        <v>18.0</v>
      </c>
      <c r="H74" s="25"/>
      <c r="I74" s="25"/>
      <c r="L74" s="114"/>
      <c r="M74" s="114"/>
      <c r="N74" s="114"/>
      <c r="O74" s="78"/>
      <c r="P74" s="25"/>
      <c r="Q74" s="26"/>
      <c r="R74" s="26"/>
      <c r="S74" s="26"/>
      <c r="T74" s="26"/>
      <c r="U74" s="25"/>
      <c r="V74" s="25"/>
      <c r="W74" s="25"/>
      <c r="X74" s="26"/>
      <c r="Y74" s="26"/>
      <c r="Z74" s="25"/>
      <c r="AA74" s="25"/>
      <c r="AB74" s="25"/>
      <c r="AC74" s="25"/>
      <c r="AD74" s="25"/>
      <c r="AE74" s="26"/>
      <c r="AF74" s="26"/>
      <c r="AG74" s="26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</row>
    <row r="75">
      <c r="A75" s="80"/>
      <c r="B75" s="31"/>
      <c r="C75" s="53" t="str">
        <f>Config!C20</f>
        <v>2026_C_PR_B3_CONFIG17</v>
      </c>
      <c r="D75" s="86">
        <v>289.465</v>
      </c>
      <c r="E75" s="88">
        <v>300.0</v>
      </c>
      <c r="F75" s="87">
        <f t="shared" si="1"/>
        <v>5.21037</v>
      </c>
      <c r="G75" s="90">
        <v>18.0</v>
      </c>
      <c r="H75" s="25"/>
      <c r="I75" s="25"/>
      <c r="L75" s="114"/>
      <c r="M75" s="114"/>
      <c r="N75" s="114"/>
      <c r="O75" s="78"/>
      <c r="P75" s="25"/>
      <c r="Q75" s="26"/>
      <c r="R75" s="26"/>
      <c r="S75" s="26"/>
      <c r="T75" s="26"/>
      <c r="U75" s="25"/>
      <c r="V75" s="25"/>
      <c r="W75" s="25"/>
      <c r="X75" s="26"/>
      <c r="Y75" s="26"/>
      <c r="Z75" s="25"/>
      <c r="AA75" s="25"/>
      <c r="AB75" s="25"/>
      <c r="AC75" s="25"/>
      <c r="AD75" s="25"/>
      <c r="AE75" s="26"/>
      <c r="AF75" s="26"/>
      <c r="AG75" s="26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</row>
    <row r="76">
      <c r="A76" s="80"/>
      <c r="B76" s="31"/>
      <c r="C76" s="53" t="str">
        <f>Config!C21</f>
        <v>2026_C_PR_B3_CONFIG18</v>
      </c>
      <c r="D76" s="25">
        <v>289.465</v>
      </c>
      <c r="E76" s="88">
        <v>300.0</v>
      </c>
      <c r="F76" s="87">
        <f t="shared" si="1"/>
        <v>5.21037</v>
      </c>
      <c r="G76" s="90">
        <v>18.0</v>
      </c>
      <c r="H76" s="25"/>
      <c r="I76" s="25"/>
      <c r="L76" s="114"/>
      <c r="M76" s="114"/>
      <c r="N76" s="114"/>
      <c r="O76" s="78"/>
      <c r="P76" s="25"/>
      <c r="Q76" s="26"/>
      <c r="R76" s="26"/>
      <c r="S76" s="26"/>
      <c r="T76" s="26"/>
      <c r="U76" s="25"/>
      <c r="V76" s="25"/>
      <c r="W76" s="25"/>
      <c r="X76" s="26"/>
      <c r="Y76" s="26"/>
      <c r="Z76" s="25"/>
      <c r="AA76" s="25"/>
      <c r="AB76" s="25"/>
      <c r="AC76" s="25"/>
      <c r="AD76" s="25"/>
      <c r="AE76" s="26"/>
      <c r="AF76" s="26"/>
      <c r="AG76" s="26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</row>
    <row r="77">
      <c r="A77" s="80"/>
      <c r="B77" s="31"/>
      <c r="C77" s="53" t="str">
        <f>Config!C22</f>
        <v>2026_C_PR_B3_CONFIG19</v>
      </c>
      <c r="D77" s="86">
        <v>289.465</v>
      </c>
      <c r="E77" s="88">
        <v>300.0</v>
      </c>
      <c r="F77" s="87">
        <f t="shared" si="1"/>
        <v>5.21037</v>
      </c>
      <c r="G77" s="90">
        <v>18.0</v>
      </c>
      <c r="H77" s="25"/>
      <c r="I77" s="25"/>
      <c r="L77" s="114"/>
      <c r="M77" s="114"/>
      <c r="N77" s="114"/>
      <c r="O77" s="78"/>
      <c r="P77" s="25"/>
      <c r="Q77" s="26"/>
      <c r="R77" s="26"/>
      <c r="S77" s="26"/>
      <c r="T77" s="26"/>
      <c r="U77" s="25"/>
      <c r="V77" s="25"/>
      <c r="W77" s="25"/>
      <c r="X77" s="26"/>
      <c r="Y77" s="26"/>
      <c r="Z77" s="25"/>
      <c r="AA77" s="25"/>
      <c r="AB77" s="25"/>
      <c r="AC77" s="25"/>
      <c r="AD77" s="25"/>
      <c r="AE77" s="26"/>
      <c r="AF77" s="26"/>
      <c r="AG77" s="26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</row>
    <row r="78">
      <c r="A78" s="80"/>
      <c r="B78" s="31"/>
      <c r="C78" s="53" t="str">
        <f>Config!C23</f>
        <v>2026_C_PR_B3_CONFIG20</v>
      </c>
      <c r="D78" s="86">
        <v>289.465</v>
      </c>
      <c r="E78" s="87">
        <v>300.0</v>
      </c>
      <c r="F78" s="91">
        <f t="shared" si="1"/>
        <v>5.21037</v>
      </c>
      <c r="G78" s="90">
        <v>18.0</v>
      </c>
      <c r="H78" s="25"/>
      <c r="I78" s="25"/>
      <c r="L78" s="114"/>
      <c r="M78" s="114"/>
      <c r="N78" s="114"/>
      <c r="O78" s="78"/>
      <c r="P78" s="25"/>
      <c r="Q78" s="26"/>
      <c r="R78" s="26"/>
      <c r="S78" s="26"/>
      <c r="T78" s="26"/>
      <c r="U78" s="25"/>
      <c r="V78" s="25"/>
      <c r="W78" s="25"/>
      <c r="X78" s="26"/>
      <c r="Y78" s="26"/>
      <c r="Z78" s="25"/>
      <c r="AA78" s="25"/>
      <c r="AB78" s="25"/>
      <c r="AC78" s="25"/>
      <c r="AD78" s="25"/>
      <c r="AE78" s="26"/>
      <c r="AF78" s="26"/>
      <c r="AG78" s="26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</row>
    <row r="79">
      <c r="A79" s="80"/>
      <c r="B79" s="31"/>
      <c r="C79" s="53" t="str">
        <f>Config!C24</f>
        <v>2026_C_PR_B3_CONFIG21</v>
      </c>
      <c r="D79" s="86">
        <v>289.465</v>
      </c>
      <c r="E79" s="87">
        <v>300.0</v>
      </c>
      <c r="F79" s="91">
        <f t="shared" si="1"/>
        <v>5.21037</v>
      </c>
      <c r="G79" s="90">
        <v>18.0</v>
      </c>
      <c r="H79" s="25"/>
      <c r="I79" s="25"/>
      <c r="L79" s="114"/>
      <c r="M79" s="114"/>
      <c r="N79" s="114"/>
      <c r="O79" s="78"/>
      <c r="P79" s="25"/>
      <c r="Q79" s="26"/>
      <c r="R79" s="26"/>
      <c r="S79" s="26"/>
      <c r="T79" s="26"/>
      <c r="U79" s="25"/>
      <c r="V79" s="25"/>
      <c r="W79" s="25"/>
      <c r="X79" s="26"/>
      <c r="Y79" s="26"/>
      <c r="Z79" s="25"/>
      <c r="AA79" s="25"/>
      <c r="AB79" s="25"/>
      <c r="AC79" s="25"/>
      <c r="AD79" s="25"/>
      <c r="AE79" s="26"/>
      <c r="AF79" s="26"/>
      <c r="AG79" s="26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</row>
    <row r="80">
      <c r="A80" s="80"/>
      <c r="B80" s="31"/>
      <c r="C80" s="53" t="str">
        <f>Config!C25</f>
        <v>2026_C_PR_B3_CONFIG22</v>
      </c>
      <c r="D80" s="86">
        <v>289.465</v>
      </c>
      <c r="E80" s="87">
        <v>300.0</v>
      </c>
      <c r="F80" s="91">
        <f t="shared" si="1"/>
        <v>5.21037</v>
      </c>
      <c r="G80" s="90">
        <v>18.0</v>
      </c>
      <c r="H80" s="25"/>
      <c r="I80" s="25"/>
      <c r="L80" s="114"/>
      <c r="M80" s="114"/>
      <c r="N80" s="114"/>
      <c r="O80" s="78"/>
      <c r="P80" s="25"/>
      <c r="Q80" s="26"/>
      <c r="R80" s="26"/>
      <c r="S80" s="26"/>
      <c r="T80" s="26"/>
      <c r="U80" s="25"/>
      <c r="V80" s="25"/>
      <c r="W80" s="25"/>
      <c r="X80" s="26"/>
      <c r="Y80" s="26"/>
      <c r="Z80" s="25"/>
      <c r="AA80" s="25"/>
      <c r="AB80" s="25"/>
      <c r="AC80" s="25"/>
      <c r="AD80" s="25"/>
      <c r="AE80" s="26"/>
      <c r="AF80" s="26"/>
      <c r="AG80" s="26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</row>
    <row r="81">
      <c r="A81" s="80"/>
      <c r="B81" s="31"/>
      <c r="C81" s="53" t="str">
        <f>Config!C26</f>
        <v>2026_C_PR_B3_CONFIG23</v>
      </c>
      <c r="D81" s="86">
        <v>289.465</v>
      </c>
      <c r="E81" s="88">
        <v>300.0</v>
      </c>
      <c r="F81" s="87">
        <f t="shared" si="1"/>
        <v>5.21037</v>
      </c>
      <c r="G81" s="90">
        <v>18.0</v>
      </c>
      <c r="H81" s="25"/>
      <c r="I81" s="25"/>
      <c r="L81" s="114"/>
      <c r="M81" s="114"/>
      <c r="N81" s="114"/>
      <c r="O81" s="78"/>
      <c r="P81" s="25"/>
      <c r="Q81" s="26"/>
      <c r="R81" s="26"/>
      <c r="S81" s="26"/>
      <c r="T81" s="26"/>
      <c r="U81" s="25"/>
      <c r="V81" s="25"/>
      <c r="W81" s="25"/>
      <c r="X81" s="26"/>
      <c r="Y81" s="26"/>
      <c r="Z81" s="25"/>
      <c r="AA81" s="25"/>
      <c r="AB81" s="25"/>
      <c r="AC81" s="25"/>
      <c r="AD81" s="25"/>
      <c r="AE81" s="26"/>
      <c r="AF81" s="26"/>
      <c r="AG81" s="26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</row>
    <row r="82">
      <c r="A82" s="80"/>
      <c r="B82" s="35"/>
      <c r="C82" s="54" t="str">
        <f>Config!C27</f>
        <v>2026_C_PR_B3_CONFIG24</v>
      </c>
      <c r="D82" s="92">
        <v>289.465</v>
      </c>
      <c r="E82" s="94">
        <v>300.0</v>
      </c>
      <c r="F82" s="93">
        <f t="shared" si="1"/>
        <v>5.21037</v>
      </c>
      <c r="G82" s="102">
        <v>18.0</v>
      </c>
      <c r="H82" s="25"/>
      <c r="I82" s="25"/>
      <c r="L82" s="114"/>
      <c r="M82" s="114"/>
      <c r="N82" s="114"/>
      <c r="O82" s="78"/>
      <c r="P82" s="25"/>
      <c r="Q82" s="26"/>
      <c r="R82" s="26"/>
      <c r="S82" s="26"/>
      <c r="T82" s="26"/>
      <c r="U82" s="25"/>
      <c r="V82" s="25"/>
      <c r="W82" s="25"/>
      <c r="X82" s="26"/>
      <c r="Y82" s="26"/>
      <c r="Z82" s="25"/>
      <c r="AA82" s="25"/>
      <c r="AB82" s="25"/>
      <c r="AC82" s="25"/>
      <c r="AD82" s="25"/>
      <c r="AE82" s="26"/>
      <c r="AF82" s="26"/>
      <c r="AG82" s="26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</row>
    <row r="83">
      <c r="A83" s="80"/>
      <c r="B83" s="21" t="s">
        <v>43</v>
      </c>
      <c r="C83" s="53" t="str">
        <f>Config!C28</f>
        <v>2026_C_PR_B3_CONFIG25</v>
      </c>
      <c r="D83" s="86">
        <v>289.465</v>
      </c>
      <c r="E83" s="88">
        <v>300.0</v>
      </c>
      <c r="F83" s="87">
        <f t="shared" si="1"/>
        <v>5.21037</v>
      </c>
      <c r="G83" s="90">
        <v>18.0</v>
      </c>
      <c r="H83" s="25"/>
      <c r="I83" s="25"/>
      <c r="L83" s="114"/>
      <c r="M83" s="114"/>
      <c r="N83" s="114"/>
      <c r="O83" s="78"/>
      <c r="P83" s="25"/>
      <c r="Q83" s="26"/>
      <c r="R83" s="26"/>
      <c r="S83" s="26"/>
      <c r="T83" s="26"/>
      <c r="U83" s="25"/>
      <c r="V83" s="25"/>
      <c r="W83" s="25"/>
      <c r="X83" s="26"/>
      <c r="Y83" s="26"/>
      <c r="Z83" s="25"/>
      <c r="AA83" s="25"/>
      <c r="AB83" s="25"/>
      <c r="AC83" s="25"/>
      <c r="AD83" s="25"/>
      <c r="AE83" s="26"/>
      <c r="AF83" s="26"/>
      <c r="AG83" s="26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</row>
    <row r="84">
      <c r="A84" s="80"/>
      <c r="B84" s="31"/>
      <c r="C84" s="53" t="str">
        <f>Config!C29</f>
        <v>2026_C_PR_B3_CONFIG26</v>
      </c>
      <c r="D84" s="86">
        <v>289.465</v>
      </c>
      <c r="E84" s="88">
        <v>300.0</v>
      </c>
      <c r="F84" s="87">
        <f t="shared" si="1"/>
        <v>5.21037</v>
      </c>
      <c r="G84" s="90">
        <v>18.0</v>
      </c>
      <c r="H84" s="25"/>
      <c r="I84" s="25"/>
      <c r="L84" s="114"/>
      <c r="M84" s="114"/>
      <c r="N84" s="114"/>
      <c r="O84" s="78"/>
      <c r="P84" s="25"/>
      <c r="Q84" s="26"/>
      <c r="R84" s="26"/>
      <c r="S84" s="26"/>
      <c r="T84" s="26"/>
      <c r="U84" s="25"/>
      <c r="V84" s="25"/>
      <c r="W84" s="25"/>
      <c r="X84" s="26"/>
      <c r="Y84" s="26"/>
      <c r="Z84" s="25"/>
      <c r="AA84" s="25"/>
      <c r="AB84" s="25"/>
      <c r="AC84" s="25"/>
      <c r="AD84" s="25"/>
      <c r="AE84" s="26"/>
      <c r="AF84" s="26"/>
      <c r="AG84" s="26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</row>
    <row r="85">
      <c r="A85" s="80"/>
      <c r="B85" s="31"/>
      <c r="C85" s="53" t="str">
        <f>Config!C30</f>
        <v>2026_C_PR_B3_CONFIG27</v>
      </c>
      <c r="D85" s="86">
        <v>289.465</v>
      </c>
      <c r="E85" s="88">
        <v>300.0</v>
      </c>
      <c r="F85" s="87">
        <f t="shared" si="1"/>
        <v>5.21037</v>
      </c>
      <c r="G85" s="90">
        <v>18.0</v>
      </c>
      <c r="H85" s="25"/>
      <c r="I85" s="25"/>
      <c r="L85" s="114"/>
      <c r="M85" s="114"/>
      <c r="N85" s="114"/>
      <c r="O85" s="78"/>
      <c r="P85" s="25"/>
      <c r="Q85" s="26"/>
      <c r="R85" s="26"/>
      <c r="S85" s="26"/>
      <c r="T85" s="26"/>
      <c r="U85" s="25"/>
      <c r="V85" s="25"/>
      <c r="W85" s="25"/>
      <c r="X85" s="26"/>
      <c r="Y85" s="26"/>
      <c r="Z85" s="25"/>
      <c r="AA85" s="25"/>
      <c r="AB85" s="25"/>
      <c r="AC85" s="25"/>
      <c r="AD85" s="25"/>
      <c r="AE85" s="26"/>
      <c r="AF85" s="26"/>
      <c r="AG85" s="26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</row>
    <row r="86">
      <c r="A86" s="80"/>
      <c r="B86" s="31"/>
      <c r="C86" s="53" t="str">
        <f>Config!C31</f>
        <v>2026_C_PR_B3_CONFIG28</v>
      </c>
      <c r="D86" s="86">
        <v>289.465</v>
      </c>
      <c r="E86" s="88">
        <v>300.0</v>
      </c>
      <c r="F86" s="87">
        <f t="shared" si="1"/>
        <v>5.21037</v>
      </c>
      <c r="G86" s="90">
        <v>18.0</v>
      </c>
      <c r="H86" s="25"/>
      <c r="I86" s="25"/>
      <c r="L86" s="114"/>
      <c r="M86" s="114"/>
      <c r="N86" s="114"/>
      <c r="O86" s="78"/>
      <c r="P86" s="25"/>
      <c r="Q86" s="26"/>
      <c r="R86" s="26"/>
      <c r="S86" s="26"/>
      <c r="T86" s="26"/>
      <c r="U86" s="25"/>
      <c r="V86" s="25"/>
      <c r="W86" s="25"/>
      <c r="X86" s="26"/>
      <c r="Y86" s="26"/>
      <c r="Z86" s="25"/>
      <c r="AA86" s="25"/>
      <c r="AB86" s="25"/>
      <c r="AC86" s="25"/>
      <c r="AD86" s="25"/>
      <c r="AE86" s="26"/>
      <c r="AF86" s="26"/>
      <c r="AG86" s="26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</row>
    <row r="87">
      <c r="A87" s="80"/>
      <c r="B87" s="31"/>
      <c r="C87" s="97" t="str">
        <f>Config!C32</f>
        <v>2026_C_PR_B3_CONFIG29</v>
      </c>
      <c r="D87" s="45">
        <v>289.465</v>
      </c>
      <c r="E87" s="99">
        <v>300.0</v>
      </c>
      <c r="F87" s="98">
        <f t="shared" si="1"/>
        <v>5.21037</v>
      </c>
      <c r="G87" s="104">
        <v>18.0</v>
      </c>
      <c r="H87" s="25"/>
      <c r="I87" s="25"/>
      <c r="L87" s="114"/>
      <c r="M87" s="114"/>
      <c r="N87" s="114"/>
      <c r="O87" s="78"/>
      <c r="P87" s="25"/>
      <c r="Q87" s="26"/>
      <c r="R87" s="26"/>
      <c r="S87" s="26"/>
      <c r="T87" s="26"/>
      <c r="U87" s="25"/>
      <c r="V87" s="25"/>
      <c r="W87" s="25"/>
      <c r="X87" s="26"/>
      <c r="Y87" s="26"/>
      <c r="Z87" s="25"/>
      <c r="AA87" s="25"/>
      <c r="AB87" s="25"/>
      <c r="AC87" s="25"/>
      <c r="AD87" s="25"/>
      <c r="AE87" s="26"/>
      <c r="AF87" s="26"/>
      <c r="AG87" s="26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</row>
    <row r="88">
      <c r="A88" s="80"/>
      <c r="B88" s="35"/>
      <c r="C88" s="54" t="str">
        <f>Config!C33</f>
        <v>2026_C_PR_B3_CONFIG30</v>
      </c>
      <c r="D88" s="92">
        <v>289.465</v>
      </c>
      <c r="E88" s="94">
        <v>300.0</v>
      </c>
      <c r="F88" s="93">
        <f t="shared" si="1"/>
        <v>5.21037</v>
      </c>
      <c r="G88" s="102">
        <v>18.0</v>
      </c>
      <c r="H88" s="25"/>
      <c r="I88" s="25"/>
      <c r="L88" s="114"/>
      <c r="M88" s="114"/>
      <c r="N88" s="114"/>
      <c r="O88" s="78"/>
      <c r="P88" s="25"/>
      <c r="Q88" s="26"/>
      <c r="R88" s="26"/>
      <c r="S88" s="26"/>
      <c r="T88" s="26"/>
      <c r="U88" s="25"/>
      <c r="V88" s="25"/>
      <c r="W88" s="25"/>
      <c r="X88" s="26"/>
      <c r="Y88" s="26"/>
      <c r="Z88" s="25"/>
      <c r="AA88" s="25"/>
      <c r="AB88" s="25"/>
      <c r="AC88" s="25"/>
      <c r="AD88" s="25"/>
      <c r="AE88" s="26"/>
      <c r="AF88" s="26"/>
      <c r="AG88" s="26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</row>
    <row r="89">
      <c r="A89" s="80"/>
      <c r="B89" s="21" t="s">
        <v>51</v>
      </c>
      <c r="C89" s="53" t="str">
        <f>Config!C34</f>
        <v>2026_C_PR_B3_CONFIG31</v>
      </c>
      <c r="D89" s="86">
        <v>289.465</v>
      </c>
      <c r="E89" s="87">
        <v>300.0</v>
      </c>
      <c r="F89" s="91">
        <f t="shared" si="1"/>
        <v>5.21037</v>
      </c>
      <c r="G89" s="90">
        <v>18.0</v>
      </c>
      <c r="H89" s="25"/>
      <c r="I89" s="25"/>
      <c r="L89" s="114"/>
      <c r="M89" s="114"/>
      <c r="N89" s="114"/>
      <c r="O89" s="78"/>
      <c r="P89" s="25"/>
      <c r="Q89" s="26"/>
      <c r="R89" s="26"/>
      <c r="S89" s="26"/>
      <c r="T89" s="26"/>
      <c r="U89" s="25"/>
      <c r="V89" s="25"/>
      <c r="W89" s="25"/>
      <c r="X89" s="26"/>
      <c r="Y89" s="26"/>
      <c r="Z89" s="25"/>
      <c r="AA89" s="25"/>
      <c r="AB89" s="25"/>
      <c r="AC89" s="25"/>
      <c r="AD89" s="25"/>
      <c r="AE89" s="26"/>
      <c r="AF89" s="26"/>
      <c r="AG89" s="26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</row>
    <row r="90">
      <c r="A90" s="80"/>
      <c r="B90" s="31"/>
      <c r="C90" s="53" t="str">
        <f>Config!C35</f>
        <v>2026_C_PR_B3_CONFIG32</v>
      </c>
      <c r="D90" s="86">
        <v>289.464999999999</v>
      </c>
      <c r="E90" s="87">
        <v>300.0</v>
      </c>
      <c r="F90" s="91">
        <f t="shared" si="1"/>
        <v>5.21037</v>
      </c>
      <c r="G90" s="90">
        <v>18.0</v>
      </c>
      <c r="H90" s="25"/>
      <c r="I90" s="25"/>
      <c r="L90" s="114"/>
      <c r="M90" s="114"/>
      <c r="N90" s="114"/>
      <c r="O90" s="78"/>
      <c r="P90" s="25"/>
      <c r="Q90" s="26"/>
      <c r="R90" s="26"/>
      <c r="S90" s="26"/>
      <c r="T90" s="26"/>
      <c r="U90" s="25"/>
      <c r="V90" s="25"/>
      <c r="W90" s="25"/>
      <c r="X90" s="26"/>
      <c r="Y90" s="26"/>
      <c r="Z90" s="25"/>
      <c r="AA90" s="25"/>
      <c r="AB90" s="25"/>
      <c r="AC90" s="25"/>
      <c r="AD90" s="25"/>
      <c r="AE90" s="26"/>
      <c r="AF90" s="26"/>
      <c r="AG90" s="26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</row>
    <row r="91">
      <c r="A91" s="80"/>
      <c r="B91" s="31"/>
      <c r="C91" s="53" t="str">
        <f>Config!C36</f>
        <v>2026_C_PR_B3_CONFIG33</v>
      </c>
      <c r="D91" s="25">
        <v>289.465</v>
      </c>
      <c r="E91" s="87">
        <v>300.0</v>
      </c>
      <c r="F91" s="91">
        <f t="shared" si="1"/>
        <v>5.21037</v>
      </c>
      <c r="G91" s="90">
        <v>18.0</v>
      </c>
      <c r="H91" s="25"/>
      <c r="I91" s="25"/>
      <c r="L91" s="114"/>
      <c r="M91" s="114"/>
      <c r="N91" s="114"/>
      <c r="O91" s="78"/>
      <c r="P91" s="25"/>
      <c r="Q91" s="26"/>
      <c r="R91" s="26"/>
      <c r="S91" s="26"/>
      <c r="T91" s="26"/>
      <c r="U91" s="25"/>
      <c r="V91" s="25"/>
      <c r="W91" s="25"/>
      <c r="X91" s="26"/>
      <c r="Y91" s="26"/>
      <c r="Z91" s="25"/>
      <c r="AA91" s="25"/>
      <c r="AB91" s="25"/>
      <c r="AC91" s="25"/>
      <c r="AD91" s="25"/>
      <c r="AE91" s="26"/>
      <c r="AF91" s="26"/>
      <c r="AG91" s="26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</row>
    <row r="92">
      <c r="A92" s="80"/>
      <c r="B92" s="31"/>
      <c r="C92" s="53" t="str">
        <f>Config!C37</f>
        <v>2026_C_PR_B3_CONFIG34</v>
      </c>
      <c r="D92" s="86">
        <v>289.465</v>
      </c>
      <c r="E92" s="87">
        <v>300.0</v>
      </c>
      <c r="F92" s="91">
        <f t="shared" si="1"/>
        <v>5.21037</v>
      </c>
      <c r="G92" s="90">
        <v>18.0</v>
      </c>
      <c r="H92" s="25"/>
      <c r="I92" s="25"/>
      <c r="L92" s="114"/>
      <c r="M92" s="114"/>
      <c r="N92" s="114"/>
      <c r="O92" s="78"/>
      <c r="P92" s="25"/>
      <c r="Q92" s="26"/>
      <c r="R92" s="26"/>
      <c r="S92" s="26"/>
      <c r="T92" s="26"/>
      <c r="U92" s="25"/>
      <c r="V92" s="25"/>
      <c r="W92" s="25"/>
      <c r="X92" s="26"/>
      <c r="Y92" s="26"/>
      <c r="Z92" s="25"/>
      <c r="AA92" s="25"/>
      <c r="AB92" s="25"/>
      <c r="AC92" s="25"/>
      <c r="AD92" s="25"/>
      <c r="AE92" s="26"/>
      <c r="AF92" s="26"/>
      <c r="AG92" s="26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</row>
    <row r="93">
      <c r="A93" s="80"/>
      <c r="B93" s="31"/>
      <c r="C93" s="53" t="str">
        <f>Config!C38</f>
        <v>2026_C_PR_B1_CONFIG35</v>
      </c>
      <c r="D93" s="86">
        <v>289.465</v>
      </c>
      <c r="E93" s="87">
        <v>300.0</v>
      </c>
      <c r="F93" s="91">
        <f t="shared" si="1"/>
        <v>5.21037</v>
      </c>
      <c r="G93" s="90">
        <v>18.0</v>
      </c>
      <c r="H93" s="25"/>
      <c r="I93" s="25"/>
      <c r="L93" s="114"/>
      <c r="M93" s="114"/>
      <c r="N93" s="114"/>
      <c r="O93" s="78"/>
      <c r="P93" s="25"/>
      <c r="Q93" s="26"/>
      <c r="R93" s="26"/>
      <c r="S93" s="26"/>
      <c r="T93" s="26"/>
      <c r="U93" s="25"/>
      <c r="V93" s="25"/>
      <c r="W93" s="25"/>
      <c r="X93" s="26"/>
      <c r="Y93" s="26"/>
      <c r="Z93" s="25"/>
      <c r="AA93" s="25"/>
      <c r="AB93" s="25"/>
      <c r="AC93" s="25"/>
      <c r="AD93" s="25"/>
      <c r="AE93" s="26"/>
      <c r="AF93" s="26"/>
      <c r="AG93" s="26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</row>
    <row r="94">
      <c r="A94" s="80"/>
      <c r="B94" s="35"/>
      <c r="C94" s="54" t="str">
        <f>Config!C39</f>
        <v>2026_C_PR_B1_CONFIG36</v>
      </c>
      <c r="D94" s="92">
        <v>289.465</v>
      </c>
      <c r="E94" s="93">
        <v>300.0</v>
      </c>
      <c r="F94" s="103">
        <f t="shared" si="1"/>
        <v>5.21037</v>
      </c>
      <c r="G94" s="102">
        <v>18.0</v>
      </c>
      <c r="H94" s="25"/>
      <c r="I94" s="25"/>
      <c r="L94" s="114"/>
      <c r="M94" s="114"/>
      <c r="N94" s="114"/>
      <c r="O94" s="78"/>
      <c r="P94" s="25"/>
      <c r="Q94" s="26"/>
      <c r="R94" s="26"/>
      <c r="S94" s="26"/>
      <c r="T94" s="26"/>
      <c r="U94" s="25"/>
      <c r="V94" s="25"/>
      <c r="W94" s="25"/>
      <c r="X94" s="26"/>
      <c r="Y94" s="26"/>
      <c r="Z94" s="25"/>
      <c r="AA94" s="25"/>
      <c r="AB94" s="25"/>
      <c r="AC94" s="25"/>
      <c r="AD94" s="25"/>
      <c r="AE94" s="26"/>
      <c r="AF94" s="26"/>
      <c r="AG94" s="26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</row>
    <row r="95">
      <c r="A95" s="80"/>
      <c r="B95" s="21" t="s">
        <v>59</v>
      </c>
      <c r="C95" s="97" t="str">
        <f>Config!C40</f>
        <v>2026_C_PR_B1_CONFIG37</v>
      </c>
      <c r="D95" s="45">
        <v>289.465</v>
      </c>
      <c r="E95" s="98">
        <v>300.0</v>
      </c>
      <c r="F95" s="47">
        <f t="shared" si="1"/>
        <v>5.21037</v>
      </c>
      <c r="G95" s="104">
        <v>18.0</v>
      </c>
      <c r="H95" s="25"/>
      <c r="I95" s="25"/>
      <c r="L95" s="114"/>
      <c r="M95" s="114"/>
      <c r="N95" s="114"/>
      <c r="O95" s="78"/>
      <c r="P95" s="25"/>
      <c r="Q95" s="26"/>
      <c r="R95" s="26"/>
      <c r="S95" s="26"/>
      <c r="T95" s="26"/>
      <c r="U95" s="25"/>
      <c r="V95" s="25"/>
      <c r="W95" s="25"/>
      <c r="X95" s="26"/>
      <c r="Y95" s="26"/>
      <c r="Z95" s="25"/>
      <c r="AA95" s="25"/>
      <c r="AB95" s="25"/>
      <c r="AC95" s="25"/>
      <c r="AD95" s="25"/>
      <c r="AE95" s="26"/>
      <c r="AF95" s="26"/>
      <c r="AG95" s="26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</row>
    <row r="96">
      <c r="A96" s="80"/>
      <c r="B96" s="31"/>
      <c r="C96" s="53" t="str">
        <f>Config!C41</f>
        <v>2026_C_PR_B1_CONFIG38</v>
      </c>
      <c r="D96" s="86">
        <v>289.465</v>
      </c>
      <c r="E96" s="87">
        <v>300.0</v>
      </c>
      <c r="F96" s="91">
        <f t="shared" si="1"/>
        <v>5.21037</v>
      </c>
      <c r="G96" s="90">
        <v>18.0</v>
      </c>
      <c r="H96" s="25"/>
      <c r="I96" s="25"/>
      <c r="L96" s="114"/>
      <c r="M96" s="114"/>
      <c r="N96" s="114"/>
      <c r="O96" s="78"/>
      <c r="P96" s="25"/>
      <c r="Q96" s="26"/>
      <c r="R96" s="26"/>
      <c r="S96" s="26"/>
      <c r="T96" s="26"/>
      <c r="U96" s="25"/>
      <c r="V96" s="25"/>
      <c r="W96" s="25"/>
      <c r="X96" s="26"/>
      <c r="Y96" s="26"/>
      <c r="Z96" s="25"/>
      <c r="AA96" s="25"/>
      <c r="AB96" s="25"/>
      <c r="AC96" s="25"/>
      <c r="AD96" s="25"/>
      <c r="AE96" s="26"/>
      <c r="AF96" s="26"/>
      <c r="AG96" s="26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</row>
    <row r="97">
      <c r="A97" s="80"/>
      <c r="B97" s="31"/>
      <c r="C97" s="53" t="str">
        <f>Config!C42</f>
        <v>2026_C_PR_B1_CONFIG39</v>
      </c>
      <c r="D97" s="86">
        <v>289.465</v>
      </c>
      <c r="E97" s="87">
        <v>300.0</v>
      </c>
      <c r="F97" s="91">
        <f t="shared" si="1"/>
        <v>5.21037</v>
      </c>
      <c r="G97" s="90">
        <v>18.0</v>
      </c>
      <c r="H97" s="25"/>
      <c r="I97" s="25"/>
      <c r="L97" s="114"/>
      <c r="M97" s="114"/>
      <c r="N97" s="114"/>
      <c r="O97" s="78"/>
      <c r="P97" s="25"/>
      <c r="Q97" s="26"/>
      <c r="R97" s="26"/>
      <c r="S97" s="26"/>
      <c r="T97" s="26"/>
      <c r="U97" s="25"/>
      <c r="V97" s="25"/>
      <c r="W97" s="25"/>
      <c r="X97" s="26"/>
      <c r="Y97" s="26"/>
      <c r="Z97" s="25"/>
      <c r="AA97" s="25"/>
      <c r="AB97" s="25"/>
      <c r="AC97" s="25"/>
      <c r="AD97" s="25"/>
      <c r="AE97" s="26"/>
      <c r="AF97" s="26"/>
      <c r="AG97" s="26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</row>
    <row r="98">
      <c r="A98" s="80"/>
      <c r="B98" s="31"/>
      <c r="C98" s="53" t="str">
        <f>Config!C43</f>
        <v>2026_C_PR_B1_CONFIG40</v>
      </c>
      <c r="D98" s="86">
        <v>289.465</v>
      </c>
      <c r="E98" s="87">
        <v>300.0</v>
      </c>
      <c r="F98" s="91">
        <f t="shared" si="1"/>
        <v>5.21037</v>
      </c>
      <c r="G98" s="90">
        <v>18.0</v>
      </c>
      <c r="H98" s="25"/>
      <c r="I98" s="25"/>
      <c r="L98" s="114"/>
      <c r="M98" s="114"/>
      <c r="N98" s="114"/>
      <c r="O98" s="78"/>
      <c r="P98" s="25"/>
      <c r="Q98" s="26"/>
      <c r="R98" s="26"/>
      <c r="S98" s="26"/>
      <c r="T98" s="26"/>
      <c r="U98" s="25"/>
      <c r="V98" s="25"/>
      <c r="W98" s="25"/>
      <c r="X98" s="26"/>
      <c r="Y98" s="26"/>
      <c r="Z98" s="25"/>
      <c r="AA98" s="25"/>
      <c r="AB98" s="25"/>
      <c r="AC98" s="25"/>
      <c r="AD98" s="25"/>
      <c r="AE98" s="26"/>
      <c r="AF98" s="26"/>
      <c r="AG98" s="26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</row>
    <row r="99">
      <c r="A99" s="80"/>
      <c r="B99" s="31"/>
      <c r="C99" s="53" t="str">
        <f>Config!C44</f>
        <v>2026_C_PR_B1_CONFIG41</v>
      </c>
      <c r="D99" s="86">
        <v>289.465</v>
      </c>
      <c r="E99" s="87">
        <v>300.0</v>
      </c>
      <c r="F99" s="91">
        <f t="shared" si="1"/>
        <v>5.21037</v>
      </c>
      <c r="G99" s="90">
        <v>18.0</v>
      </c>
      <c r="H99" s="25"/>
      <c r="I99" s="25"/>
      <c r="L99" s="114"/>
      <c r="M99" s="114"/>
      <c r="N99" s="114"/>
      <c r="O99" s="78"/>
      <c r="P99" s="25"/>
      <c r="Q99" s="26"/>
      <c r="R99" s="26"/>
      <c r="S99" s="26"/>
      <c r="T99" s="26"/>
      <c r="U99" s="25"/>
      <c r="V99" s="25"/>
      <c r="W99" s="25"/>
      <c r="X99" s="26"/>
      <c r="Y99" s="26"/>
      <c r="Z99" s="25"/>
      <c r="AA99" s="25"/>
      <c r="AB99" s="25"/>
      <c r="AC99" s="25"/>
      <c r="AD99" s="25"/>
      <c r="AE99" s="26"/>
      <c r="AF99" s="26"/>
      <c r="AG99" s="26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</row>
    <row r="100">
      <c r="A100" s="80"/>
      <c r="B100" s="31"/>
      <c r="C100" s="53" t="str">
        <f>Config!C45</f>
        <v>2026_C_PR_B1_CONFIG42</v>
      </c>
      <c r="D100" s="86">
        <v>289.465</v>
      </c>
      <c r="E100" s="87">
        <v>300.0</v>
      </c>
      <c r="F100" s="91">
        <f t="shared" si="1"/>
        <v>5.21037</v>
      </c>
      <c r="G100" s="90">
        <v>18.0</v>
      </c>
      <c r="H100" s="25"/>
      <c r="I100" s="25"/>
      <c r="L100" s="114"/>
      <c r="M100" s="114"/>
      <c r="N100" s="114"/>
      <c r="O100" s="78"/>
      <c r="P100" s="25"/>
      <c r="Q100" s="26"/>
      <c r="R100" s="26"/>
      <c r="S100" s="26"/>
      <c r="T100" s="26"/>
      <c r="U100" s="25"/>
      <c r="V100" s="25"/>
      <c r="W100" s="25"/>
      <c r="X100" s="26"/>
      <c r="Y100" s="26"/>
      <c r="Z100" s="25"/>
      <c r="AA100" s="25"/>
      <c r="AB100" s="25"/>
      <c r="AC100" s="25"/>
      <c r="AD100" s="25"/>
      <c r="AE100" s="26"/>
      <c r="AF100" s="26"/>
      <c r="AG100" s="26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</row>
    <row r="101">
      <c r="A101" s="80"/>
      <c r="B101" s="31"/>
      <c r="C101" s="53" t="str">
        <f>Config!C46</f>
        <v>2026_C_PR_B1_CONFIG43</v>
      </c>
      <c r="D101" s="86">
        <v>289.465</v>
      </c>
      <c r="E101" s="87">
        <v>300.0</v>
      </c>
      <c r="F101" s="91">
        <f t="shared" si="1"/>
        <v>5.21037</v>
      </c>
      <c r="G101" s="90">
        <v>18.0</v>
      </c>
      <c r="H101" s="25"/>
      <c r="I101" s="25"/>
      <c r="L101" s="114"/>
      <c r="M101" s="114"/>
      <c r="N101" s="114"/>
      <c r="O101" s="78"/>
      <c r="P101" s="25"/>
      <c r="Q101" s="26"/>
      <c r="R101" s="26"/>
      <c r="S101" s="26"/>
      <c r="T101" s="26"/>
      <c r="U101" s="25"/>
      <c r="V101" s="25"/>
      <c r="W101" s="25"/>
      <c r="X101" s="26"/>
      <c r="Y101" s="26"/>
      <c r="Z101" s="25"/>
      <c r="AA101" s="25"/>
      <c r="AB101" s="25"/>
      <c r="AC101" s="25"/>
      <c r="AD101" s="25"/>
      <c r="AE101" s="26"/>
      <c r="AF101" s="26"/>
      <c r="AG101" s="26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</row>
    <row r="102">
      <c r="A102" s="80"/>
      <c r="B102" s="35"/>
      <c r="C102" s="54" t="str">
        <f>Config!C47</f>
        <v>2026_C_PR_B1_CONFIG44</v>
      </c>
      <c r="D102" s="92">
        <v>289.465</v>
      </c>
      <c r="E102" s="93">
        <v>300.0</v>
      </c>
      <c r="F102" s="103">
        <f t="shared" si="1"/>
        <v>5.21037</v>
      </c>
      <c r="G102" s="102">
        <v>18.0</v>
      </c>
      <c r="H102" s="25"/>
      <c r="I102" s="25"/>
      <c r="L102" s="114"/>
      <c r="M102" s="114"/>
      <c r="N102" s="114"/>
      <c r="O102" s="78"/>
      <c r="P102" s="25"/>
      <c r="Q102" s="26"/>
      <c r="R102" s="26"/>
      <c r="S102" s="26"/>
      <c r="T102" s="26"/>
      <c r="U102" s="25"/>
      <c r="V102" s="25"/>
      <c r="W102" s="25"/>
      <c r="X102" s="26"/>
      <c r="Y102" s="26"/>
      <c r="Z102" s="25"/>
      <c r="AA102" s="25"/>
      <c r="AB102" s="25"/>
      <c r="AC102" s="25"/>
      <c r="AD102" s="25"/>
      <c r="AE102" s="26"/>
      <c r="AF102" s="26"/>
      <c r="AG102" s="26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</row>
    <row r="103">
      <c r="A103" s="80"/>
      <c r="B103" s="21"/>
      <c r="C103" s="53" t="str">
        <f>Config!C48</f>
        <v>2026_C_PR_B1_CONFIG45</v>
      </c>
      <c r="D103" s="86"/>
      <c r="E103" s="87"/>
      <c r="F103" s="91"/>
      <c r="G103" s="90"/>
      <c r="H103" s="25"/>
      <c r="I103" s="25"/>
      <c r="L103" s="114"/>
      <c r="M103" s="114"/>
      <c r="N103" s="114"/>
      <c r="O103" s="78"/>
      <c r="P103" s="25"/>
      <c r="Q103" s="26"/>
      <c r="R103" s="26"/>
      <c r="S103" s="26"/>
      <c r="T103" s="26"/>
      <c r="U103" s="25"/>
      <c r="V103" s="25"/>
      <c r="W103" s="25"/>
      <c r="X103" s="26"/>
      <c r="Y103" s="26"/>
      <c r="Z103" s="25"/>
      <c r="AA103" s="25"/>
      <c r="AB103" s="25"/>
      <c r="AC103" s="25"/>
      <c r="AD103" s="25"/>
      <c r="AE103" s="26"/>
      <c r="AF103" s="26"/>
      <c r="AG103" s="26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</row>
    <row r="104">
      <c r="A104" s="80"/>
      <c r="B104" s="31"/>
      <c r="C104" s="53" t="str">
        <f>Config!C49</f>
        <v>2026_C_PR_B1_CONFIG46</v>
      </c>
      <c r="D104" s="86"/>
      <c r="E104" s="87"/>
      <c r="F104" s="91"/>
      <c r="G104" s="90"/>
      <c r="H104" s="25"/>
      <c r="I104" s="25"/>
      <c r="L104" s="114"/>
      <c r="M104" s="114"/>
      <c r="N104" s="114"/>
      <c r="O104" s="78"/>
      <c r="P104" s="25"/>
      <c r="Q104" s="26"/>
      <c r="R104" s="26"/>
      <c r="S104" s="26"/>
      <c r="T104" s="26"/>
      <c r="U104" s="25"/>
      <c r="V104" s="25"/>
      <c r="W104" s="25"/>
      <c r="X104" s="26"/>
      <c r="Y104" s="26"/>
      <c r="Z104" s="25"/>
      <c r="AA104" s="25"/>
      <c r="AB104" s="25"/>
      <c r="AC104" s="25"/>
      <c r="AD104" s="25"/>
      <c r="AE104" s="26"/>
      <c r="AF104" s="26"/>
      <c r="AG104" s="26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</row>
    <row r="105">
      <c r="A105" s="80"/>
      <c r="B105" s="31"/>
      <c r="C105" s="53" t="str">
        <f>Config!C50</f>
        <v>2026_C_PR_B1_CONFIG47</v>
      </c>
      <c r="D105" s="86"/>
      <c r="E105" s="87"/>
      <c r="F105" s="91"/>
      <c r="G105" s="90"/>
      <c r="H105" s="25"/>
      <c r="I105" s="25"/>
      <c r="L105" s="114"/>
      <c r="M105" s="114"/>
      <c r="N105" s="114"/>
      <c r="O105" s="78"/>
      <c r="P105" s="25"/>
      <c r="Q105" s="26"/>
      <c r="R105" s="26"/>
      <c r="S105" s="26"/>
      <c r="T105" s="26"/>
      <c r="U105" s="25"/>
      <c r="V105" s="25"/>
      <c r="W105" s="25"/>
      <c r="X105" s="26"/>
      <c r="Y105" s="26"/>
      <c r="Z105" s="25"/>
      <c r="AA105" s="25"/>
      <c r="AB105" s="25"/>
      <c r="AC105" s="25"/>
      <c r="AD105" s="25"/>
      <c r="AE105" s="26"/>
      <c r="AF105" s="26"/>
      <c r="AG105" s="26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</row>
    <row r="106">
      <c r="A106" s="80"/>
      <c r="B106" s="35"/>
      <c r="C106" s="54" t="str">
        <f>Config!C51</f>
        <v>2026_C_PR_B1_CONFIG48</v>
      </c>
      <c r="D106" s="92"/>
      <c r="E106" s="93"/>
      <c r="F106" s="103"/>
      <c r="G106" s="102"/>
      <c r="H106" s="25"/>
      <c r="I106" s="25"/>
      <c r="L106" s="114"/>
      <c r="M106" s="114"/>
      <c r="N106" s="114"/>
      <c r="O106" s="78"/>
      <c r="P106" s="25"/>
      <c r="Q106" s="26"/>
      <c r="R106" s="26"/>
      <c r="S106" s="26"/>
      <c r="T106" s="26"/>
      <c r="U106" s="25"/>
      <c r="V106" s="25"/>
      <c r="W106" s="25"/>
      <c r="X106" s="26"/>
      <c r="Y106" s="26"/>
      <c r="Z106" s="25"/>
      <c r="AA106" s="25"/>
      <c r="AB106" s="25"/>
      <c r="AC106" s="25"/>
      <c r="AD106" s="25"/>
      <c r="AE106" s="26"/>
      <c r="AF106" s="26"/>
      <c r="AG106" s="26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</row>
    <row r="107">
      <c r="A107" s="80"/>
      <c r="H107" s="25"/>
      <c r="I107" s="25"/>
      <c r="L107" s="114"/>
      <c r="M107" s="114"/>
      <c r="N107" s="114"/>
      <c r="O107" s="78"/>
      <c r="P107" s="25"/>
      <c r="Q107" s="26"/>
      <c r="R107" s="26"/>
      <c r="S107" s="26"/>
      <c r="T107" s="26"/>
      <c r="U107" s="25"/>
      <c r="V107" s="25"/>
      <c r="W107" s="25"/>
      <c r="X107" s="26"/>
      <c r="Y107" s="26"/>
      <c r="Z107" s="25"/>
      <c r="AA107" s="25"/>
      <c r="AB107" s="25"/>
      <c r="AC107" s="25"/>
      <c r="AD107" s="25"/>
      <c r="AE107" s="26"/>
      <c r="AF107" s="26"/>
      <c r="AG107" s="26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</row>
    <row r="108">
      <c r="A108" s="80"/>
      <c r="B108" s="116" t="s">
        <v>101</v>
      </c>
      <c r="C108" s="58"/>
      <c r="D108" s="117" t="s">
        <v>93</v>
      </c>
      <c r="E108" s="118" t="s">
        <v>94</v>
      </c>
      <c r="F108" s="119"/>
      <c r="G108" s="119"/>
      <c r="H108" s="118" t="s">
        <v>102</v>
      </c>
      <c r="I108" s="58"/>
      <c r="J108" s="58"/>
      <c r="K108" s="58"/>
      <c r="L108" s="58"/>
      <c r="M108" s="118" t="s">
        <v>95</v>
      </c>
      <c r="N108" s="58"/>
      <c r="O108" s="58"/>
      <c r="P108" s="58"/>
      <c r="Q108" s="58"/>
      <c r="R108" s="58"/>
      <c r="S108" s="58"/>
      <c r="T108" s="118" t="s">
        <v>96</v>
      </c>
      <c r="U108" s="58"/>
      <c r="V108" s="58"/>
      <c r="W108" s="56"/>
      <c r="AR108" s="25"/>
      <c r="AS108" s="25"/>
      <c r="AT108" s="25"/>
    </row>
    <row r="109">
      <c r="A109" s="80"/>
      <c r="B109" s="35"/>
      <c r="C109" s="64"/>
      <c r="D109" s="120" t="s">
        <v>103</v>
      </c>
      <c r="E109" s="121" t="s">
        <v>104</v>
      </c>
      <c r="F109" s="122"/>
      <c r="G109" s="122"/>
      <c r="H109" s="121" t="s">
        <v>105</v>
      </c>
      <c r="I109" s="123" t="s">
        <v>106</v>
      </c>
      <c r="J109" s="123" t="s">
        <v>107</v>
      </c>
      <c r="K109" s="123"/>
      <c r="L109" s="122" t="s">
        <v>108</v>
      </c>
      <c r="M109" s="123" t="s">
        <v>109</v>
      </c>
      <c r="N109" s="123" t="s">
        <v>110</v>
      </c>
      <c r="O109" s="123" t="s">
        <v>111</v>
      </c>
      <c r="P109" s="123" t="s">
        <v>112</v>
      </c>
      <c r="Q109" s="123"/>
      <c r="R109" s="123" t="s">
        <v>113</v>
      </c>
      <c r="S109" s="122" t="s">
        <v>114</v>
      </c>
      <c r="T109" s="123" t="s">
        <v>115</v>
      </c>
      <c r="U109" s="123" t="s">
        <v>116</v>
      </c>
      <c r="V109" s="123" t="s">
        <v>117</v>
      </c>
      <c r="W109" s="122" t="s">
        <v>118</v>
      </c>
      <c r="AR109" s="25"/>
      <c r="AS109" s="25"/>
      <c r="AT109" s="25"/>
    </row>
    <row r="110">
      <c r="A110" s="80"/>
      <c r="B110" s="75" t="s">
        <v>13</v>
      </c>
      <c r="C110" s="58"/>
      <c r="D110" s="111">
        <v>1154.0</v>
      </c>
      <c r="E110" s="124">
        <v>90.0</v>
      </c>
      <c r="F110" s="112" t="s">
        <v>119</v>
      </c>
      <c r="G110" s="112" t="s">
        <v>119</v>
      </c>
      <c r="H110" s="124">
        <v>0.001</v>
      </c>
      <c r="I110" s="125">
        <v>4.313</v>
      </c>
      <c r="J110" s="125">
        <v>4.313</v>
      </c>
      <c r="K110" s="125" t="s">
        <v>119</v>
      </c>
      <c r="L110" s="115">
        <v>1.879</v>
      </c>
      <c r="M110" s="126">
        <v>0.3</v>
      </c>
      <c r="N110" s="125">
        <v>0.863</v>
      </c>
      <c r="O110" s="125">
        <v>0.216</v>
      </c>
      <c r="P110" s="127">
        <v>12.569</v>
      </c>
      <c r="Q110" s="25" t="s">
        <v>119</v>
      </c>
      <c r="R110" s="125">
        <v>2.67</v>
      </c>
      <c r="S110" s="115">
        <v>13.647</v>
      </c>
      <c r="T110" s="125">
        <v>0.26</v>
      </c>
      <c r="U110" s="125">
        <v>14.14</v>
      </c>
      <c r="V110" s="125">
        <v>2.314</v>
      </c>
      <c r="W110" s="115">
        <v>11.826</v>
      </c>
      <c r="AC110" s="128"/>
      <c r="AD110" s="128"/>
      <c r="AR110" s="25"/>
      <c r="AS110" s="25"/>
      <c r="AT110" s="25"/>
    </row>
    <row r="111">
      <c r="A111" s="80"/>
      <c r="B111" s="35"/>
      <c r="C111" s="64"/>
      <c r="D111" s="129">
        <v>1154.0</v>
      </c>
      <c r="E111" s="130">
        <f>273-152</f>
        <v>121</v>
      </c>
      <c r="F111" s="131" t="s">
        <v>119</v>
      </c>
      <c r="G111" s="131" t="s">
        <v>119</v>
      </c>
      <c r="H111" s="130">
        <v>0.001</v>
      </c>
      <c r="I111" s="132"/>
      <c r="J111" s="132"/>
      <c r="K111" s="132" t="s">
        <v>119</v>
      </c>
      <c r="L111" s="133"/>
      <c r="M111" s="134">
        <f t="shared" ref="M111:M155" si="2">H111*D5</f>
        <v>0.639</v>
      </c>
      <c r="N111" s="132">
        <f t="shared" ref="N111:N155" si="3">E5*J111</f>
        <v>0</v>
      </c>
      <c r="O111" s="132">
        <f t="shared" ref="O111:O155" si="4">I111*ABS(F5)</f>
        <v>0</v>
      </c>
      <c r="P111" s="135">
        <f t="shared" ref="P111:P155" si="5">H5*L111</f>
        <v>0</v>
      </c>
      <c r="Q111" s="17" t="s">
        <v>119</v>
      </c>
      <c r="R111" s="132"/>
      <c r="S111" s="133"/>
      <c r="T111" s="132">
        <f t="shared" ref="T111:T155" si="6">1000*M111/D111</f>
        <v>0.5537261698</v>
      </c>
      <c r="U111" s="132"/>
      <c r="V111" s="132">
        <f t="shared" ref="V111:V155" si="7">1000*R111/D111</f>
        <v>0</v>
      </c>
      <c r="W111" s="133">
        <f t="shared" ref="W111:W155" si="8">1000*S111/D111</f>
        <v>0</v>
      </c>
      <c r="AC111" s="136"/>
      <c r="AD111" s="136"/>
      <c r="AR111" s="25"/>
      <c r="AS111" s="25"/>
      <c r="AT111" s="25"/>
    </row>
    <row r="112">
      <c r="A112" s="80"/>
      <c r="B112" s="21" t="s">
        <v>15</v>
      </c>
      <c r="C112" s="81" t="str">
        <f>Config!C4</f>
        <v>2026_C_PR_B3_CONFIG1</v>
      </c>
      <c r="D112" s="90">
        <v>1154.0</v>
      </c>
      <c r="E112" s="87">
        <v>90.0</v>
      </c>
      <c r="F112" s="137"/>
      <c r="G112" s="137"/>
      <c r="H112" s="138">
        <v>0.001</v>
      </c>
      <c r="I112" s="139">
        <v>4.362</v>
      </c>
      <c r="J112" s="86">
        <v>4.362</v>
      </c>
      <c r="K112" s="140"/>
      <c r="L112" s="91">
        <f>Config!I4</f>
        <v>1.27420999</v>
      </c>
      <c r="M112" s="141">
        <f t="shared" si="2"/>
        <v>0.3</v>
      </c>
      <c r="N112" s="86">
        <f t="shared" si="3"/>
        <v>0.8724</v>
      </c>
      <c r="O112" s="139">
        <f t="shared" si="4"/>
        <v>0.2181</v>
      </c>
      <c r="P112" s="142">
        <f t="shared" si="5"/>
        <v>0.3822629969</v>
      </c>
      <c r="Q112" s="140"/>
      <c r="R112" s="139">
        <v>0.577</v>
      </c>
      <c r="S112" s="91">
        <f t="shared" ref="S112:S155" si="9">M112+N112+O112+P112+R112</f>
        <v>2.349762997</v>
      </c>
      <c r="T112" s="139">
        <f t="shared" si="6"/>
        <v>0.259965338</v>
      </c>
      <c r="U112" s="139">
        <f t="shared" ref="U112:U155" si="10">W112-T112</f>
        <v>1.776224434</v>
      </c>
      <c r="V112" s="139">
        <f t="shared" si="7"/>
        <v>0.5</v>
      </c>
      <c r="W112" s="143">
        <f t="shared" si="8"/>
        <v>2.036189772</v>
      </c>
      <c r="AC112" s="128"/>
      <c r="AD112" s="128"/>
      <c r="AR112" s="25"/>
      <c r="AS112" s="25"/>
      <c r="AT112" s="25"/>
    </row>
    <row r="113">
      <c r="A113" s="80"/>
      <c r="B113" s="31"/>
      <c r="C113" s="53" t="str">
        <f>Config!C5</f>
        <v>2025_C_PR_B3_CONFIG2</v>
      </c>
      <c r="D113" s="90">
        <v>1154.0</v>
      </c>
      <c r="E113" s="87">
        <v>90.0</v>
      </c>
      <c r="F113" s="144"/>
      <c r="G113" s="144"/>
      <c r="H113" s="138">
        <v>0.001</v>
      </c>
      <c r="I113" s="139">
        <v>4.362</v>
      </c>
      <c r="J113" s="86">
        <v>4.362</v>
      </c>
      <c r="K113" s="140"/>
      <c r="L113" s="91">
        <f>Config!I5</f>
        <v>1.401630989</v>
      </c>
      <c r="M113" s="141">
        <f t="shared" si="2"/>
        <v>0.3</v>
      </c>
      <c r="N113" s="86">
        <f t="shared" si="3"/>
        <v>0.8724</v>
      </c>
      <c r="O113" s="139">
        <f t="shared" si="4"/>
        <v>0.2181</v>
      </c>
      <c r="P113" s="142">
        <f t="shared" si="5"/>
        <v>0.4204892966</v>
      </c>
      <c r="Q113" s="140"/>
      <c r="R113" s="139">
        <v>0.577</v>
      </c>
      <c r="S113" s="91">
        <f t="shared" si="9"/>
        <v>2.387989297</v>
      </c>
      <c r="T113" s="139">
        <f t="shared" si="6"/>
        <v>0.259965338</v>
      </c>
      <c r="U113" s="139">
        <f t="shared" si="10"/>
        <v>1.809349477</v>
      </c>
      <c r="V113" s="139">
        <f t="shared" si="7"/>
        <v>0.5</v>
      </c>
      <c r="W113" s="143">
        <f t="shared" si="8"/>
        <v>2.069314815</v>
      </c>
      <c r="AC113" s="128"/>
      <c r="AD113" s="128"/>
      <c r="AR113" s="25"/>
      <c r="AS113" s="25"/>
      <c r="AT113" s="25"/>
    </row>
    <row r="114">
      <c r="A114" s="80"/>
      <c r="B114" s="31"/>
      <c r="C114" s="53" t="str">
        <f>Config!C6</f>
        <v>2026_C_PR_B3_CONFIG3</v>
      </c>
      <c r="D114" s="90">
        <v>1154.0</v>
      </c>
      <c r="E114" s="87">
        <v>90.0</v>
      </c>
      <c r="F114" s="144"/>
      <c r="G114" s="144"/>
      <c r="H114" s="138">
        <v>0.001</v>
      </c>
      <c r="I114" s="139">
        <v>4.362</v>
      </c>
      <c r="J114" s="86">
        <v>4.362</v>
      </c>
      <c r="K114" s="140"/>
      <c r="L114" s="91">
        <f>Config!I6</f>
        <v>1.529051988</v>
      </c>
      <c r="M114" s="141">
        <f t="shared" si="2"/>
        <v>0.3</v>
      </c>
      <c r="N114" s="86">
        <f t="shared" si="3"/>
        <v>0.8724</v>
      </c>
      <c r="O114" s="139">
        <f t="shared" si="4"/>
        <v>0.2181</v>
      </c>
      <c r="P114" s="142">
        <f t="shared" si="5"/>
        <v>0.4587155963</v>
      </c>
      <c r="Q114" s="140"/>
      <c r="R114" s="139">
        <v>0.577</v>
      </c>
      <c r="S114" s="91">
        <f t="shared" si="9"/>
        <v>2.426215596</v>
      </c>
      <c r="T114" s="139">
        <f t="shared" si="6"/>
        <v>0.259965338</v>
      </c>
      <c r="U114" s="139">
        <f t="shared" si="10"/>
        <v>1.84247452</v>
      </c>
      <c r="V114" s="139">
        <f t="shared" si="7"/>
        <v>0.5</v>
      </c>
      <c r="W114" s="143">
        <f t="shared" si="8"/>
        <v>2.102439858</v>
      </c>
      <c r="AC114" s="128"/>
      <c r="AD114" s="128"/>
      <c r="AR114" s="25"/>
      <c r="AS114" s="25"/>
      <c r="AT114" s="25"/>
    </row>
    <row r="115">
      <c r="A115" s="80"/>
      <c r="B115" s="31"/>
      <c r="C115" s="53" t="str">
        <f>Config!C7</f>
        <v>2025_C_PR_B3_CONFIG4</v>
      </c>
      <c r="D115" s="90">
        <v>1154.0</v>
      </c>
      <c r="E115" s="87">
        <v>90.0</v>
      </c>
      <c r="F115" s="144"/>
      <c r="G115" s="144"/>
      <c r="H115" s="138">
        <v>0.001</v>
      </c>
      <c r="I115" s="139">
        <v>4.362</v>
      </c>
      <c r="J115" s="86">
        <v>4.362</v>
      </c>
      <c r="K115" s="140"/>
      <c r="L115" s="91">
        <f>Config!I7</f>
        <v>1.656472987</v>
      </c>
      <c r="M115" s="141">
        <f t="shared" si="2"/>
        <v>0.3</v>
      </c>
      <c r="N115" s="86">
        <f t="shared" si="3"/>
        <v>0.8724</v>
      </c>
      <c r="O115" s="139">
        <f t="shared" si="4"/>
        <v>0.2181</v>
      </c>
      <c r="P115" s="142">
        <f t="shared" si="5"/>
        <v>9.671253823</v>
      </c>
      <c r="Q115" s="140"/>
      <c r="R115" s="139">
        <v>0.577</v>
      </c>
      <c r="S115" s="91">
        <f t="shared" si="9"/>
        <v>11.63875382</v>
      </c>
      <c r="T115" s="139">
        <f t="shared" si="6"/>
        <v>0.259965338</v>
      </c>
      <c r="U115" s="139">
        <f t="shared" si="10"/>
        <v>9.825609898</v>
      </c>
      <c r="V115" s="139">
        <f t="shared" si="7"/>
        <v>0.5</v>
      </c>
      <c r="W115" s="143">
        <f t="shared" si="8"/>
        <v>10.08557524</v>
      </c>
      <c r="AC115" s="128"/>
      <c r="AD115" s="128"/>
      <c r="AR115" s="25"/>
      <c r="AS115" s="25"/>
      <c r="AT115" s="25"/>
    </row>
    <row r="116">
      <c r="A116" s="80"/>
      <c r="B116" s="31"/>
      <c r="C116" s="53" t="str">
        <f>Config!C8</f>
        <v>2026_C_PR_B3_CONFIG5</v>
      </c>
      <c r="D116" s="90">
        <v>1154.0</v>
      </c>
      <c r="E116" s="87">
        <v>90.0</v>
      </c>
      <c r="F116" s="144"/>
      <c r="G116" s="144"/>
      <c r="H116" s="138">
        <v>0.001</v>
      </c>
      <c r="I116" s="139">
        <v>4.362</v>
      </c>
      <c r="J116" s="86">
        <v>4.362</v>
      </c>
      <c r="K116" s="140"/>
      <c r="L116" s="91">
        <f>Config!I8</f>
        <v>1.783893986</v>
      </c>
      <c r="M116" s="141">
        <f t="shared" si="2"/>
        <v>0.3</v>
      </c>
      <c r="N116" s="86">
        <f t="shared" si="3"/>
        <v>0.8724</v>
      </c>
      <c r="O116" s="139">
        <f t="shared" si="4"/>
        <v>0.2181</v>
      </c>
      <c r="P116" s="142">
        <f t="shared" si="5"/>
        <v>9.709480122</v>
      </c>
      <c r="Q116" s="140"/>
      <c r="R116" s="139">
        <v>0.577</v>
      </c>
      <c r="S116" s="91">
        <f t="shared" si="9"/>
        <v>11.67698012</v>
      </c>
      <c r="T116" s="139">
        <f t="shared" si="6"/>
        <v>0.259965338</v>
      </c>
      <c r="U116" s="139">
        <f t="shared" si="10"/>
        <v>9.858734941</v>
      </c>
      <c r="V116" s="139">
        <f t="shared" si="7"/>
        <v>0.5</v>
      </c>
      <c r="W116" s="143">
        <f t="shared" si="8"/>
        <v>10.11870028</v>
      </c>
      <c r="AC116" s="128"/>
      <c r="AD116" s="128"/>
      <c r="AR116" s="25"/>
      <c r="AS116" s="25"/>
      <c r="AT116" s="25"/>
    </row>
    <row r="117">
      <c r="A117" s="80"/>
      <c r="B117" s="31"/>
      <c r="C117" s="53" t="str">
        <f>Config!C9</f>
        <v>2025_C_PR_B3_CONFIG6</v>
      </c>
      <c r="D117" s="90">
        <v>1154.0</v>
      </c>
      <c r="E117" s="87">
        <v>90.0</v>
      </c>
      <c r="F117" s="144"/>
      <c r="G117" s="144"/>
      <c r="H117" s="138">
        <v>0.001</v>
      </c>
      <c r="I117" s="139">
        <v>4.362</v>
      </c>
      <c r="J117" s="86">
        <v>4.362</v>
      </c>
      <c r="K117" s="140"/>
      <c r="L117" s="91">
        <f>Config!I9</f>
        <v>1.911314985</v>
      </c>
      <c r="M117" s="141">
        <f t="shared" si="2"/>
        <v>0.3</v>
      </c>
      <c r="N117" s="86">
        <f t="shared" si="3"/>
        <v>0.8724</v>
      </c>
      <c r="O117" s="139">
        <f t="shared" si="4"/>
        <v>0.2181</v>
      </c>
      <c r="P117" s="142">
        <f t="shared" si="5"/>
        <v>0.5733944954</v>
      </c>
      <c r="Q117" s="140"/>
      <c r="R117" s="139">
        <v>0.577</v>
      </c>
      <c r="S117" s="91">
        <f t="shared" si="9"/>
        <v>2.540894495</v>
      </c>
      <c r="T117" s="139">
        <f t="shared" si="6"/>
        <v>0.259965338</v>
      </c>
      <c r="U117" s="139">
        <f t="shared" si="10"/>
        <v>1.941849649</v>
      </c>
      <c r="V117" s="139">
        <f t="shared" si="7"/>
        <v>0.5</v>
      </c>
      <c r="W117" s="143">
        <f t="shared" si="8"/>
        <v>2.201814987</v>
      </c>
      <c r="AC117" s="128"/>
      <c r="AD117" s="128"/>
      <c r="AR117" s="25"/>
      <c r="AS117" s="25"/>
      <c r="AT117" s="25"/>
    </row>
    <row r="118">
      <c r="A118" s="80"/>
      <c r="B118" s="31"/>
      <c r="C118" s="53" t="str">
        <f>Config!C10</f>
        <v>2026_C_PR_B3_CONFIG7</v>
      </c>
      <c r="D118" s="90">
        <v>1154.0</v>
      </c>
      <c r="E118" s="87">
        <v>90.0</v>
      </c>
      <c r="F118" s="144"/>
      <c r="G118" s="144"/>
      <c r="H118" s="138">
        <v>0.001</v>
      </c>
      <c r="I118" s="139">
        <v>4.362</v>
      </c>
      <c r="J118" s="86">
        <v>4.362</v>
      </c>
      <c r="K118" s="140"/>
      <c r="L118" s="91">
        <f>Config!I10</f>
        <v>0.000254841998</v>
      </c>
      <c r="M118" s="141">
        <f t="shared" si="2"/>
        <v>0.3</v>
      </c>
      <c r="N118" s="86">
        <f t="shared" si="3"/>
        <v>0.8724</v>
      </c>
      <c r="O118" s="139">
        <f t="shared" si="4"/>
        <v>0.2181</v>
      </c>
      <c r="P118" s="142">
        <f t="shared" si="5"/>
        <v>0.00007645259939</v>
      </c>
      <c r="Q118" s="140"/>
      <c r="R118" s="139">
        <v>0.577</v>
      </c>
      <c r="S118" s="91">
        <f t="shared" si="9"/>
        <v>1.967576453</v>
      </c>
      <c r="T118" s="139">
        <f t="shared" si="6"/>
        <v>0.259965338</v>
      </c>
      <c r="U118" s="139">
        <f t="shared" si="10"/>
        <v>1.445040254</v>
      </c>
      <c r="V118" s="139">
        <f t="shared" si="7"/>
        <v>0.5</v>
      </c>
      <c r="W118" s="143">
        <f t="shared" si="8"/>
        <v>1.705005592</v>
      </c>
      <c r="AC118" s="128"/>
      <c r="AD118" s="128"/>
      <c r="AR118" s="25"/>
      <c r="AS118" s="25"/>
      <c r="AT118" s="25"/>
    </row>
    <row r="119">
      <c r="A119" s="80"/>
      <c r="B119" s="31"/>
      <c r="C119" s="53" t="str">
        <f>Config!C11</f>
        <v>2025_C_PR_B3_CONFIG8</v>
      </c>
      <c r="D119" s="90">
        <v>1154.0</v>
      </c>
      <c r="E119" s="87">
        <v>90.0</v>
      </c>
      <c r="F119" s="144"/>
      <c r="G119" s="144"/>
      <c r="H119" s="138">
        <v>0.001</v>
      </c>
      <c r="I119" s="139">
        <v>4.362</v>
      </c>
      <c r="J119" s="86">
        <v>4.362</v>
      </c>
      <c r="K119" s="140"/>
      <c r="L119" s="91">
        <f>Config!I11</f>
        <v>0.000254841998</v>
      </c>
      <c r="M119" s="141">
        <f t="shared" si="2"/>
        <v>0.3</v>
      </c>
      <c r="N119" s="86">
        <f t="shared" si="3"/>
        <v>0.8724</v>
      </c>
      <c r="O119" s="139">
        <f t="shared" si="4"/>
        <v>0.2181</v>
      </c>
      <c r="P119" s="142">
        <f t="shared" si="5"/>
        <v>0.00007645259939</v>
      </c>
      <c r="Q119" s="140"/>
      <c r="R119" s="139">
        <v>0.577</v>
      </c>
      <c r="S119" s="91">
        <f t="shared" si="9"/>
        <v>1.967576453</v>
      </c>
      <c r="T119" s="139">
        <f t="shared" si="6"/>
        <v>0.259965338</v>
      </c>
      <c r="U119" s="139">
        <f t="shared" si="10"/>
        <v>1.445040254</v>
      </c>
      <c r="V119" s="139">
        <f t="shared" si="7"/>
        <v>0.5</v>
      </c>
      <c r="W119" s="143">
        <f t="shared" si="8"/>
        <v>1.705005592</v>
      </c>
      <c r="AC119" s="128"/>
      <c r="AD119" s="128"/>
      <c r="AR119" s="25"/>
      <c r="AS119" s="25"/>
      <c r="AT119" s="25"/>
    </row>
    <row r="120">
      <c r="A120" s="80"/>
      <c r="B120" s="31"/>
      <c r="C120" s="53" t="str">
        <f>Config!C12</f>
        <v>2026_C_PR_B3_CONFIG9</v>
      </c>
      <c r="D120" s="90">
        <v>1154.0</v>
      </c>
      <c r="E120" s="87">
        <v>90.0</v>
      </c>
      <c r="F120" s="144"/>
      <c r="G120" s="144"/>
      <c r="H120" s="138">
        <v>0.001</v>
      </c>
      <c r="I120" s="139">
        <v>4.362</v>
      </c>
      <c r="J120" s="86">
        <v>4.362</v>
      </c>
      <c r="K120" s="140"/>
      <c r="L120" s="91">
        <f>Config!I12</f>
        <v>0.000254841998</v>
      </c>
      <c r="M120" s="141">
        <f t="shared" si="2"/>
        <v>0.3</v>
      </c>
      <c r="N120" s="86">
        <f t="shared" si="3"/>
        <v>0.8724</v>
      </c>
      <c r="O120" s="139">
        <f t="shared" si="4"/>
        <v>0.2181</v>
      </c>
      <c r="P120" s="142">
        <f t="shared" si="5"/>
        <v>0.00007645259939</v>
      </c>
      <c r="Q120" s="140"/>
      <c r="R120" s="139">
        <v>0.577</v>
      </c>
      <c r="S120" s="91">
        <f t="shared" si="9"/>
        <v>1.967576453</v>
      </c>
      <c r="T120" s="139">
        <f t="shared" si="6"/>
        <v>0.259965338</v>
      </c>
      <c r="U120" s="139">
        <f t="shared" si="10"/>
        <v>1.445040254</v>
      </c>
      <c r="V120" s="139">
        <f t="shared" si="7"/>
        <v>0.5</v>
      </c>
      <c r="W120" s="143">
        <f t="shared" si="8"/>
        <v>1.705005592</v>
      </c>
      <c r="AC120" s="128"/>
      <c r="AD120" s="128"/>
      <c r="AR120" s="25"/>
      <c r="AS120" s="25"/>
      <c r="AT120" s="25"/>
    </row>
    <row r="121">
      <c r="A121" s="145"/>
      <c r="B121" s="31"/>
      <c r="C121" s="53" t="str">
        <f>Config!C13</f>
        <v>2026_C_PR_B3_CONFIG10</v>
      </c>
      <c r="D121" s="90">
        <v>1154.0</v>
      </c>
      <c r="E121" s="87">
        <v>90.0</v>
      </c>
      <c r="F121" s="144"/>
      <c r="G121" s="144"/>
      <c r="H121" s="138">
        <v>0.001</v>
      </c>
      <c r="I121" s="139">
        <v>4.362</v>
      </c>
      <c r="J121" s="86">
        <v>4.362</v>
      </c>
      <c r="K121" s="140"/>
      <c r="L121" s="91">
        <f>Config!I13</f>
        <v>0.000254841998</v>
      </c>
      <c r="M121" s="141">
        <f t="shared" si="2"/>
        <v>0.3</v>
      </c>
      <c r="N121" s="86">
        <f t="shared" si="3"/>
        <v>0.8724</v>
      </c>
      <c r="O121" s="139">
        <f t="shared" si="4"/>
        <v>0.2181</v>
      </c>
      <c r="P121" s="142">
        <f t="shared" si="5"/>
        <v>0.00007645259939</v>
      </c>
      <c r="Q121" s="140"/>
      <c r="R121" s="139">
        <v>0.577</v>
      </c>
      <c r="S121" s="91">
        <f t="shared" si="9"/>
        <v>1.967576453</v>
      </c>
      <c r="T121" s="139">
        <f t="shared" si="6"/>
        <v>0.259965338</v>
      </c>
      <c r="U121" s="139">
        <f t="shared" si="10"/>
        <v>1.445040254</v>
      </c>
      <c r="V121" s="139">
        <f t="shared" si="7"/>
        <v>0.5</v>
      </c>
      <c r="W121" s="143">
        <f t="shared" si="8"/>
        <v>1.705005592</v>
      </c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</row>
    <row r="122">
      <c r="A122" s="80"/>
      <c r="B122" s="31"/>
      <c r="C122" s="53" t="str">
        <f>Config!C14</f>
        <v>2026_C_PR_B3_CONFIG11</v>
      </c>
      <c r="D122" s="90">
        <v>1154.0</v>
      </c>
      <c r="E122" s="87">
        <v>90.0</v>
      </c>
      <c r="F122" s="137"/>
      <c r="G122" s="137"/>
      <c r="H122" s="138">
        <v>9.99999999999999E-4</v>
      </c>
      <c r="I122" s="139">
        <v>4.36199999999999</v>
      </c>
      <c r="J122" s="86">
        <v>4.36199999999999</v>
      </c>
      <c r="K122" s="140"/>
      <c r="L122" s="91">
        <f>Config!I14</f>
        <v>0.000254841998</v>
      </c>
      <c r="M122" s="141">
        <f t="shared" si="2"/>
        <v>0.3</v>
      </c>
      <c r="N122" s="86">
        <f t="shared" si="3"/>
        <v>0.8724</v>
      </c>
      <c r="O122" s="139">
        <f t="shared" si="4"/>
        <v>0.2181</v>
      </c>
      <c r="P122" s="142">
        <f t="shared" si="5"/>
        <v>0.00007645259939</v>
      </c>
      <c r="Q122" s="140"/>
      <c r="R122" s="139">
        <v>0.577</v>
      </c>
      <c r="S122" s="91">
        <f t="shared" si="9"/>
        <v>1.967576453</v>
      </c>
      <c r="T122" s="139">
        <f t="shared" si="6"/>
        <v>0.259965338</v>
      </c>
      <c r="U122" s="139">
        <f t="shared" si="10"/>
        <v>1.445040254</v>
      </c>
      <c r="V122" s="139">
        <f t="shared" si="7"/>
        <v>0.5</v>
      </c>
      <c r="W122" s="143">
        <f t="shared" si="8"/>
        <v>1.705005592</v>
      </c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</row>
    <row r="123">
      <c r="A123" s="80"/>
      <c r="B123" s="35"/>
      <c r="C123" s="54" t="str">
        <f>Config!C15</f>
        <v>2026_C_PR_B3_CONFIG12</v>
      </c>
      <c r="D123" s="102">
        <v>1154.0</v>
      </c>
      <c r="E123" s="93">
        <v>90.0</v>
      </c>
      <c r="F123" s="146"/>
      <c r="G123" s="146"/>
      <c r="H123" s="147">
        <v>9.99999999999999E-4</v>
      </c>
      <c r="I123" s="148">
        <v>4.36199999999999</v>
      </c>
      <c r="J123" s="92">
        <v>4.36199999999999</v>
      </c>
      <c r="K123" s="149"/>
      <c r="L123" s="103">
        <f>Config!I15</f>
        <v>0.000254841998</v>
      </c>
      <c r="M123" s="150">
        <f t="shared" si="2"/>
        <v>0.3</v>
      </c>
      <c r="N123" s="92">
        <f t="shared" si="3"/>
        <v>0.8724</v>
      </c>
      <c r="O123" s="148">
        <f t="shared" si="4"/>
        <v>0.2181</v>
      </c>
      <c r="P123" s="151">
        <f t="shared" si="5"/>
        <v>0.00007645259939</v>
      </c>
      <c r="Q123" s="149"/>
      <c r="R123" s="148">
        <v>0.577</v>
      </c>
      <c r="S123" s="103">
        <f t="shared" si="9"/>
        <v>1.967576453</v>
      </c>
      <c r="T123" s="148">
        <f t="shared" si="6"/>
        <v>0.259965338</v>
      </c>
      <c r="U123" s="148">
        <f t="shared" si="10"/>
        <v>1.445040254</v>
      </c>
      <c r="V123" s="148">
        <f t="shared" si="7"/>
        <v>0.5</v>
      </c>
      <c r="W123" s="152">
        <f t="shared" si="8"/>
        <v>1.705005592</v>
      </c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</row>
    <row r="124">
      <c r="A124" s="80"/>
      <c r="B124" s="21" t="s">
        <v>29</v>
      </c>
      <c r="C124" s="53" t="str">
        <f>Config!C16</f>
        <v>2026_C_PR_B3_CONFIG13</v>
      </c>
      <c r="D124" s="90">
        <v>1154.0</v>
      </c>
      <c r="E124" s="87">
        <v>90.0</v>
      </c>
      <c r="F124" s="144"/>
      <c r="G124" s="144"/>
      <c r="H124" s="138">
        <v>9.99999999999999E-4</v>
      </c>
      <c r="I124" s="139">
        <v>4.36199999999999</v>
      </c>
      <c r="J124" s="86">
        <v>4.36199999999999</v>
      </c>
      <c r="K124" s="140"/>
      <c r="L124" s="91">
        <f>Config!I16</f>
        <v>1.27420999</v>
      </c>
      <c r="M124" s="141">
        <f t="shared" si="2"/>
        <v>0.3</v>
      </c>
      <c r="N124" s="86">
        <f t="shared" si="3"/>
        <v>0.8724</v>
      </c>
      <c r="O124" s="139">
        <f t="shared" si="4"/>
        <v>0.2181</v>
      </c>
      <c r="P124" s="142">
        <f t="shared" si="5"/>
        <v>0.3822629969</v>
      </c>
      <c r="Q124" s="140"/>
      <c r="R124" s="139">
        <v>0.577</v>
      </c>
      <c r="S124" s="91">
        <f t="shared" si="9"/>
        <v>2.349762997</v>
      </c>
      <c r="T124" s="139">
        <f t="shared" si="6"/>
        <v>0.259965338</v>
      </c>
      <c r="U124" s="139">
        <f t="shared" si="10"/>
        <v>1.776224434</v>
      </c>
      <c r="V124" s="139">
        <f t="shared" si="7"/>
        <v>0.5</v>
      </c>
      <c r="W124" s="143">
        <f t="shared" si="8"/>
        <v>2.036189772</v>
      </c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</row>
    <row r="125">
      <c r="A125" s="80"/>
      <c r="B125" s="31"/>
      <c r="C125" s="53" t="str">
        <f>Config!C17</f>
        <v>2026_C_PR_B3_CONFIG14</v>
      </c>
      <c r="D125" s="90">
        <v>1154.0</v>
      </c>
      <c r="E125" s="87">
        <v>90.0</v>
      </c>
      <c r="F125" s="144"/>
      <c r="G125" s="144"/>
      <c r="H125" s="138">
        <v>9.99999999999998E-4</v>
      </c>
      <c r="I125" s="139">
        <v>4.36199999999999</v>
      </c>
      <c r="J125" s="86">
        <v>4.36199999999999</v>
      </c>
      <c r="K125" s="140"/>
      <c r="L125" s="91">
        <f>Config!I17</f>
        <v>1.401630989</v>
      </c>
      <c r="M125" s="141">
        <f t="shared" si="2"/>
        <v>0.3</v>
      </c>
      <c r="N125" s="86">
        <f t="shared" si="3"/>
        <v>0.8724</v>
      </c>
      <c r="O125" s="139">
        <f t="shared" si="4"/>
        <v>0.2181</v>
      </c>
      <c r="P125" s="142">
        <f t="shared" si="5"/>
        <v>0.4204892966</v>
      </c>
      <c r="Q125" s="140"/>
      <c r="R125" s="139">
        <v>0.577</v>
      </c>
      <c r="S125" s="91">
        <f t="shared" si="9"/>
        <v>2.387989297</v>
      </c>
      <c r="T125" s="139">
        <f t="shared" si="6"/>
        <v>0.259965338</v>
      </c>
      <c r="U125" s="139">
        <f t="shared" si="10"/>
        <v>1.809349477</v>
      </c>
      <c r="V125" s="139">
        <f t="shared" si="7"/>
        <v>0.5</v>
      </c>
      <c r="W125" s="143">
        <f t="shared" si="8"/>
        <v>2.069314815</v>
      </c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</row>
    <row r="126">
      <c r="A126" s="80"/>
      <c r="B126" s="31"/>
      <c r="C126" s="53" t="str">
        <f>Config!C18</f>
        <v>2026_C_PR_B3_CONFIG15</v>
      </c>
      <c r="D126" s="90">
        <v>1154.0</v>
      </c>
      <c r="E126" s="87">
        <v>90.0</v>
      </c>
      <c r="F126" s="144"/>
      <c r="G126" s="144"/>
      <c r="H126" s="138">
        <v>9.99999999999998E-4</v>
      </c>
      <c r="I126" s="139">
        <v>4.36199999999999</v>
      </c>
      <c r="J126" s="86">
        <v>4.36199999999999</v>
      </c>
      <c r="K126" s="140"/>
      <c r="L126" s="91">
        <f>Config!I18</f>
        <v>1.529051988</v>
      </c>
      <c r="M126" s="141">
        <f t="shared" si="2"/>
        <v>0.3</v>
      </c>
      <c r="N126" s="86">
        <f t="shared" si="3"/>
        <v>0.8724</v>
      </c>
      <c r="O126" s="139">
        <f t="shared" si="4"/>
        <v>0.2181</v>
      </c>
      <c r="P126" s="142">
        <f t="shared" si="5"/>
        <v>0.4587155963</v>
      </c>
      <c r="Q126" s="140"/>
      <c r="R126" s="139">
        <v>0.577</v>
      </c>
      <c r="S126" s="91">
        <f t="shared" si="9"/>
        <v>2.426215596</v>
      </c>
      <c r="T126" s="139">
        <f t="shared" si="6"/>
        <v>0.259965338</v>
      </c>
      <c r="U126" s="139">
        <f t="shared" si="10"/>
        <v>1.84247452</v>
      </c>
      <c r="V126" s="139">
        <f t="shared" si="7"/>
        <v>0.5</v>
      </c>
      <c r="W126" s="143">
        <f t="shared" si="8"/>
        <v>2.102439858</v>
      </c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</row>
    <row r="127">
      <c r="A127" s="80"/>
      <c r="B127" s="31"/>
      <c r="C127" s="53" t="str">
        <f>Config!C19</f>
        <v>2026_C_PR_B3_CONFIG16</v>
      </c>
      <c r="D127" s="90">
        <v>1154.0</v>
      </c>
      <c r="E127" s="87">
        <v>90.0</v>
      </c>
      <c r="F127" s="144"/>
      <c r="G127" s="144"/>
      <c r="H127" s="138">
        <v>9.99999999999998E-4</v>
      </c>
      <c r="I127" s="139">
        <v>4.36199999999999</v>
      </c>
      <c r="J127" s="86">
        <v>4.36199999999999</v>
      </c>
      <c r="K127" s="140"/>
      <c r="L127" s="91">
        <f>Config!I19</f>
        <v>1.656472987</v>
      </c>
      <c r="M127" s="141">
        <f t="shared" si="2"/>
        <v>0.3</v>
      </c>
      <c r="N127" s="86">
        <f t="shared" si="3"/>
        <v>0.8724</v>
      </c>
      <c r="O127" s="139">
        <f t="shared" si="4"/>
        <v>0.2181</v>
      </c>
      <c r="P127" s="142">
        <f t="shared" si="5"/>
        <v>0.496941896</v>
      </c>
      <c r="Q127" s="140"/>
      <c r="R127" s="139">
        <v>0.577</v>
      </c>
      <c r="S127" s="91">
        <f t="shared" si="9"/>
        <v>2.464441896</v>
      </c>
      <c r="T127" s="139">
        <f t="shared" si="6"/>
        <v>0.259965338</v>
      </c>
      <c r="U127" s="139">
        <f t="shared" si="10"/>
        <v>1.875599563</v>
      </c>
      <c r="V127" s="139">
        <f t="shared" si="7"/>
        <v>0.5</v>
      </c>
      <c r="W127" s="143">
        <f t="shared" si="8"/>
        <v>2.135564901</v>
      </c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</row>
    <row r="128">
      <c r="A128" s="80"/>
      <c r="B128" s="31"/>
      <c r="C128" s="53" t="str">
        <f>Config!C20</f>
        <v>2026_C_PR_B3_CONFIG17</v>
      </c>
      <c r="D128" s="90">
        <v>1154.0</v>
      </c>
      <c r="E128" s="87">
        <v>90.0</v>
      </c>
      <c r="F128" s="144"/>
      <c r="G128" s="144"/>
      <c r="H128" s="138">
        <v>9.99999999999998E-4</v>
      </c>
      <c r="I128" s="139">
        <v>4.36199999999999</v>
      </c>
      <c r="J128" s="86">
        <v>4.36199999999999</v>
      </c>
      <c r="K128" s="140"/>
      <c r="L128" s="91">
        <f>Config!I20</f>
        <v>1.783893986</v>
      </c>
      <c r="M128" s="141">
        <f t="shared" si="2"/>
        <v>0.3</v>
      </c>
      <c r="N128" s="86">
        <f t="shared" si="3"/>
        <v>0.8724</v>
      </c>
      <c r="O128" s="139">
        <f t="shared" si="4"/>
        <v>0.2181</v>
      </c>
      <c r="P128" s="142">
        <f t="shared" si="5"/>
        <v>0.5351681957</v>
      </c>
      <c r="Q128" s="140"/>
      <c r="R128" s="139">
        <v>0.577</v>
      </c>
      <c r="S128" s="91">
        <f t="shared" si="9"/>
        <v>2.502668196</v>
      </c>
      <c r="T128" s="139">
        <f t="shared" si="6"/>
        <v>0.259965338</v>
      </c>
      <c r="U128" s="139">
        <f t="shared" si="10"/>
        <v>1.908724606</v>
      </c>
      <c r="V128" s="139">
        <f t="shared" si="7"/>
        <v>0.5</v>
      </c>
      <c r="W128" s="143">
        <f t="shared" si="8"/>
        <v>2.168689944</v>
      </c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</row>
    <row r="129">
      <c r="A129" s="80"/>
      <c r="B129" s="31"/>
      <c r="C129" s="53" t="str">
        <f>Config!C21</f>
        <v>2026_C_PR_B3_CONFIG18</v>
      </c>
      <c r="D129" s="101">
        <v>1154.0</v>
      </c>
      <c r="E129" s="77">
        <v>90.0</v>
      </c>
      <c r="F129" s="144"/>
      <c r="G129" s="144"/>
      <c r="H129" s="76">
        <v>9.99999999999998E-4</v>
      </c>
      <c r="I129" s="25">
        <v>4.36199999999999</v>
      </c>
      <c r="J129" s="25">
        <v>4.36199999999999</v>
      </c>
      <c r="K129" s="140"/>
      <c r="L129" s="27">
        <f>Config!I21</f>
        <v>1.911314985</v>
      </c>
      <c r="M129" s="141">
        <f t="shared" si="2"/>
        <v>0.3</v>
      </c>
      <c r="N129" s="25">
        <f t="shared" si="3"/>
        <v>0.8724</v>
      </c>
      <c r="O129" s="25">
        <f t="shared" si="4"/>
        <v>0.2181</v>
      </c>
      <c r="P129" s="153">
        <f t="shared" si="5"/>
        <v>9.747706422</v>
      </c>
      <c r="Q129" s="140"/>
      <c r="R129" s="25">
        <v>0.577</v>
      </c>
      <c r="S129" s="27">
        <f t="shared" si="9"/>
        <v>11.71520642</v>
      </c>
      <c r="T129" s="25">
        <f t="shared" si="6"/>
        <v>0.259965338</v>
      </c>
      <c r="U129" s="25">
        <f t="shared" si="10"/>
        <v>9.891859984</v>
      </c>
      <c r="V129" s="25">
        <f t="shared" si="7"/>
        <v>0.5</v>
      </c>
      <c r="W129" s="27">
        <f t="shared" si="8"/>
        <v>10.15182532</v>
      </c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</row>
    <row r="130">
      <c r="A130" s="80"/>
      <c r="B130" s="31"/>
      <c r="C130" s="53" t="str">
        <f>Config!C22</f>
        <v>2026_C_PR_B3_CONFIG19</v>
      </c>
      <c r="D130" s="90">
        <v>1154.0</v>
      </c>
      <c r="E130" s="87">
        <v>90.0</v>
      </c>
      <c r="F130" s="144"/>
      <c r="G130" s="144"/>
      <c r="H130" s="138">
        <v>9.99999999999998E-4</v>
      </c>
      <c r="I130" s="139">
        <v>4.36199999999999</v>
      </c>
      <c r="J130" s="86">
        <v>4.36199999999999</v>
      </c>
      <c r="K130" s="140"/>
      <c r="L130" s="91">
        <f>Config!I22</f>
        <v>2.038735984</v>
      </c>
      <c r="M130" s="141">
        <f t="shared" si="2"/>
        <v>0.3</v>
      </c>
      <c r="N130" s="86">
        <f t="shared" si="3"/>
        <v>0.8724</v>
      </c>
      <c r="O130" s="139">
        <f t="shared" si="4"/>
        <v>0.2181</v>
      </c>
      <c r="P130" s="142">
        <f t="shared" si="5"/>
        <v>9.785932722</v>
      </c>
      <c r="Q130" s="140"/>
      <c r="R130" s="139">
        <v>0.577</v>
      </c>
      <c r="S130" s="91">
        <f t="shared" si="9"/>
        <v>11.75343272</v>
      </c>
      <c r="T130" s="139">
        <f t="shared" si="6"/>
        <v>0.259965338</v>
      </c>
      <c r="U130" s="139">
        <f t="shared" si="10"/>
        <v>9.924985027</v>
      </c>
      <c r="V130" s="139">
        <f t="shared" si="7"/>
        <v>0.5</v>
      </c>
      <c r="W130" s="143">
        <f t="shared" si="8"/>
        <v>10.18495037</v>
      </c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</row>
    <row r="131">
      <c r="A131" s="80"/>
      <c r="B131" s="31"/>
      <c r="C131" s="53" t="str">
        <f>Config!C23</f>
        <v>2026_C_PR_B3_CONFIG20</v>
      </c>
      <c r="D131" s="90">
        <v>1154.0</v>
      </c>
      <c r="E131" s="87">
        <v>90.0</v>
      </c>
      <c r="F131" s="144"/>
      <c r="G131" s="144"/>
      <c r="H131" s="138">
        <v>9.99999999999997E-4</v>
      </c>
      <c r="I131" s="139">
        <v>4.36199999999998</v>
      </c>
      <c r="J131" s="86">
        <v>4.36199999999998</v>
      </c>
      <c r="K131" s="140"/>
      <c r="L131" s="91">
        <f>Config!I23</f>
        <v>0.000254841998</v>
      </c>
      <c r="M131" s="141">
        <f t="shared" si="2"/>
        <v>0.3</v>
      </c>
      <c r="N131" s="86">
        <f t="shared" si="3"/>
        <v>0.8724</v>
      </c>
      <c r="O131" s="139">
        <f t="shared" si="4"/>
        <v>0.2181</v>
      </c>
      <c r="P131" s="142">
        <f t="shared" si="5"/>
        <v>0.00007645259939</v>
      </c>
      <c r="Q131" s="140"/>
      <c r="R131" s="139">
        <v>0.577</v>
      </c>
      <c r="S131" s="91">
        <f t="shared" si="9"/>
        <v>1.967576453</v>
      </c>
      <c r="T131" s="139">
        <f t="shared" si="6"/>
        <v>0.259965338</v>
      </c>
      <c r="U131" s="139">
        <f t="shared" si="10"/>
        <v>1.445040254</v>
      </c>
      <c r="V131" s="139">
        <f t="shared" si="7"/>
        <v>0.5</v>
      </c>
      <c r="W131" s="143">
        <f t="shared" si="8"/>
        <v>1.705005592</v>
      </c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</row>
    <row r="132">
      <c r="A132" s="80"/>
      <c r="B132" s="31"/>
      <c r="C132" s="53" t="str">
        <f>Config!C24</f>
        <v>2026_C_PR_B3_CONFIG21</v>
      </c>
      <c r="D132" s="90">
        <v>1154.0</v>
      </c>
      <c r="E132" s="87">
        <v>90.0</v>
      </c>
      <c r="F132" s="144"/>
      <c r="G132" s="144"/>
      <c r="H132" s="138">
        <v>9.99999999999997E-4</v>
      </c>
      <c r="I132" s="139">
        <v>4.36199999999998</v>
      </c>
      <c r="J132" s="86">
        <v>4.36199999999998</v>
      </c>
      <c r="K132" s="140"/>
      <c r="L132" s="91">
        <f>Config!I24</f>
        <v>0.000254841998</v>
      </c>
      <c r="M132" s="141">
        <f t="shared" si="2"/>
        <v>0.3</v>
      </c>
      <c r="N132" s="86">
        <f t="shared" si="3"/>
        <v>0.8724</v>
      </c>
      <c r="O132" s="139">
        <f t="shared" si="4"/>
        <v>0.2181</v>
      </c>
      <c r="P132" s="142">
        <f t="shared" si="5"/>
        <v>0.00007645259939</v>
      </c>
      <c r="Q132" s="140"/>
      <c r="R132" s="139">
        <v>0.577</v>
      </c>
      <c r="S132" s="91">
        <f t="shared" si="9"/>
        <v>1.967576453</v>
      </c>
      <c r="T132" s="139">
        <f t="shared" si="6"/>
        <v>0.259965338</v>
      </c>
      <c r="U132" s="139">
        <f t="shared" si="10"/>
        <v>1.445040254</v>
      </c>
      <c r="V132" s="139">
        <f t="shared" si="7"/>
        <v>0.5</v>
      </c>
      <c r="W132" s="143">
        <f t="shared" si="8"/>
        <v>1.705005592</v>
      </c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</row>
    <row r="133">
      <c r="A133" s="80"/>
      <c r="B133" s="31"/>
      <c r="C133" s="53" t="str">
        <f>Config!C25</f>
        <v>2026_C_PR_B3_CONFIG22</v>
      </c>
      <c r="D133" s="90">
        <v>1154.0</v>
      </c>
      <c r="E133" s="87">
        <v>90.0</v>
      </c>
      <c r="F133" s="137"/>
      <c r="G133" s="137"/>
      <c r="H133" s="138">
        <v>9.99999999999999E-4</v>
      </c>
      <c r="I133" s="139">
        <v>4.36199999999999</v>
      </c>
      <c r="J133" s="86">
        <v>4.36199999999999</v>
      </c>
      <c r="K133" s="140"/>
      <c r="L133" s="91">
        <f>Config!I25</f>
        <v>0.000254841998</v>
      </c>
      <c r="M133" s="141">
        <f t="shared" si="2"/>
        <v>0.3</v>
      </c>
      <c r="N133" s="86">
        <f t="shared" si="3"/>
        <v>0.8724</v>
      </c>
      <c r="O133" s="139">
        <f t="shared" si="4"/>
        <v>0.2181</v>
      </c>
      <c r="P133" s="142">
        <f t="shared" si="5"/>
        <v>0.00007645259939</v>
      </c>
      <c r="Q133" s="140"/>
      <c r="R133" s="139">
        <v>0.577</v>
      </c>
      <c r="S133" s="91">
        <f t="shared" si="9"/>
        <v>1.967576453</v>
      </c>
      <c r="T133" s="139">
        <f t="shared" si="6"/>
        <v>0.259965338</v>
      </c>
      <c r="U133" s="139">
        <f t="shared" si="10"/>
        <v>1.445040254</v>
      </c>
      <c r="V133" s="139">
        <f t="shared" si="7"/>
        <v>0.5</v>
      </c>
      <c r="W133" s="143">
        <f t="shared" si="8"/>
        <v>1.705005592</v>
      </c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</row>
    <row r="134">
      <c r="A134" s="80"/>
      <c r="B134" s="31"/>
      <c r="C134" s="53" t="str">
        <f>Config!C26</f>
        <v>2026_C_PR_B3_CONFIG23</v>
      </c>
      <c r="D134" s="90">
        <v>1154.0</v>
      </c>
      <c r="E134" s="87">
        <v>90.0</v>
      </c>
      <c r="F134" s="144"/>
      <c r="G134" s="144"/>
      <c r="H134" s="138">
        <v>9.99999999999999E-4</v>
      </c>
      <c r="I134" s="139">
        <v>4.36199999999999</v>
      </c>
      <c r="J134" s="86">
        <v>4.36199999999999</v>
      </c>
      <c r="K134" s="140"/>
      <c r="L134" s="91">
        <f>Config!I26</f>
        <v>0.000254841998</v>
      </c>
      <c r="M134" s="141">
        <f t="shared" si="2"/>
        <v>0.3</v>
      </c>
      <c r="N134" s="86">
        <f t="shared" si="3"/>
        <v>0.8724</v>
      </c>
      <c r="O134" s="139">
        <f t="shared" si="4"/>
        <v>0.2181</v>
      </c>
      <c r="P134" s="142">
        <f t="shared" si="5"/>
        <v>0.00007645259939</v>
      </c>
      <c r="Q134" s="140"/>
      <c r="R134" s="139">
        <v>0.577</v>
      </c>
      <c r="S134" s="91">
        <f t="shared" si="9"/>
        <v>1.967576453</v>
      </c>
      <c r="T134" s="139">
        <f t="shared" si="6"/>
        <v>0.259965338</v>
      </c>
      <c r="U134" s="139">
        <f t="shared" si="10"/>
        <v>1.445040254</v>
      </c>
      <c r="V134" s="139">
        <f t="shared" si="7"/>
        <v>0.5</v>
      </c>
      <c r="W134" s="143">
        <f t="shared" si="8"/>
        <v>1.705005592</v>
      </c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</row>
    <row r="135">
      <c r="A135" s="80"/>
      <c r="B135" s="35"/>
      <c r="C135" s="54" t="str">
        <f>Config!C27</f>
        <v>2026_C_PR_B3_CONFIG24</v>
      </c>
      <c r="D135" s="102">
        <v>1154.0</v>
      </c>
      <c r="E135" s="93">
        <v>90.0</v>
      </c>
      <c r="F135" s="146"/>
      <c r="G135" s="146"/>
      <c r="H135" s="147">
        <v>9.99999999999999E-4</v>
      </c>
      <c r="I135" s="148">
        <v>4.36199999999999</v>
      </c>
      <c r="J135" s="92">
        <v>4.36199999999999</v>
      </c>
      <c r="K135" s="149"/>
      <c r="L135" s="103">
        <f>Config!I27</f>
        <v>0.000254841998</v>
      </c>
      <c r="M135" s="150">
        <f t="shared" si="2"/>
        <v>0.3</v>
      </c>
      <c r="N135" s="92">
        <f t="shared" si="3"/>
        <v>0.8724</v>
      </c>
      <c r="O135" s="148">
        <f t="shared" si="4"/>
        <v>0.2181</v>
      </c>
      <c r="P135" s="151">
        <f t="shared" si="5"/>
        <v>0.00007645259939</v>
      </c>
      <c r="Q135" s="149"/>
      <c r="R135" s="148">
        <v>0.577</v>
      </c>
      <c r="S135" s="103">
        <f t="shared" si="9"/>
        <v>1.967576453</v>
      </c>
      <c r="T135" s="148">
        <f t="shared" si="6"/>
        <v>0.259965338</v>
      </c>
      <c r="U135" s="148">
        <f t="shared" si="10"/>
        <v>1.445040254</v>
      </c>
      <c r="V135" s="148">
        <f t="shared" si="7"/>
        <v>0.5</v>
      </c>
      <c r="W135" s="152">
        <f t="shared" si="8"/>
        <v>1.705005592</v>
      </c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</row>
    <row r="136">
      <c r="A136" s="80"/>
      <c r="B136" s="21" t="s">
        <v>43</v>
      </c>
      <c r="C136" s="53" t="str">
        <f>Config!C28</f>
        <v>2026_C_PR_B3_CONFIG25</v>
      </c>
      <c r="D136" s="90">
        <v>1154.0</v>
      </c>
      <c r="E136" s="87">
        <v>90.0</v>
      </c>
      <c r="F136" s="144"/>
      <c r="G136" s="144"/>
      <c r="H136" s="138">
        <v>9.99999999999998E-4</v>
      </c>
      <c r="I136" s="139">
        <v>4.36199999999999</v>
      </c>
      <c r="J136" s="86">
        <v>4.36199999999999</v>
      </c>
      <c r="K136" s="140"/>
      <c r="L136" s="91">
        <f>Config!I28</f>
        <v>1.783893986</v>
      </c>
      <c r="M136" s="141">
        <f t="shared" si="2"/>
        <v>0.3</v>
      </c>
      <c r="N136" s="86">
        <f t="shared" si="3"/>
        <v>0.8724</v>
      </c>
      <c r="O136" s="139">
        <f t="shared" si="4"/>
        <v>0.2181</v>
      </c>
      <c r="P136" s="142">
        <f t="shared" si="5"/>
        <v>9.454638124</v>
      </c>
      <c r="Q136" s="140"/>
      <c r="R136" s="139">
        <v>0.577</v>
      </c>
      <c r="S136" s="91">
        <f t="shared" si="9"/>
        <v>11.42213812</v>
      </c>
      <c r="T136" s="139">
        <f t="shared" si="6"/>
        <v>0.259965338</v>
      </c>
      <c r="U136" s="139">
        <f t="shared" si="10"/>
        <v>9.637901321</v>
      </c>
      <c r="V136" s="139">
        <f t="shared" si="7"/>
        <v>0.5</v>
      </c>
      <c r="W136" s="143">
        <f t="shared" si="8"/>
        <v>9.897866659</v>
      </c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</row>
    <row r="137">
      <c r="A137" s="80"/>
      <c r="B137" s="31"/>
      <c r="C137" s="53" t="str">
        <f>Config!C29</f>
        <v>2026_C_PR_B3_CONFIG26</v>
      </c>
      <c r="D137" s="90">
        <v>1154.0</v>
      </c>
      <c r="E137" s="87">
        <v>90.0</v>
      </c>
      <c r="F137" s="144"/>
      <c r="G137" s="144"/>
      <c r="H137" s="138">
        <v>9.99999999999998E-4</v>
      </c>
      <c r="I137" s="139">
        <v>4.36199999999999</v>
      </c>
      <c r="J137" s="86">
        <v>4.36199999999999</v>
      </c>
      <c r="K137" s="140"/>
      <c r="L137" s="91">
        <f>Config!I29</f>
        <v>1.783893986</v>
      </c>
      <c r="M137" s="141">
        <f t="shared" si="2"/>
        <v>0.3</v>
      </c>
      <c r="N137" s="86">
        <f t="shared" si="3"/>
        <v>0.8724</v>
      </c>
      <c r="O137" s="139">
        <f t="shared" si="4"/>
        <v>0.2181</v>
      </c>
      <c r="P137" s="142">
        <f t="shared" si="5"/>
        <v>10.09174312</v>
      </c>
      <c r="Q137" s="140"/>
      <c r="R137" s="139">
        <v>0.577</v>
      </c>
      <c r="S137" s="91">
        <f t="shared" si="9"/>
        <v>12.05924312</v>
      </c>
      <c r="T137" s="139">
        <f t="shared" si="6"/>
        <v>0.259965338</v>
      </c>
      <c r="U137" s="139">
        <f t="shared" si="10"/>
        <v>10.18998537</v>
      </c>
      <c r="V137" s="139">
        <f t="shared" si="7"/>
        <v>0.5</v>
      </c>
      <c r="W137" s="143">
        <f t="shared" si="8"/>
        <v>10.44995071</v>
      </c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</row>
    <row r="138">
      <c r="A138" s="80"/>
      <c r="B138" s="31"/>
      <c r="C138" s="53" t="str">
        <f>Config!C30</f>
        <v>2026_C_PR_B3_CONFIG27</v>
      </c>
      <c r="D138" s="90">
        <v>1154.0</v>
      </c>
      <c r="E138" s="87">
        <v>90.0</v>
      </c>
      <c r="F138" s="144"/>
      <c r="G138" s="144"/>
      <c r="H138" s="138">
        <v>9.99999999999998E-4</v>
      </c>
      <c r="I138" s="139">
        <v>4.36199999999999</v>
      </c>
      <c r="J138" s="86">
        <v>4.36199999999999</v>
      </c>
      <c r="K138" s="140"/>
      <c r="L138" s="91">
        <f>Config!I30</f>
        <v>1.783893986</v>
      </c>
      <c r="M138" s="141">
        <f t="shared" si="2"/>
        <v>0.3</v>
      </c>
      <c r="N138" s="86">
        <f t="shared" si="3"/>
        <v>0.8724</v>
      </c>
      <c r="O138" s="139">
        <f t="shared" si="4"/>
        <v>0.2181</v>
      </c>
      <c r="P138" s="142">
        <f t="shared" si="5"/>
        <v>9.709480122</v>
      </c>
      <c r="Q138" s="140"/>
      <c r="R138" s="139">
        <v>0.577</v>
      </c>
      <c r="S138" s="91">
        <f t="shared" si="9"/>
        <v>11.67698012</v>
      </c>
      <c r="T138" s="139">
        <f t="shared" si="6"/>
        <v>0.259965338</v>
      </c>
      <c r="U138" s="139">
        <f t="shared" si="10"/>
        <v>9.858734941</v>
      </c>
      <c r="V138" s="139">
        <f t="shared" si="7"/>
        <v>0.5</v>
      </c>
      <c r="W138" s="143">
        <f t="shared" si="8"/>
        <v>10.11870028</v>
      </c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</row>
    <row r="139">
      <c r="A139" s="80"/>
      <c r="B139" s="31"/>
      <c r="C139" s="53" t="str">
        <f>Config!C31</f>
        <v>2026_C_PR_B3_CONFIG28</v>
      </c>
      <c r="D139" s="90">
        <v>1154.0</v>
      </c>
      <c r="E139" s="87">
        <v>90.0</v>
      </c>
      <c r="F139" s="144"/>
      <c r="G139" s="144"/>
      <c r="H139" s="138">
        <v>9.99999999999998E-4</v>
      </c>
      <c r="I139" s="139">
        <v>4.36199999999999</v>
      </c>
      <c r="J139" s="86">
        <v>4.36199999999999</v>
      </c>
      <c r="K139" s="140"/>
      <c r="L139" s="91">
        <f>Config!I31</f>
        <v>1.783893986</v>
      </c>
      <c r="M139" s="141">
        <f t="shared" si="2"/>
        <v>0.3</v>
      </c>
      <c r="N139" s="86">
        <f t="shared" si="3"/>
        <v>0.8724</v>
      </c>
      <c r="O139" s="139">
        <f t="shared" si="4"/>
        <v>0.2181</v>
      </c>
      <c r="P139" s="142">
        <f t="shared" si="5"/>
        <v>9.836901121</v>
      </c>
      <c r="Q139" s="140"/>
      <c r="R139" s="139">
        <v>0.577</v>
      </c>
      <c r="S139" s="91">
        <f t="shared" si="9"/>
        <v>11.80440112</v>
      </c>
      <c r="T139" s="139">
        <f t="shared" si="6"/>
        <v>0.259965338</v>
      </c>
      <c r="U139" s="139">
        <f t="shared" si="10"/>
        <v>9.969151752</v>
      </c>
      <c r="V139" s="139">
        <f t="shared" si="7"/>
        <v>0.5</v>
      </c>
      <c r="W139" s="143">
        <f t="shared" si="8"/>
        <v>10.22911709</v>
      </c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</row>
    <row r="140">
      <c r="A140" s="80"/>
      <c r="B140" s="31"/>
      <c r="C140" s="97" t="str">
        <f>Config!C32</f>
        <v>2026_C_PR_B3_CONFIG29</v>
      </c>
      <c r="D140" s="104">
        <v>1154.0</v>
      </c>
      <c r="E140" s="98">
        <v>90.0</v>
      </c>
      <c r="F140" s="47"/>
      <c r="G140" s="47"/>
      <c r="H140" s="99">
        <v>9.99999999999998E-4</v>
      </c>
      <c r="I140" s="45">
        <v>4.36199999999999</v>
      </c>
      <c r="J140" s="45">
        <v>4.36199999999999</v>
      </c>
      <c r="K140" s="45"/>
      <c r="L140" s="47">
        <f>Config!I32</f>
        <v>1.783893986</v>
      </c>
      <c r="M140" s="154">
        <f t="shared" si="2"/>
        <v>0.3</v>
      </c>
      <c r="N140" s="45">
        <f t="shared" si="3"/>
        <v>0.8724</v>
      </c>
      <c r="O140" s="45">
        <f t="shared" si="4"/>
        <v>0.2181</v>
      </c>
      <c r="P140" s="155">
        <f t="shared" si="5"/>
        <v>9.900611621</v>
      </c>
      <c r="Q140" s="45"/>
      <c r="R140" s="45">
        <v>0.577</v>
      </c>
      <c r="S140" s="47">
        <f t="shared" si="9"/>
        <v>11.86811162</v>
      </c>
      <c r="T140" s="45">
        <f t="shared" si="6"/>
        <v>0.259965338</v>
      </c>
      <c r="U140" s="45">
        <f t="shared" si="10"/>
        <v>10.02436016</v>
      </c>
      <c r="V140" s="45">
        <f t="shared" si="7"/>
        <v>0.5</v>
      </c>
      <c r="W140" s="47">
        <f t="shared" si="8"/>
        <v>10.28432549</v>
      </c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</row>
    <row r="141">
      <c r="A141" s="80"/>
      <c r="B141" s="35"/>
      <c r="C141" s="54" t="str">
        <f>Config!C33</f>
        <v>2026_C_PR_B3_CONFIG30</v>
      </c>
      <c r="D141" s="102">
        <v>1154.0</v>
      </c>
      <c r="E141" s="93">
        <v>90.0</v>
      </c>
      <c r="F141" s="146"/>
      <c r="G141" s="146"/>
      <c r="H141" s="147">
        <v>9.99999999999998E-4</v>
      </c>
      <c r="I141" s="148">
        <v>4.36199999999999</v>
      </c>
      <c r="J141" s="92">
        <v>4.36199999999999</v>
      </c>
      <c r="K141" s="149"/>
      <c r="L141" s="103">
        <f>Config!I33</f>
        <v>0.000254841998</v>
      </c>
      <c r="M141" s="150">
        <f t="shared" si="2"/>
        <v>0.3</v>
      </c>
      <c r="N141" s="92">
        <f t="shared" si="3"/>
        <v>0.8724</v>
      </c>
      <c r="O141" s="148">
        <f t="shared" si="4"/>
        <v>0.2181</v>
      </c>
      <c r="P141" s="151">
        <f t="shared" si="5"/>
        <v>0.0003312945973</v>
      </c>
      <c r="Q141" s="149"/>
      <c r="R141" s="148">
        <v>0.577</v>
      </c>
      <c r="S141" s="103">
        <f t="shared" si="9"/>
        <v>1.967831295</v>
      </c>
      <c r="T141" s="148">
        <f t="shared" si="6"/>
        <v>0.259965338</v>
      </c>
      <c r="U141" s="148">
        <f t="shared" si="10"/>
        <v>1.445261087</v>
      </c>
      <c r="V141" s="148">
        <f t="shared" si="7"/>
        <v>0.5</v>
      </c>
      <c r="W141" s="152">
        <f t="shared" si="8"/>
        <v>1.705226425</v>
      </c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</row>
    <row r="142">
      <c r="A142" s="80"/>
      <c r="B142" s="21" t="s">
        <v>51</v>
      </c>
      <c r="C142" s="53" t="str">
        <f>Config!C34</f>
        <v>2026_C_PR_B3_CONFIG31</v>
      </c>
      <c r="D142" s="90">
        <v>1154.0</v>
      </c>
      <c r="E142" s="87">
        <v>90.0</v>
      </c>
      <c r="F142" s="144"/>
      <c r="G142" s="144"/>
      <c r="H142" s="138">
        <v>9.99999999999997E-4</v>
      </c>
      <c r="I142" s="139">
        <v>4.36199999999998</v>
      </c>
      <c r="J142" s="86">
        <v>4.36199999999998</v>
      </c>
      <c r="K142" s="140"/>
      <c r="L142" s="91">
        <f>Config!I34</f>
        <v>2.038735984</v>
      </c>
      <c r="M142" s="141">
        <f t="shared" si="2"/>
        <v>0.3</v>
      </c>
      <c r="N142" s="86">
        <f t="shared" si="3"/>
        <v>0.8724</v>
      </c>
      <c r="O142" s="139">
        <f t="shared" si="4"/>
        <v>0.2181</v>
      </c>
      <c r="P142" s="142">
        <f t="shared" si="5"/>
        <v>10.04077472</v>
      </c>
      <c r="Q142" s="140"/>
      <c r="R142" s="139">
        <v>0.577</v>
      </c>
      <c r="S142" s="91">
        <f t="shared" si="9"/>
        <v>12.00827472</v>
      </c>
      <c r="T142" s="139">
        <f t="shared" si="6"/>
        <v>0.259965338</v>
      </c>
      <c r="U142" s="139">
        <f t="shared" si="10"/>
        <v>10.14581865</v>
      </c>
      <c r="V142" s="139">
        <f t="shared" si="7"/>
        <v>0.5</v>
      </c>
      <c r="W142" s="143">
        <f t="shared" si="8"/>
        <v>10.40578399</v>
      </c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</row>
    <row r="143">
      <c r="A143" s="80"/>
      <c r="B143" s="31"/>
      <c r="C143" s="53" t="str">
        <f>Config!C35</f>
        <v>2026_C_PR_B3_CONFIG32</v>
      </c>
      <c r="D143" s="90">
        <v>1154.0</v>
      </c>
      <c r="E143" s="87">
        <v>90.0</v>
      </c>
      <c r="F143" s="144"/>
      <c r="G143" s="144"/>
      <c r="H143" s="138">
        <v>9.99999999999997E-4</v>
      </c>
      <c r="I143" s="139">
        <v>4.36199999999998</v>
      </c>
      <c r="J143" s="86">
        <v>4.36199999999998</v>
      </c>
      <c r="K143" s="140"/>
      <c r="L143" s="91">
        <f>Config!I35</f>
        <v>2.038735984</v>
      </c>
      <c r="M143" s="141">
        <f t="shared" si="2"/>
        <v>0.3</v>
      </c>
      <c r="N143" s="86">
        <f t="shared" si="3"/>
        <v>0.8724</v>
      </c>
      <c r="O143" s="139">
        <f t="shared" si="4"/>
        <v>0.2181</v>
      </c>
      <c r="P143" s="142">
        <f t="shared" si="5"/>
        <v>10.16819572</v>
      </c>
      <c r="Q143" s="140"/>
      <c r="R143" s="139">
        <v>0.577</v>
      </c>
      <c r="S143" s="91">
        <f t="shared" si="9"/>
        <v>12.13569572</v>
      </c>
      <c r="T143" s="139">
        <f t="shared" si="6"/>
        <v>0.259965338</v>
      </c>
      <c r="U143" s="139">
        <f t="shared" si="10"/>
        <v>10.25623546</v>
      </c>
      <c r="V143" s="139">
        <f t="shared" si="7"/>
        <v>0.5</v>
      </c>
      <c r="W143" s="143">
        <f t="shared" si="8"/>
        <v>10.5162008</v>
      </c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</row>
    <row r="144">
      <c r="A144" s="80"/>
      <c r="B144" s="31"/>
      <c r="C144" s="53" t="str">
        <f>Config!C36</f>
        <v>2026_C_PR_B3_CONFIG33</v>
      </c>
      <c r="D144" s="101">
        <v>1154.0</v>
      </c>
      <c r="E144" s="77">
        <v>90.0</v>
      </c>
      <c r="F144" s="144"/>
      <c r="G144" s="144"/>
      <c r="H144" s="76">
        <v>9.99999999999997E-4</v>
      </c>
      <c r="I144" s="25">
        <v>4.36199999999998</v>
      </c>
      <c r="J144" s="25">
        <v>4.36199999999998</v>
      </c>
      <c r="K144" s="140"/>
      <c r="L144" s="27">
        <f>Config!I36</f>
        <v>2.038735984</v>
      </c>
      <c r="M144" s="141">
        <f t="shared" si="2"/>
        <v>0.3</v>
      </c>
      <c r="N144" s="25">
        <f t="shared" si="3"/>
        <v>0.8724</v>
      </c>
      <c r="O144" s="25">
        <f t="shared" si="4"/>
        <v>0.2181</v>
      </c>
      <c r="P144" s="153">
        <f t="shared" si="5"/>
        <v>0.6118756371</v>
      </c>
      <c r="Q144" s="140"/>
      <c r="R144" s="25">
        <v>0.577</v>
      </c>
      <c r="S144" s="27">
        <f t="shared" si="9"/>
        <v>2.579375637</v>
      </c>
      <c r="T144" s="25">
        <f t="shared" si="6"/>
        <v>0.259965338</v>
      </c>
      <c r="U144" s="25">
        <f t="shared" si="10"/>
        <v>1.975195526</v>
      </c>
      <c r="V144" s="25">
        <f t="shared" si="7"/>
        <v>0.5</v>
      </c>
      <c r="W144" s="27">
        <f t="shared" si="8"/>
        <v>2.235160864</v>
      </c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</row>
    <row r="145">
      <c r="A145" s="80"/>
      <c r="B145" s="31"/>
      <c r="C145" s="53" t="str">
        <f>Config!C37</f>
        <v>2026_C_PR_B3_CONFIG34</v>
      </c>
      <c r="D145" s="90">
        <v>1154.0</v>
      </c>
      <c r="E145" s="87">
        <v>90.0</v>
      </c>
      <c r="F145" s="144"/>
      <c r="G145" s="144"/>
      <c r="H145" s="138">
        <v>9.99999999999997E-4</v>
      </c>
      <c r="I145" s="139">
        <v>4.36199999999998</v>
      </c>
      <c r="J145" s="86">
        <v>4.36199999999998</v>
      </c>
      <c r="K145" s="140"/>
      <c r="L145" s="91">
        <f>Config!I37</f>
        <v>2.038735984</v>
      </c>
      <c r="M145" s="141">
        <f t="shared" si="2"/>
        <v>0.3</v>
      </c>
      <c r="N145" s="86">
        <f t="shared" si="3"/>
        <v>0.8724</v>
      </c>
      <c r="O145" s="139">
        <f t="shared" si="4"/>
        <v>0.2181</v>
      </c>
      <c r="P145" s="142">
        <f t="shared" si="5"/>
        <v>0.6118756371</v>
      </c>
      <c r="Q145" s="140"/>
      <c r="R145" s="139">
        <v>0.577</v>
      </c>
      <c r="S145" s="91">
        <f t="shared" si="9"/>
        <v>2.579375637</v>
      </c>
      <c r="T145" s="139">
        <f t="shared" si="6"/>
        <v>0.259965338</v>
      </c>
      <c r="U145" s="139">
        <f t="shared" si="10"/>
        <v>1.975195526</v>
      </c>
      <c r="V145" s="139">
        <f t="shared" si="7"/>
        <v>0.5</v>
      </c>
      <c r="W145" s="143">
        <f t="shared" si="8"/>
        <v>2.235160864</v>
      </c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</row>
    <row r="146">
      <c r="A146" s="80"/>
      <c r="B146" s="31"/>
      <c r="C146" s="53" t="str">
        <f>Config!C38</f>
        <v>2026_C_PR_B1_CONFIG35</v>
      </c>
      <c r="D146" s="90">
        <v>1154.0</v>
      </c>
      <c r="E146" s="87">
        <v>90.0</v>
      </c>
      <c r="F146" s="144"/>
      <c r="G146" s="144"/>
      <c r="H146" s="138">
        <v>9.99999999999997E-4</v>
      </c>
      <c r="I146" s="139">
        <v>4.36199999999998</v>
      </c>
      <c r="J146" s="86">
        <v>4.36199999999998</v>
      </c>
      <c r="K146" s="140"/>
      <c r="L146" s="91">
        <f>Config!I38</f>
        <v>0.000254841998</v>
      </c>
      <c r="M146" s="141">
        <f t="shared" si="2"/>
        <v>0.639</v>
      </c>
      <c r="N146" s="86">
        <f t="shared" si="3"/>
        <v>0.8724</v>
      </c>
      <c r="O146" s="139">
        <f t="shared" si="4"/>
        <v>0.2181</v>
      </c>
      <c r="P146" s="142">
        <f t="shared" si="5"/>
        <v>0.0003312945973</v>
      </c>
      <c r="Q146" s="140"/>
      <c r="R146" s="139">
        <v>2.67</v>
      </c>
      <c r="S146" s="27">
        <f t="shared" si="9"/>
        <v>4.399831295</v>
      </c>
      <c r="T146" s="139">
        <f t="shared" si="6"/>
        <v>0.5537261698</v>
      </c>
      <c r="U146" s="139">
        <f t="shared" si="10"/>
        <v>3.258952595</v>
      </c>
      <c r="V146" s="139">
        <f t="shared" si="7"/>
        <v>2.313691508</v>
      </c>
      <c r="W146" s="143">
        <f t="shared" si="8"/>
        <v>3.812678765</v>
      </c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</row>
    <row r="147">
      <c r="A147" s="80"/>
      <c r="B147" s="35"/>
      <c r="C147" s="54" t="str">
        <f>Config!C39</f>
        <v>2026_C_PR_B1_CONFIG36</v>
      </c>
      <c r="D147" s="102">
        <v>1154.0</v>
      </c>
      <c r="E147" s="93">
        <v>90.0</v>
      </c>
      <c r="F147" s="146"/>
      <c r="G147" s="146"/>
      <c r="H147" s="147">
        <v>9.99999999999997E-4</v>
      </c>
      <c r="I147" s="148">
        <v>4.36199999999998</v>
      </c>
      <c r="J147" s="92">
        <v>4.36199999999998</v>
      </c>
      <c r="K147" s="149"/>
      <c r="L147" s="103">
        <f>Config!I39</f>
        <v>0.000254841998</v>
      </c>
      <c r="M147" s="150">
        <f t="shared" si="2"/>
        <v>0.639</v>
      </c>
      <c r="N147" s="92">
        <f t="shared" si="3"/>
        <v>0.8724</v>
      </c>
      <c r="O147" s="148">
        <f t="shared" si="4"/>
        <v>0.2181</v>
      </c>
      <c r="P147" s="151">
        <f t="shared" si="5"/>
        <v>0.0003312945973</v>
      </c>
      <c r="Q147" s="149"/>
      <c r="R147" s="148">
        <v>2.67</v>
      </c>
      <c r="S147" s="18">
        <f t="shared" si="9"/>
        <v>4.399831295</v>
      </c>
      <c r="T147" s="148">
        <f t="shared" si="6"/>
        <v>0.5537261698</v>
      </c>
      <c r="U147" s="148">
        <f t="shared" si="10"/>
        <v>3.258952595</v>
      </c>
      <c r="V147" s="148">
        <f t="shared" si="7"/>
        <v>2.313691508</v>
      </c>
      <c r="W147" s="152">
        <f t="shared" si="8"/>
        <v>3.812678765</v>
      </c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</row>
    <row r="148">
      <c r="A148" s="80"/>
      <c r="B148" s="21" t="s">
        <v>59</v>
      </c>
      <c r="C148" s="97" t="str">
        <f>Config!C40</f>
        <v>2026_C_PR_B1_CONFIG37</v>
      </c>
      <c r="D148" s="104">
        <v>1154.0</v>
      </c>
      <c r="E148" s="98">
        <v>90.0</v>
      </c>
      <c r="F148" s="47"/>
      <c r="G148" s="47"/>
      <c r="H148" s="99">
        <v>9.99999999999997E-4</v>
      </c>
      <c r="I148" s="45">
        <v>4.36199999999998</v>
      </c>
      <c r="J148" s="45">
        <v>4.36199999999998</v>
      </c>
      <c r="K148" s="45"/>
      <c r="L148" s="47">
        <f>Config!I40</f>
        <v>2.140672783</v>
      </c>
      <c r="M148" s="154">
        <f t="shared" si="2"/>
        <v>0.639</v>
      </c>
      <c r="N148" s="45">
        <f t="shared" si="3"/>
        <v>0.8724</v>
      </c>
      <c r="O148" s="45">
        <f t="shared" si="4"/>
        <v>0.2181</v>
      </c>
      <c r="P148" s="155">
        <f t="shared" si="5"/>
        <v>11.88073394</v>
      </c>
      <c r="Q148" s="45"/>
      <c r="R148" s="45">
        <v>2.67</v>
      </c>
      <c r="S148" s="47">
        <f t="shared" si="9"/>
        <v>16.28023394</v>
      </c>
      <c r="T148" s="45">
        <f t="shared" si="6"/>
        <v>0.5537261698</v>
      </c>
      <c r="U148" s="45">
        <f t="shared" si="10"/>
        <v>13.5539289</v>
      </c>
      <c r="V148" s="45">
        <f t="shared" si="7"/>
        <v>2.313691508</v>
      </c>
      <c r="W148" s="47">
        <f t="shared" si="8"/>
        <v>14.10765506</v>
      </c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</row>
    <row r="149">
      <c r="A149" s="80"/>
      <c r="B149" s="31"/>
      <c r="C149" s="53" t="str">
        <f>Config!C41</f>
        <v>2026_C_PR_B1_CONFIG38</v>
      </c>
      <c r="D149" s="90">
        <v>1154.0</v>
      </c>
      <c r="E149" s="87">
        <v>90.0</v>
      </c>
      <c r="F149" s="144"/>
      <c r="G149" s="144"/>
      <c r="H149" s="138">
        <v>9.99999999999997E-4</v>
      </c>
      <c r="I149" s="139">
        <v>4.36199999999998</v>
      </c>
      <c r="J149" s="86">
        <v>4.36199999999998</v>
      </c>
      <c r="K149" s="140"/>
      <c r="L149" s="91">
        <f>Config!I41</f>
        <v>2.088461252</v>
      </c>
      <c r="M149" s="141">
        <f t="shared" si="2"/>
        <v>0.639</v>
      </c>
      <c r="N149" s="86">
        <f t="shared" si="3"/>
        <v>0.8724</v>
      </c>
      <c r="O149" s="139">
        <f t="shared" si="4"/>
        <v>0.2181</v>
      </c>
      <c r="P149" s="142">
        <f t="shared" si="5"/>
        <v>11.59095995</v>
      </c>
      <c r="Q149" s="140"/>
      <c r="R149" s="139">
        <v>2.67</v>
      </c>
      <c r="S149" s="27">
        <f t="shared" si="9"/>
        <v>15.99045995</v>
      </c>
      <c r="T149" s="139">
        <f t="shared" si="6"/>
        <v>0.5537261698</v>
      </c>
      <c r="U149" s="139">
        <f t="shared" si="10"/>
        <v>13.30282491</v>
      </c>
      <c r="V149" s="139">
        <f t="shared" si="7"/>
        <v>2.313691508</v>
      </c>
      <c r="W149" s="143">
        <f t="shared" si="8"/>
        <v>13.85655108</v>
      </c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</row>
    <row r="150">
      <c r="A150" s="80"/>
      <c r="B150" s="31"/>
      <c r="C150" s="53" t="str">
        <f>Config!C42</f>
        <v>2026_C_PR_B1_CONFIG39</v>
      </c>
      <c r="D150" s="90">
        <v>1154.0</v>
      </c>
      <c r="E150" s="87">
        <v>90.0</v>
      </c>
      <c r="F150" s="144"/>
      <c r="G150" s="144"/>
      <c r="H150" s="138">
        <v>9.99999999999997E-4</v>
      </c>
      <c r="I150" s="139">
        <v>4.36199999999998</v>
      </c>
      <c r="J150" s="86">
        <v>4.36199999999998</v>
      </c>
      <c r="K150" s="140"/>
      <c r="L150" s="91">
        <f>Config!I42</f>
        <v>2.038735984</v>
      </c>
      <c r="M150" s="141">
        <f t="shared" si="2"/>
        <v>0.639</v>
      </c>
      <c r="N150" s="86">
        <f t="shared" si="3"/>
        <v>0.8724</v>
      </c>
      <c r="O150" s="139">
        <f t="shared" si="4"/>
        <v>0.2181</v>
      </c>
      <c r="P150" s="142">
        <f t="shared" si="5"/>
        <v>11.31498471</v>
      </c>
      <c r="Q150" s="140"/>
      <c r="R150" s="139">
        <v>2.67</v>
      </c>
      <c r="S150" s="27">
        <f t="shared" si="9"/>
        <v>15.71448471</v>
      </c>
      <c r="T150" s="139">
        <f t="shared" si="6"/>
        <v>0.5537261698</v>
      </c>
      <c r="U150" s="139">
        <f t="shared" si="10"/>
        <v>13.06367826</v>
      </c>
      <c r="V150" s="139">
        <f t="shared" si="7"/>
        <v>2.313691508</v>
      </c>
      <c r="W150" s="143">
        <f t="shared" si="8"/>
        <v>13.61740443</v>
      </c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</row>
    <row r="151">
      <c r="A151" s="80"/>
      <c r="B151" s="31"/>
      <c r="C151" s="53" t="str">
        <f>Config!C43</f>
        <v>2026_C_PR_B1_CONFIG40</v>
      </c>
      <c r="D151" s="90">
        <v>1154.0</v>
      </c>
      <c r="E151" s="87">
        <v>90.0</v>
      </c>
      <c r="F151" s="144"/>
      <c r="G151" s="144"/>
      <c r="H151" s="138">
        <v>9.99999999999997E-4</v>
      </c>
      <c r="I151" s="139">
        <v>4.36199999999998</v>
      </c>
      <c r="J151" s="86">
        <v>4.36199999999998</v>
      </c>
      <c r="K151" s="140"/>
      <c r="L151" s="91">
        <f>Config!I43</f>
        <v>1.991323519</v>
      </c>
      <c r="M151" s="141">
        <f t="shared" si="2"/>
        <v>0.639</v>
      </c>
      <c r="N151" s="86">
        <f t="shared" si="3"/>
        <v>0.8724</v>
      </c>
      <c r="O151" s="139">
        <f t="shared" si="4"/>
        <v>0.2181</v>
      </c>
      <c r="P151" s="142">
        <f t="shared" si="5"/>
        <v>11.05184553</v>
      </c>
      <c r="Q151" s="140"/>
      <c r="R151" s="139">
        <v>2.67</v>
      </c>
      <c r="S151" s="27">
        <f t="shared" si="9"/>
        <v>15.45134553</v>
      </c>
      <c r="T151" s="139">
        <f t="shared" si="6"/>
        <v>0.5537261698</v>
      </c>
      <c r="U151" s="139">
        <f t="shared" si="10"/>
        <v>12.83565471</v>
      </c>
      <c r="V151" s="139">
        <f t="shared" si="7"/>
        <v>2.313691508</v>
      </c>
      <c r="W151" s="143">
        <f t="shared" si="8"/>
        <v>13.38938088</v>
      </c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</row>
    <row r="152">
      <c r="A152" s="80"/>
      <c r="B152" s="31"/>
      <c r="C152" s="53" t="str">
        <f>Config!C44</f>
        <v>2026_C_PR_B1_CONFIG41</v>
      </c>
      <c r="D152" s="90">
        <v>1154.0</v>
      </c>
      <c r="E152" s="87">
        <v>90.0</v>
      </c>
      <c r="F152" s="144"/>
      <c r="G152" s="144"/>
      <c r="H152" s="138">
        <v>9.99999999999997E-4</v>
      </c>
      <c r="I152" s="139">
        <v>4.36199999999998</v>
      </c>
      <c r="J152" s="86">
        <v>4.36199999999998</v>
      </c>
      <c r="K152" s="140"/>
      <c r="L152" s="91">
        <f>Config!I44</f>
        <v>1.946066166</v>
      </c>
      <c r="M152" s="141">
        <f t="shared" si="2"/>
        <v>0.639</v>
      </c>
      <c r="N152" s="86">
        <f t="shared" si="3"/>
        <v>0.8724</v>
      </c>
      <c r="O152" s="139">
        <f t="shared" si="4"/>
        <v>0.2181</v>
      </c>
      <c r="P152" s="142">
        <f t="shared" si="5"/>
        <v>10.80066722</v>
      </c>
      <c r="Q152" s="140"/>
      <c r="R152" s="139">
        <v>2.67</v>
      </c>
      <c r="S152" s="27">
        <f t="shared" si="9"/>
        <v>15.20016722</v>
      </c>
      <c r="T152" s="139">
        <f t="shared" si="6"/>
        <v>0.5537261698</v>
      </c>
      <c r="U152" s="139">
        <f t="shared" si="10"/>
        <v>12.61799586</v>
      </c>
      <c r="V152" s="139">
        <f t="shared" si="7"/>
        <v>2.313691508</v>
      </c>
      <c r="W152" s="143">
        <f t="shared" si="8"/>
        <v>13.17172203</v>
      </c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</row>
    <row r="153">
      <c r="A153" s="80"/>
      <c r="B153" s="31"/>
      <c r="C153" s="53" t="str">
        <f>Config!C45</f>
        <v>2026_C_PR_B1_CONFIG42</v>
      </c>
      <c r="D153" s="90">
        <v>1154.0</v>
      </c>
      <c r="E153" s="87">
        <v>90.0</v>
      </c>
      <c r="F153" s="144"/>
      <c r="G153" s="144"/>
      <c r="H153" s="138">
        <v>9.99999999999997E-4</v>
      </c>
      <c r="I153" s="139">
        <v>4.36199999999998</v>
      </c>
      <c r="J153" s="86">
        <v>4.36199999999998</v>
      </c>
      <c r="K153" s="140"/>
      <c r="L153" s="91">
        <f>Config!I45</f>
        <v>1.902820251</v>
      </c>
      <c r="M153" s="141">
        <f t="shared" si="2"/>
        <v>0.639</v>
      </c>
      <c r="N153" s="86">
        <f t="shared" si="3"/>
        <v>0.8724</v>
      </c>
      <c r="O153" s="139">
        <f t="shared" si="4"/>
        <v>0.2181</v>
      </c>
      <c r="P153" s="142">
        <f t="shared" si="5"/>
        <v>10.5606524</v>
      </c>
      <c r="Q153" s="140"/>
      <c r="R153" s="139">
        <v>2.67</v>
      </c>
      <c r="S153" s="27">
        <f t="shared" si="9"/>
        <v>14.9601524</v>
      </c>
      <c r="T153" s="139">
        <f t="shared" si="6"/>
        <v>0.5537261698</v>
      </c>
      <c r="U153" s="139">
        <f t="shared" si="10"/>
        <v>12.41001074</v>
      </c>
      <c r="V153" s="139">
        <f t="shared" si="7"/>
        <v>2.313691508</v>
      </c>
      <c r="W153" s="143">
        <f t="shared" si="8"/>
        <v>12.96373691</v>
      </c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</row>
    <row r="154">
      <c r="A154" s="80"/>
      <c r="B154" s="31"/>
      <c r="C154" s="53" t="str">
        <f>Config!C46</f>
        <v>2026_C_PR_B1_CONFIG43</v>
      </c>
      <c r="D154" s="90">
        <v>1154.0</v>
      </c>
      <c r="E154" s="87">
        <v>90.0</v>
      </c>
      <c r="F154" s="144"/>
      <c r="G154" s="144"/>
      <c r="H154" s="138">
        <v>9.99999999999997E-4</v>
      </c>
      <c r="I154" s="139">
        <v>4.36199999999998</v>
      </c>
      <c r="J154" s="86">
        <v>4.36199999999998</v>
      </c>
      <c r="K154" s="140"/>
      <c r="L154" s="91">
        <f>Config!I46</f>
        <v>1.861454594</v>
      </c>
      <c r="M154" s="141">
        <f t="shared" si="2"/>
        <v>0.639</v>
      </c>
      <c r="N154" s="86">
        <f t="shared" si="3"/>
        <v>0.8724</v>
      </c>
      <c r="O154" s="139">
        <f t="shared" si="4"/>
        <v>0.2181</v>
      </c>
      <c r="P154" s="142">
        <f t="shared" si="5"/>
        <v>10.331073</v>
      </c>
      <c r="Q154" s="140"/>
      <c r="R154" s="139">
        <v>2.67</v>
      </c>
      <c r="S154" s="27">
        <f t="shared" si="9"/>
        <v>14.730573</v>
      </c>
      <c r="T154" s="139">
        <f t="shared" si="6"/>
        <v>0.5537261698</v>
      </c>
      <c r="U154" s="139">
        <f t="shared" si="10"/>
        <v>12.21106845</v>
      </c>
      <c r="V154" s="139">
        <f t="shared" si="7"/>
        <v>2.313691508</v>
      </c>
      <c r="W154" s="143">
        <f t="shared" si="8"/>
        <v>12.76479462</v>
      </c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</row>
    <row r="155">
      <c r="A155" s="80"/>
      <c r="B155" s="35"/>
      <c r="C155" s="54" t="str">
        <f>Config!C47</f>
        <v>2026_C_PR_B1_CONFIG44</v>
      </c>
      <c r="D155" s="102">
        <v>1154.0</v>
      </c>
      <c r="E155" s="93">
        <v>90.0</v>
      </c>
      <c r="F155" s="146"/>
      <c r="G155" s="146"/>
      <c r="H155" s="147">
        <v>9.99999999999997E-4</v>
      </c>
      <c r="I155" s="148">
        <v>4.36199999999998</v>
      </c>
      <c r="J155" s="92">
        <v>4.36199999999998</v>
      </c>
      <c r="K155" s="149"/>
      <c r="L155" s="103">
        <f>Config!I47</f>
        <v>1.821849177</v>
      </c>
      <c r="M155" s="150">
        <f t="shared" si="2"/>
        <v>0.639</v>
      </c>
      <c r="N155" s="92">
        <f t="shared" si="3"/>
        <v>0.8724</v>
      </c>
      <c r="O155" s="148">
        <f t="shared" si="4"/>
        <v>0.2181</v>
      </c>
      <c r="P155" s="151">
        <f t="shared" si="5"/>
        <v>10.11126293</v>
      </c>
      <c r="Q155" s="149"/>
      <c r="R155" s="148">
        <v>2.67</v>
      </c>
      <c r="S155" s="18">
        <f t="shared" si="9"/>
        <v>14.51076293</v>
      </c>
      <c r="T155" s="148">
        <f t="shared" si="6"/>
        <v>0.5537261698</v>
      </c>
      <c r="U155" s="148">
        <f t="shared" si="10"/>
        <v>12.0205918</v>
      </c>
      <c r="V155" s="148">
        <f t="shared" si="7"/>
        <v>2.313691508</v>
      </c>
      <c r="W155" s="152">
        <f t="shared" si="8"/>
        <v>12.57431797</v>
      </c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</row>
    <row r="156">
      <c r="A156" s="80"/>
      <c r="B156" s="21"/>
      <c r="C156" s="53" t="str">
        <f>Config!C48</f>
        <v>2026_C_PR_B1_CONFIG45</v>
      </c>
      <c r="D156" s="90"/>
      <c r="E156" s="87"/>
      <c r="F156" s="144"/>
      <c r="G156" s="144"/>
      <c r="H156" s="138"/>
      <c r="I156" s="139"/>
      <c r="J156" s="86"/>
      <c r="K156" s="140"/>
      <c r="L156" s="91"/>
      <c r="M156" s="141"/>
      <c r="N156" s="86"/>
      <c r="O156" s="139"/>
      <c r="P156" s="142"/>
      <c r="Q156" s="140"/>
      <c r="R156" s="139"/>
      <c r="S156" s="27"/>
      <c r="T156" s="139"/>
      <c r="U156" s="139"/>
      <c r="V156" s="139"/>
      <c r="W156" s="143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</row>
    <row r="157">
      <c r="A157" s="80"/>
      <c r="B157" s="31"/>
      <c r="C157" s="53" t="str">
        <f>Config!C49</f>
        <v>2026_C_PR_B1_CONFIG46</v>
      </c>
      <c r="D157" s="90"/>
      <c r="E157" s="87"/>
      <c r="F157" s="144"/>
      <c r="G157" s="144"/>
      <c r="H157" s="138"/>
      <c r="I157" s="139"/>
      <c r="J157" s="86"/>
      <c r="K157" s="140"/>
      <c r="L157" s="91"/>
      <c r="M157" s="141"/>
      <c r="N157" s="86"/>
      <c r="O157" s="139"/>
      <c r="P157" s="142"/>
      <c r="Q157" s="140"/>
      <c r="R157" s="139"/>
      <c r="S157" s="27"/>
      <c r="T157" s="139"/>
      <c r="U157" s="139"/>
      <c r="V157" s="139"/>
      <c r="W157" s="143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</row>
    <row r="158">
      <c r="A158" s="80"/>
      <c r="B158" s="31"/>
      <c r="C158" s="53" t="str">
        <f>Config!C50</f>
        <v>2026_C_PR_B1_CONFIG47</v>
      </c>
      <c r="D158" s="90"/>
      <c r="E158" s="87"/>
      <c r="F158" s="144"/>
      <c r="G158" s="144"/>
      <c r="H158" s="138"/>
      <c r="I158" s="139"/>
      <c r="J158" s="86"/>
      <c r="K158" s="140"/>
      <c r="L158" s="91"/>
      <c r="M158" s="141"/>
      <c r="N158" s="86"/>
      <c r="O158" s="139"/>
      <c r="P158" s="142"/>
      <c r="Q158" s="140"/>
      <c r="R158" s="139"/>
      <c r="S158" s="27"/>
      <c r="T158" s="139"/>
      <c r="U158" s="139"/>
      <c r="V158" s="139"/>
      <c r="W158" s="143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</row>
    <row r="159">
      <c r="A159" s="80"/>
      <c r="B159" s="35"/>
      <c r="C159" s="54" t="str">
        <f>Config!C51</f>
        <v>2026_C_PR_B1_CONFIG48</v>
      </c>
      <c r="D159" s="102"/>
      <c r="E159" s="93"/>
      <c r="F159" s="146"/>
      <c r="G159" s="146"/>
      <c r="H159" s="147"/>
      <c r="I159" s="148"/>
      <c r="J159" s="92"/>
      <c r="K159" s="149"/>
      <c r="L159" s="103"/>
      <c r="M159" s="150"/>
      <c r="N159" s="92"/>
      <c r="O159" s="148"/>
      <c r="P159" s="151"/>
      <c r="Q159" s="149"/>
      <c r="R159" s="148"/>
      <c r="S159" s="18"/>
      <c r="T159" s="148"/>
      <c r="U159" s="148"/>
      <c r="V159" s="148"/>
      <c r="W159" s="152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</row>
    <row r="160">
      <c r="A160" s="80"/>
      <c r="B160" s="80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R160" s="25"/>
      <c r="AS160" s="25"/>
      <c r="AT160" s="25"/>
    </row>
    <row r="161">
      <c r="A161" s="80"/>
      <c r="B161" s="156" t="s">
        <v>120</v>
      </c>
      <c r="C161" s="56"/>
      <c r="D161" s="157" t="s">
        <v>93</v>
      </c>
      <c r="E161" s="158" t="s">
        <v>94</v>
      </c>
      <c r="F161" s="158" t="s">
        <v>121</v>
      </c>
      <c r="G161" s="157" t="s">
        <v>122</v>
      </c>
      <c r="H161" s="158" t="s">
        <v>102</v>
      </c>
      <c r="I161" s="58"/>
      <c r="J161" s="58"/>
      <c r="K161" s="58"/>
      <c r="L161" s="58"/>
      <c r="M161" s="158" t="s">
        <v>95</v>
      </c>
      <c r="N161" s="58"/>
      <c r="O161" s="58"/>
      <c r="P161" s="58"/>
      <c r="Q161" s="58"/>
      <c r="R161" s="58"/>
      <c r="S161" s="58"/>
      <c r="T161" s="158" t="s">
        <v>96</v>
      </c>
      <c r="U161" s="58"/>
      <c r="V161" s="58"/>
      <c r="W161" s="56"/>
      <c r="AR161" s="25"/>
      <c r="AS161" s="25"/>
      <c r="AT161" s="25"/>
    </row>
    <row r="162">
      <c r="A162" s="80"/>
      <c r="B162" s="35"/>
      <c r="C162" s="14"/>
      <c r="D162" s="159" t="s">
        <v>123</v>
      </c>
      <c r="E162" s="160" t="s">
        <v>124</v>
      </c>
      <c r="F162" s="161" t="s">
        <v>125</v>
      </c>
      <c r="G162" s="159" t="s">
        <v>126</v>
      </c>
      <c r="H162" s="162"/>
      <c r="I162" s="162" t="s">
        <v>127</v>
      </c>
      <c r="J162" s="162" t="s">
        <v>128</v>
      </c>
      <c r="K162" s="162" t="s">
        <v>129</v>
      </c>
      <c r="L162" s="161" t="s">
        <v>130</v>
      </c>
      <c r="M162" s="162"/>
      <c r="N162" s="162"/>
      <c r="O162" s="162" t="s">
        <v>131</v>
      </c>
      <c r="P162" s="162" t="s">
        <v>132</v>
      </c>
      <c r="Q162" s="162" t="s">
        <v>133</v>
      </c>
      <c r="R162" s="162" t="s">
        <v>134</v>
      </c>
      <c r="S162" s="162" t="s">
        <v>135</v>
      </c>
      <c r="T162" s="160"/>
      <c r="U162" s="162"/>
      <c r="V162" s="162" t="s">
        <v>136</v>
      </c>
      <c r="W162" s="161" t="s">
        <v>137</v>
      </c>
      <c r="AR162" s="25"/>
      <c r="AS162" s="25"/>
      <c r="AT162" s="25"/>
    </row>
    <row r="163">
      <c r="A163" s="80"/>
      <c r="B163" s="75" t="s">
        <v>13</v>
      </c>
      <c r="C163" s="58"/>
      <c r="D163" s="96">
        <v>810.0</v>
      </c>
      <c r="E163" s="163">
        <v>290.0</v>
      </c>
      <c r="F163" s="164">
        <v>0.1</v>
      </c>
      <c r="G163" s="165">
        <v>0.0733</v>
      </c>
      <c r="H163" s="25" t="s">
        <v>119</v>
      </c>
      <c r="I163" s="25">
        <v>0.0</v>
      </c>
      <c r="J163" s="25">
        <v>0.125</v>
      </c>
      <c r="K163" s="25">
        <v>1.306</v>
      </c>
      <c r="L163" s="27">
        <v>1.43</v>
      </c>
      <c r="M163" s="25" t="s">
        <v>119</v>
      </c>
      <c r="N163" s="25" t="s">
        <v>119</v>
      </c>
      <c r="O163" s="25">
        <v>0.0</v>
      </c>
      <c r="P163" s="25">
        <v>9.57</v>
      </c>
      <c r="Q163" s="25">
        <v>0.069</v>
      </c>
      <c r="R163" s="25">
        <v>0.527</v>
      </c>
      <c r="S163" s="27">
        <v>9.639</v>
      </c>
      <c r="T163" s="25" t="s">
        <v>119</v>
      </c>
      <c r="U163" s="25" t="s">
        <v>119</v>
      </c>
      <c r="V163" s="25">
        <v>0.65</v>
      </c>
      <c r="W163" s="27">
        <v>11.9</v>
      </c>
      <c r="AR163" s="25"/>
      <c r="AS163" s="25"/>
      <c r="AT163" s="25"/>
    </row>
    <row r="164">
      <c r="A164" s="80"/>
      <c r="B164" s="35"/>
      <c r="C164" s="64"/>
      <c r="D164" s="166">
        <v>810.0</v>
      </c>
      <c r="E164" s="129">
        <v>290.0</v>
      </c>
      <c r="F164" s="167">
        <v>0.1</v>
      </c>
      <c r="G164" s="168">
        <v>0.0733</v>
      </c>
      <c r="H164" s="17" t="s">
        <v>119</v>
      </c>
      <c r="I164" s="132">
        <v>0.0</v>
      </c>
      <c r="J164" s="132"/>
      <c r="K164" s="132"/>
      <c r="L164" s="133"/>
      <c r="M164" s="17" t="s">
        <v>119</v>
      </c>
      <c r="N164" s="17" t="s">
        <v>119</v>
      </c>
      <c r="O164" s="17" t="s">
        <v>138</v>
      </c>
      <c r="P164" s="17" t="s">
        <v>138</v>
      </c>
      <c r="Q164" s="17" t="s">
        <v>138</v>
      </c>
      <c r="R164" s="132"/>
      <c r="S164" s="133"/>
      <c r="T164" s="17" t="s">
        <v>119</v>
      </c>
      <c r="U164" s="17" t="s">
        <v>119</v>
      </c>
      <c r="V164" s="132">
        <f t="shared" ref="V164:V208" si="11">1000*R164/D164</f>
        <v>0</v>
      </c>
      <c r="W164" s="133">
        <f t="shared" ref="W164:W208" si="12">1000*S164/D164</f>
        <v>0</v>
      </c>
      <c r="AR164" s="25"/>
      <c r="AS164" s="25"/>
      <c r="AT164" s="25"/>
    </row>
    <row r="165">
      <c r="A165" s="80"/>
      <c r="B165" s="21" t="s">
        <v>15</v>
      </c>
      <c r="C165" s="81" t="str">
        <f>Config!C4</f>
        <v>2026_C_PR_B3_CONFIG1</v>
      </c>
      <c r="D165" s="169">
        <v>810.0</v>
      </c>
      <c r="E165" s="170">
        <v>290.0</v>
      </c>
      <c r="F165" s="171">
        <v>0.1</v>
      </c>
      <c r="G165" s="165">
        <v>0.075</v>
      </c>
      <c r="H165" s="144"/>
      <c r="I165" s="86">
        <v>0.0</v>
      </c>
      <c r="J165" s="86">
        <f t="shared" ref="J165:J198" si="13">K165*G165</f>
        <v>0.06371049949</v>
      </c>
      <c r="K165" s="86">
        <f>Config!J4</f>
        <v>0.8494733265</v>
      </c>
      <c r="L165" s="91">
        <f t="shared" ref="L165:L208" si="14">K165+J165</f>
        <v>0.913183826</v>
      </c>
      <c r="M165" s="140"/>
      <c r="N165" s="140"/>
      <c r="O165" s="139">
        <v>0.0</v>
      </c>
      <c r="P165" s="86">
        <f t="shared" ref="P165:P208" si="15">L165*H6</f>
        <v>0.2739551478</v>
      </c>
      <c r="Q165" s="86">
        <f t="shared" ref="Q165:Q208" si="16">I6*L165</f>
        <v>0.02282959565</v>
      </c>
      <c r="R165" s="139">
        <v>0.405</v>
      </c>
      <c r="S165" s="143">
        <f t="shared" ref="S165:S208" si="17">O165+P165+Q165+R165</f>
        <v>0.7017847435</v>
      </c>
      <c r="T165" s="140"/>
      <c r="U165" s="140"/>
      <c r="V165" s="139">
        <f t="shared" si="11"/>
        <v>0.5</v>
      </c>
      <c r="W165" s="143">
        <f t="shared" si="12"/>
        <v>0.8664009179</v>
      </c>
      <c r="AR165" s="25"/>
      <c r="AS165" s="25"/>
      <c r="AT165" s="25"/>
    </row>
    <row r="166">
      <c r="A166" s="80"/>
      <c r="B166" s="31"/>
      <c r="C166" s="53" t="str">
        <f>Config!C5</f>
        <v>2025_C_PR_B3_CONFIG2</v>
      </c>
      <c r="D166" s="169">
        <v>810.0</v>
      </c>
      <c r="E166" s="170">
        <v>290.0</v>
      </c>
      <c r="F166" s="171">
        <v>0.1</v>
      </c>
      <c r="G166" s="165">
        <v>0.075</v>
      </c>
      <c r="H166" s="144"/>
      <c r="I166" s="86">
        <v>0.0</v>
      </c>
      <c r="J166" s="86">
        <f t="shared" si="13"/>
        <v>0.07008154944</v>
      </c>
      <c r="K166" s="86">
        <f>Config!J5</f>
        <v>0.9344206592</v>
      </c>
      <c r="L166" s="91">
        <f t="shared" si="14"/>
        <v>1.004502209</v>
      </c>
      <c r="M166" s="140"/>
      <c r="N166" s="140"/>
      <c r="O166" s="139">
        <v>0.0</v>
      </c>
      <c r="P166" s="86">
        <f t="shared" si="15"/>
        <v>0.3013506626</v>
      </c>
      <c r="Q166" s="86">
        <f t="shared" si="16"/>
        <v>0.02511255522</v>
      </c>
      <c r="R166" s="139">
        <v>0.405</v>
      </c>
      <c r="S166" s="143">
        <f t="shared" si="17"/>
        <v>0.7314632178</v>
      </c>
      <c r="T166" s="140"/>
      <c r="U166" s="140"/>
      <c r="V166" s="139">
        <f t="shared" si="11"/>
        <v>0.5</v>
      </c>
      <c r="W166" s="143">
        <f t="shared" si="12"/>
        <v>0.9030410096</v>
      </c>
      <c r="AR166" s="25"/>
      <c r="AS166" s="25"/>
      <c r="AT166" s="25"/>
    </row>
    <row r="167">
      <c r="A167" s="80"/>
      <c r="B167" s="31"/>
      <c r="C167" s="53" t="str">
        <f>Config!C6</f>
        <v>2026_C_PR_B3_CONFIG3</v>
      </c>
      <c r="D167" s="169">
        <v>810.0</v>
      </c>
      <c r="E167" s="170">
        <v>290.0</v>
      </c>
      <c r="F167" s="171">
        <v>0.1</v>
      </c>
      <c r="G167" s="165">
        <v>0.075</v>
      </c>
      <c r="H167" s="144"/>
      <c r="I167" s="86">
        <v>0.0</v>
      </c>
      <c r="J167" s="86">
        <f t="shared" si="13"/>
        <v>0.07645259939</v>
      </c>
      <c r="K167" s="86">
        <f>Config!J6</f>
        <v>1.019367992</v>
      </c>
      <c r="L167" s="91">
        <f t="shared" si="14"/>
        <v>1.095820591</v>
      </c>
      <c r="M167" s="140"/>
      <c r="N167" s="140"/>
      <c r="O167" s="139">
        <v>0.0</v>
      </c>
      <c r="P167" s="86">
        <f t="shared" si="15"/>
        <v>0.3287461774</v>
      </c>
      <c r="Q167" s="86">
        <f t="shared" si="16"/>
        <v>0.02739551478</v>
      </c>
      <c r="R167" s="139">
        <v>0.405</v>
      </c>
      <c r="S167" s="143">
        <f t="shared" si="17"/>
        <v>0.7611416922</v>
      </c>
      <c r="T167" s="140"/>
      <c r="U167" s="140"/>
      <c r="V167" s="139">
        <f t="shared" si="11"/>
        <v>0.5</v>
      </c>
      <c r="W167" s="143">
        <f t="shared" si="12"/>
        <v>0.9396811014</v>
      </c>
      <c r="AR167" s="25"/>
      <c r="AS167" s="25"/>
      <c r="AT167" s="25"/>
    </row>
    <row r="168">
      <c r="A168" s="80"/>
      <c r="B168" s="31"/>
      <c r="C168" s="53" t="str">
        <f>Config!C7</f>
        <v>2025_C_PR_B3_CONFIG4</v>
      </c>
      <c r="D168" s="169">
        <v>810.0</v>
      </c>
      <c r="E168" s="170">
        <v>290.0</v>
      </c>
      <c r="F168" s="171">
        <v>0.1</v>
      </c>
      <c r="G168" s="165">
        <v>0.075</v>
      </c>
      <c r="H168" s="144"/>
      <c r="I168" s="86">
        <v>0.0</v>
      </c>
      <c r="J168" s="86">
        <f t="shared" si="13"/>
        <v>0.08282364934</v>
      </c>
      <c r="K168" s="86">
        <f>Config!J7</f>
        <v>1.104315324</v>
      </c>
      <c r="L168" s="91">
        <f t="shared" si="14"/>
        <v>1.187138974</v>
      </c>
      <c r="M168" s="140"/>
      <c r="N168" s="140"/>
      <c r="O168" s="139">
        <v>0.0</v>
      </c>
      <c r="P168" s="86">
        <f t="shared" si="15"/>
        <v>6.93106524</v>
      </c>
      <c r="Q168" s="86">
        <f t="shared" si="16"/>
        <v>0.02967847435</v>
      </c>
      <c r="R168" s="139">
        <v>0.405</v>
      </c>
      <c r="S168" s="143">
        <f t="shared" si="17"/>
        <v>7.365743714</v>
      </c>
      <c r="T168" s="140"/>
      <c r="U168" s="140"/>
      <c r="V168" s="139">
        <f t="shared" si="11"/>
        <v>0.5</v>
      </c>
      <c r="W168" s="143">
        <f t="shared" si="12"/>
        <v>9.093510758</v>
      </c>
      <c r="AR168" s="25"/>
      <c r="AS168" s="25"/>
      <c r="AT168" s="25"/>
    </row>
    <row r="169">
      <c r="A169" s="80"/>
      <c r="B169" s="31"/>
      <c r="C169" s="53" t="str">
        <f>Config!C8</f>
        <v>2026_C_PR_B3_CONFIG5</v>
      </c>
      <c r="D169" s="169">
        <v>810.0</v>
      </c>
      <c r="E169" s="170">
        <v>290.0</v>
      </c>
      <c r="F169" s="171">
        <v>0.1</v>
      </c>
      <c r="G169" s="165">
        <v>0.075</v>
      </c>
      <c r="H169" s="144"/>
      <c r="I169" s="86">
        <v>0.0</v>
      </c>
      <c r="J169" s="86">
        <f t="shared" si="13"/>
        <v>0.08919469929</v>
      </c>
      <c r="K169" s="86">
        <f>Config!J8</f>
        <v>1.189262657</v>
      </c>
      <c r="L169" s="91">
        <f t="shared" si="14"/>
        <v>1.278457356</v>
      </c>
      <c r="M169" s="140"/>
      <c r="N169" s="140"/>
      <c r="O169" s="139">
        <v>0.0</v>
      </c>
      <c r="P169" s="86">
        <f t="shared" si="15"/>
        <v>6.958460754</v>
      </c>
      <c r="Q169" s="86">
        <f t="shared" si="16"/>
        <v>0.03196143391</v>
      </c>
      <c r="R169" s="139">
        <v>0.405</v>
      </c>
      <c r="S169" s="143">
        <f t="shared" si="17"/>
        <v>7.395422188</v>
      </c>
      <c r="T169" s="140"/>
      <c r="U169" s="140"/>
      <c r="V169" s="139">
        <f t="shared" si="11"/>
        <v>0.5</v>
      </c>
      <c r="W169" s="143">
        <f t="shared" si="12"/>
        <v>9.13015085</v>
      </c>
      <c r="AR169" s="25"/>
      <c r="AS169" s="25"/>
      <c r="AT169" s="25"/>
    </row>
    <row r="170">
      <c r="A170" s="80"/>
      <c r="B170" s="31"/>
      <c r="C170" s="53" t="str">
        <f>Config!C9</f>
        <v>2025_C_PR_B3_CONFIG6</v>
      </c>
      <c r="D170" s="169">
        <v>810.0</v>
      </c>
      <c r="E170" s="170">
        <v>290.0</v>
      </c>
      <c r="F170" s="171">
        <v>0.1</v>
      </c>
      <c r="G170" s="165">
        <v>0.075</v>
      </c>
      <c r="H170" s="144"/>
      <c r="I170" s="86">
        <v>0.0</v>
      </c>
      <c r="J170" s="86">
        <f t="shared" si="13"/>
        <v>0.09556574924</v>
      </c>
      <c r="K170" s="86">
        <f>Config!J9</f>
        <v>1.27420999</v>
      </c>
      <c r="L170" s="91">
        <f t="shared" si="14"/>
        <v>1.369775739</v>
      </c>
      <c r="M170" s="140"/>
      <c r="N170" s="140"/>
      <c r="O170" s="139">
        <v>0.0</v>
      </c>
      <c r="P170" s="86">
        <f t="shared" si="15"/>
        <v>0.4109327217</v>
      </c>
      <c r="Q170" s="86">
        <f t="shared" si="16"/>
        <v>0.03424439348</v>
      </c>
      <c r="R170" s="139">
        <v>0.405</v>
      </c>
      <c r="S170" s="143">
        <f t="shared" si="17"/>
        <v>0.8501771152</v>
      </c>
      <c r="T170" s="140"/>
      <c r="U170" s="140"/>
      <c r="V170" s="139">
        <f t="shared" si="11"/>
        <v>0.5</v>
      </c>
      <c r="W170" s="143">
        <f t="shared" si="12"/>
        <v>1.049601377</v>
      </c>
      <c r="AR170" s="25"/>
      <c r="AS170" s="25"/>
      <c r="AT170" s="25"/>
    </row>
    <row r="171">
      <c r="A171" s="80"/>
      <c r="B171" s="31"/>
      <c r="C171" s="53" t="str">
        <f>Config!C10</f>
        <v>2026_C_PR_B3_CONFIG7</v>
      </c>
      <c r="D171" s="169">
        <v>810.0</v>
      </c>
      <c r="E171" s="170">
        <v>290.0</v>
      </c>
      <c r="F171" s="171">
        <v>0.1</v>
      </c>
      <c r="G171" s="165">
        <v>0.075</v>
      </c>
      <c r="H171" s="144"/>
      <c r="I171" s="86">
        <v>0.0</v>
      </c>
      <c r="J171" s="86">
        <f t="shared" si="13"/>
        <v>0.0000127420999</v>
      </c>
      <c r="K171" s="86">
        <f>Config!J10</f>
        <v>0.0001698946653</v>
      </c>
      <c r="L171" s="91">
        <f t="shared" si="14"/>
        <v>0.0001826367652</v>
      </c>
      <c r="M171" s="140"/>
      <c r="N171" s="140"/>
      <c r="O171" s="139">
        <v>0.0</v>
      </c>
      <c r="P171" s="86">
        <f t="shared" si="15"/>
        <v>0.00005479102956</v>
      </c>
      <c r="Q171" s="86">
        <f t="shared" si="16"/>
        <v>0.00000456591913</v>
      </c>
      <c r="R171" s="139">
        <v>0.405</v>
      </c>
      <c r="S171" s="143">
        <f t="shared" si="17"/>
        <v>0.4050593569</v>
      </c>
      <c r="T171" s="140"/>
      <c r="U171" s="140"/>
      <c r="V171" s="139">
        <f t="shared" si="11"/>
        <v>0.5</v>
      </c>
      <c r="W171" s="143">
        <f t="shared" si="12"/>
        <v>0.5000732802</v>
      </c>
      <c r="AR171" s="25"/>
      <c r="AS171" s="25"/>
      <c r="AT171" s="25"/>
    </row>
    <row r="172">
      <c r="A172" s="80"/>
      <c r="B172" s="31"/>
      <c r="C172" s="53" t="str">
        <f>Config!C11</f>
        <v>2025_C_PR_B3_CONFIG8</v>
      </c>
      <c r="D172" s="169">
        <v>810.0</v>
      </c>
      <c r="E172" s="170">
        <v>290.0</v>
      </c>
      <c r="F172" s="171">
        <v>0.1</v>
      </c>
      <c r="G172" s="165">
        <v>0.075</v>
      </c>
      <c r="H172" s="144"/>
      <c r="I172" s="86">
        <v>0.0</v>
      </c>
      <c r="J172" s="86">
        <f t="shared" si="13"/>
        <v>0.0000127420999</v>
      </c>
      <c r="K172" s="86">
        <f>Config!J11</f>
        <v>0.0001698946653</v>
      </c>
      <c r="L172" s="91">
        <f t="shared" si="14"/>
        <v>0.0001826367652</v>
      </c>
      <c r="M172" s="140"/>
      <c r="N172" s="140"/>
      <c r="O172" s="139">
        <v>0.0</v>
      </c>
      <c r="P172" s="86">
        <f t="shared" si="15"/>
        <v>0.00005479102956</v>
      </c>
      <c r="Q172" s="86">
        <f t="shared" si="16"/>
        <v>0.00000456591913</v>
      </c>
      <c r="R172" s="139">
        <v>0.405</v>
      </c>
      <c r="S172" s="143">
        <f t="shared" si="17"/>
        <v>0.4050593569</v>
      </c>
      <c r="T172" s="140"/>
      <c r="U172" s="140"/>
      <c r="V172" s="139">
        <f t="shared" si="11"/>
        <v>0.5</v>
      </c>
      <c r="W172" s="143">
        <f t="shared" si="12"/>
        <v>0.5000732802</v>
      </c>
      <c r="AR172" s="25"/>
      <c r="AS172" s="25"/>
      <c r="AT172" s="25"/>
    </row>
    <row r="173">
      <c r="A173" s="80"/>
      <c r="B173" s="31"/>
      <c r="C173" s="53" t="str">
        <f>Config!C12</f>
        <v>2026_C_PR_B3_CONFIG9</v>
      </c>
      <c r="D173" s="169">
        <v>810.0</v>
      </c>
      <c r="E173" s="170">
        <v>290.0</v>
      </c>
      <c r="F173" s="171">
        <v>0.1</v>
      </c>
      <c r="G173" s="165">
        <v>0.075</v>
      </c>
      <c r="H173" s="144"/>
      <c r="I173" s="86">
        <v>0.0</v>
      </c>
      <c r="J173" s="86">
        <f t="shared" si="13"/>
        <v>0.0000127420999</v>
      </c>
      <c r="K173" s="86">
        <f>Config!J12</f>
        <v>0.0001698946653</v>
      </c>
      <c r="L173" s="91">
        <f t="shared" si="14"/>
        <v>0.0001826367652</v>
      </c>
      <c r="M173" s="140"/>
      <c r="N173" s="140"/>
      <c r="O173" s="139">
        <v>0.0</v>
      </c>
      <c r="P173" s="86">
        <f t="shared" si="15"/>
        <v>0.00005479102956</v>
      </c>
      <c r="Q173" s="86">
        <f t="shared" si="16"/>
        <v>0.00000456591913</v>
      </c>
      <c r="R173" s="139">
        <v>0.405</v>
      </c>
      <c r="S173" s="143">
        <f t="shared" si="17"/>
        <v>0.4050593569</v>
      </c>
      <c r="T173" s="140"/>
      <c r="U173" s="140"/>
      <c r="V173" s="139">
        <f t="shared" si="11"/>
        <v>0.5</v>
      </c>
      <c r="W173" s="143">
        <f t="shared" si="12"/>
        <v>0.5000732802</v>
      </c>
      <c r="AR173" s="25"/>
      <c r="AS173" s="25"/>
      <c r="AT173" s="25"/>
    </row>
    <row r="174">
      <c r="A174" s="80"/>
      <c r="B174" s="31"/>
      <c r="C174" s="53" t="str">
        <f>Config!C13</f>
        <v>2026_C_PR_B3_CONFIG10</v>
      </c>
      <c r="D174" s="169">
        <v>810.0</v>
      </c>
      <c r="E174" s="170">
        <v>290.0</v>
      </c>
      <c r="F174" s="171">
        <v>0.1</v>
      </c>
      <c r="G174" s="165">
        <v>0.075</v>
      </c>
      <c r="H174" s="144"/>
      <c r="I174" s="86">
        <v>0.0</v>
      </c>
      <c r="J174" s="86">
        <f t="shared" si="13"/>
        <v>0.0000127420999</v>
      </c>
      <c r="K174" s="86">
        <f>Config!J13</f>
        <v>0.0001698946653</v>
      </c>
      <c r="L174" s="91">
        <f t="shared" si="14"/>
        <v>0.0001826367652</v>
      </c>
      <c r="M174" s="140"/>
      <c r="N174" s="140"/>
      <c r="O174" s="139">
        <v>0.0</v>
      </c>
      <c r="P174" s="86">
        <f t="shared" si="15"/>
        <v>0.00005479102956</v>
      </c>
      <c r="Q174" s="86">
        <f t="shared" si="16"/>
        <v>0.00000456591913</v>
      </c>
      <c r="R174" s="139">
        <v>0.405</v>
      </c>
      <c r="S174" s="143">
        <f t="shared" si="17"/>
        <v>0.4050593569</v>
      </c>
      <c r="T174" s="140"/>
      <c r="U174" s="140"/>
      <c r="V174" s="139">
        <f t="shared" si="11"/>
        <v>0.5</v>
      </c>
      <c r="W174" s="143">
        <f t="shared" si="12"/>
        <v>0.5000732802</v>
      </c>
      <c r="AR174" s="25"/>
      <c r="AS174" s="25"/>
      <c r="AT174" s="25"/>
    </row>
    <row r="175">
      <c r="A175" s="80"/>
      <c r="B175" s="31"/>
      <c r="C175" s="53" t="str">
        <f>Config!C14</f>
        <v>2026_C_PR_B3_CONFIG11</v>
      </c>
      <c r="D175" s="169">
        <v>810.0</v>
      </c>
      <c r="E175" s="170">
        <v>290.0</v>
      </c>
      <c r="F175" s="171">
        <v>0.1</v>
      </c>
      <c r="G175" s="165">
        <v>0.0750000000000001</v>
      </c>
      <c r="H175" s="144"/>
      <c r="I175" s="86">
        <v>0.0</v>
      </c>
      <c r="J175" s="86">
        <f t="shared" si="13"/>
        <v>0.0000127420999</v>
      </c>
      <c r="K175" s="86">
        <f>Config!J14</f>
        <v>0.0001698946653</v>
      </c>
      <c r="L175" s="91">
        <f t="shared" si="14"/>
        <v>0.0001826367652</v>
      </c>
      <c r="M175" s="140"/>
      <c r="N175" s="140"/>
      <c r="O175" s="139">
        <v>0.0</v>
      </c>
      <c r="P175" s="86">
        <f t="shared" si="15"/>
        <v>0.00005479102956</v>
      </c>
      <c r="Q175" s="86">
        <f t="shared" si="16"/>
        <v>0.00000456591913</v>
      </c>
      <c r="R175" s="139">
        <v>0.405</v>
      </c>
      <c r="S175" s="143">
        <f t="shared" si="17"/>
        <v>0.4050593569</v>
      </c>
      <c r="T175" s="140"/>
      <c r="U175" s="140"/>
      <c r="V175" s="139">
        <f t="shared" si="11"/>
        <v>0.5</v>
      </c>
      <c r="W175" s="143">
        <f t="shared" si="12"/>
        <v>0.5000732802</v>
      </c>
      <c r="AR175" s="25"/>
      <c r="AS175" s="25"/>
      <c r="AT175" s="25"/>
    </row>
    <row r="176">
      <c r="A176" s="80"/>
      <c r="B176" s="35"/>
      <c r="C176" s="54" t="str">
        <f>Config!C15</f>
        <v>2026_C_PR_B3_CONFIG12</v>
      </c>
      <c r="D176" s="172">
        <v>810.0</v>
      </c>
      <c r="E176" s="173">
        <v>290.0</v>
      </c>
      <c r="F176" s="174">
        <v>0.1</v>
      </c>
      <c r="G176" s="175">
        <v>0.0750000000000001</v>
      </c>
      <c r="H176" s="146"/>
      <c r="I176" s="92">
        <v>0.0</v>
      </c>
      <c r="J176" s="92">
        <f t="shared" si="13"/>
        <v>0.0000127420999</v>
      </c>
      <c r="K176" s="92">
        <f>Config!J15</f>
        <v>0.0001698946653</v>
      </c>
      <c r="L176" s="103">
        <f t="shared" si="14"/>
        <v>0.0001826367652</v>
      </c>
      <c r="M176" s="149"/>
      <c r="N176" s="149"/>
      <c r="O176" s="148">
        <v>0.0</v>
      </c>
      <c r="P176" s="92">
        <f t="shared" si="15"/>
        <v>0.00005479102956</v>
      </c>
      <c r="Q176" s="92">
        <f t="shared" si="16"/>
        <v>0.00000456591913</v>
      </c>
      <c r="R176" s="148">
        <v>0.405</v>
      </c>
      <c r="S176" s="152">
        <f t="shared" si="17"/>
        <v>0.4050593569</v>
      </c>
      <c r="T176" s="149"/>
      <c r="U176" s="149"/>
      <c r="V176" s="148">
        <f t="shared" si="11"/>
        <v>0.5</v>
      </c>
      <c r="W176" s="152">
        <f t="shared" si="12"/>
        <v>0.5000732802</v>
      </c>
      <c r="AR176" s="25"/>
      <c r="AS176" s="25"/>
      <c r="AT176" s="25"/>
    </row>
    <row r="177">
      <c r="A177" s="80"/>
      <c r="B177" s="21" t="s">
        <v>29</v>
      </c>
      <c r="C177" s="53" t="str">
        <f>Config!C16</f>
        <v>2026_C_PR_B3_CONFIG13</v>
      </c>
      <c r="D177" s="169">
        <v>810.0</v>
      </c>
      <c r="E177" s="170">
        <v>290.0</v>
      </c>
      <c r="F177" s="171">
        <v>0.1</v>
      </c>
      <c r="G177" s="165">
        <v>0.0750000000000001</v>
      </c>
      <c r="H177" s="144"/>
      <c r="I177" s="86">
        <v>0.0</v>
      </c>
      <c r="J177" s="86">
        <f t="shared" si="13"/>
        <v>0.06371049949</v>
      </c>
      <c r="K177" s="86">
        <f>Config!J16</f>
        <v>0.8494733265</v>
      </c>
      <c r="L177" s="91">
        <f t="shared" si="14"/>
        <v>0.913183826</v>
      </c>
      <c r="M177" s="140"/>
      <c r="N177" s="140"/>
      <c r="O177" s="139">
        <v>0.0</v>
      </c>
      <c r="P177" s="86">
        <f t="shared" si="15"/>
        <v>0.2739551478</v>
      </c>
      <c r="Q177" s="86">
        <f t="shared" si="16"/>
        <v>0.02282959565</v>
      </c>
      <c r="R177" s="139">
        <v>0.405</v>
      </c>
      <c r="S177" s="143">
        <f t="shared" si="17"/>
        <v>0.7017847435</v>
      </c>
      <c r="T177" s="140"/>
      <c r="U177" s="140"/>
      <c r="V177" s="139">
        <f t="shared" si="11"/>
        <v>0.5</v>
      </c>
      <c r="W177" s="143">
        <f t="shared" si="12"/>
        <v>0.8664009179</v>
      </c>
      <c r="AR177" s="25"/>
      <c r="AS177" s="25"/>
      <c r="AT177" s="25"/>
    </row>
    <row r="178">
      <c r="A178" s="80"/>
      <c r="B178" s="31"/>
      <c r="C178" s="53" t="str">
        <f>Config!C17</f>
        <v>2026_C_PR_B3_CONFIG14</v>
      </c>
      <c r="D178" s="169">
        <v>810.0</v>
      </c>
      <c r="E178" s="170">
        <v>290.0</v>
      </c>
      <c r="F178" s="171">
        <v>0.1</v>
      </c>
      <c r="G178" s="165">
        <v>0.0750000000000001</v>
      </c>
      <c r="H178" s="144"/>
      <c r="I178" s="86">
        <v>0.0</v>
      </c>
      <c r="J178" s="86">
        <f t="shared" si="13"/>
        <v>0.07008154944</v>
      </c>
      <c r="K178" s="86">
        <f>Config!J17</f>
        <v>0.9344206592</v>
      </c>
      <c r="L178" s="91">
        <f t="shared" si="14"/>
        <v>1.004502209</v>
      </c>
      <c r="M178" s="140"/>
      <c r="N178" s="140"/>
      <c r="O178" s="139">
        <v>0.0</v>
      </c>
      <c r="P178" s="86">
        <f t="shared" si="15"/>
        <v>0.3013506626</v>
      </c>
      <c r="Q178" s="86">
        <f t="shared" si="16"/>
        <v>0.02511255522</v>
      </c>
      <c r="R178" s="139">
        <v>0.405</v>
      </c>
      <c r="S178" s="143">
        <f t="shared" si="17"/>
        <v>0.7314632178</v>
      </c>
      <c r="T178" s="140"/>
      <c r="U178" s="140"/>
      <c r="V178" s="139">
        <f t="shared" si="11"/>
        <v>0.5</v>
      </c>
      <c r="W178" s="143">
        <f t="shared" si="12"/>
        <v>0.9030410096</v>
      </c>
      <c r="AR178" s="25"/>
      <c r="AS178" s="25"/>
      <c r="AT178" s="25"/>
    </row>
    <row r="179">
      <c r="A179" s="80"/>
      <c r="B179" s="31"/>
      <c r="C179" s="53" t="str">
        <f>Config!C18</f>
        <v>2026_C_PR_B3_CONFIG15</v>
      </c>
      <c r="D179" s="169">
        <v>810.0</v>
      </c>
      <c r="E179" s="170">
        <v>290.0</v>
      </c>
      <c r="F179" s="171">
        <v>0.1</v>
      </c>
      <c r="G179" s="165">
        <v>0.0750000000000001</v>
      </c>
      <c r="H179" s="144"/>
      <c r="I179" s="86">
        <v>0.0</v>
      </c>
      <c r="J179" s="86">
        <f t="shared" si="13"/>
        <v>0.07645259939</v>
      </c>
      <c r="K179" s="86">
        <f>Config!J18</f>
        <v>1.019367992</v>
      </c>
      <c r="L179" s="91">
        <f t="shared" si="14"/>
        <v>1.095820591</v>
      </c>
      <c r="M179" s="140"/>
      <c r="N179" s="140"/>
      <c r="O179" s="139">
        <v>0.0</v>
      </c>
      <c r="P179" s="86">
        <f t="shared" si="15"/>
        <v>0.3287461774</v>
      </c>
      <c r="Q179" s="86">
        <f t="shared" si="16"/>
        <v>0.02739551478</v>
      </c>
      <c r="R179" s="139">
        <v>0.405</v>
      </c>
      <c r="S179" s="143">
        <f t="shared" si="17"/>
        <v>0.7611416922</v>
      </c>
      <c r="T179" s="140"/>
      <c r="U179" s="140"/>
      <c r="V179" s="139">
        <f t="shared" si="11"/>
        <v>0.5</v>
      </c>
      <c r="W179" s="143">
        <f t="shared" si="12"/>
        <v>0.9396811014</v>
      </c>
      <c r="AR179" s="25"/>
      <c r="AS179" s="25"/>
      <c r="AT179" s="25"/>
    </row>
    <row r="180">
      <c r="A180" s="80"/>
      <c r="B180" s="31"/>
      <c r="C180" s="53" t="str">
        <f>Config!C19</f>
        <v>2026_C_PR_B3_CONFIG16</v>
      </c>
      <c r="D180" s="169">
        <v>810.0</v>
      </c>
      <c r="E180" s="170">
        <v>290.0</v>
      </c>
      <c r="F180" s="171">
        <v>0.1</v>
      </c>
      <c r="G180" s="165">
        <v>0.0750000000000001</v>
      </c>
      <c r="H180" s="144"/>
      <c r="I180" s="86">
        <v>0.0</v>
      </c>
      <c r="J180" s="86">
        <f t="shared" si="13"/>
        <v>0.08282364934</v>
      </c>
      <c r="K180" s="86">
        <f>Config!J19</f>
        <v>1.104315324</v>
      </c>
      <c r="L180" s="91">
        <f t="shared" si="14"/>
        <v>1.187138974</v>
      </c>
      <c r="M180" s="140"/>
      <c r="N180" s="140"/>
      <c r="O180" s="139">
        <v>0.0</v>
      </c>
      <c r="P180" s="86">
        <f t="shared" si="15"/>
        <v>0.3561416922</v>
      </c>
      <c r="Q180" s="86">
        <f t="shared" si="16"/>
        <v>0.02967847435</v>
      </c>
      <c r="R180" s="139">
        <v>0.405</v>
      </c>
      <c r="S180" s="143">
        <f t="shared" si="17"/>
        <v>0.7908201665</v>
      </c>
      <c r="T180" s="140"/>
      <c r="U180" s="140"/>
      <c r="V180" s="139">
        <f t="shared" si="11"/>
        <v>0.5</v>
      </c>
      <c r="W180" s="143">
        <f t="shared" si="12"/>
        <v>0.9763211932</v>
      </c>
      <c r="AR180" s="25"/>
      <c r="AS180" s="25"/>
      <c r="AT180" s="25"/>
    </row>
    <row r="181">
      <c r="A181" s="80"/>
      <c r="B181" s="31"/>
      <c r="C181" s="53" t="str">
        <f>Config!C20</f>
        <v>2026_C_PR_B3_CONFIG17</v>
      </c>
      <c r="D181" s="169">
        <v>810.0</v>
      </c>
      <c r="E181" s="170">
        <v>290.0</v>
      </c>
      <c r="F181" s="171">
        <v>0.1</v>
      </c>
      <c r="G181" s="165">
        <v>0.0750000000000001</v>
      </c>
      <c r="H181" s="144"/>
      <c r="I181" s="86">
        <v>0.0</v>
      </c>
      <c r="J181" s="86">
        <f t="shared" si="13"/>
        <v>0.08919469929</v>
      </c>
      <c r="K181" s="86">
        <f>Config!J20</f>
        <v>1.189262657</v>
      </c>
      <c r="L181" s="91">
        <f t="shared" si="14"/>
        <v>1.278457356</v>
      </c>
      <c r="M181" s="140"/>
      <c r="N181" s="140"/>
      <c r="O181" s="139">
        <v>0.0</v>
      </c>
      <c r="P181" s="86">
        <f t="shared" si="15"/>
        <v>0.3835372069</v>
      </c>
      <c r="Q181" s="86">
        <f t="shared" si="16"/>
        <v>0.03196143391</v>
      </c>
      <c r="R181" s="139">
        <v>0.404999999999999</v>
      </c>
      <c r="S181" s="143">
        <f t="shared" si="17"/>
        <v>0.8204986408</v>
      </c>
      <c r="T181" s="140"/>
      <c r="U181" s="140"/>
      <c r="V181" s="139">
        <f t="shared" si="11"/>
        <v>0.5</v>
      </c>
      <c r="W181" s="143">
        <f t="shared" si="12"/>
        <v>1.012961285</v>
      </c>
      <c r="AR181" s="25"/>
      <c r="AS181" s="25"/>
      <c r="AT181" s="25"/>
    </row>
    <row r="182">
      <c r="A182" s="80"/>
      <c r="B182" s="31"/>
      <c r="C182" s="53" t="str">
        <f>Config!C21</f>
        <v>2026_C_PR_B3_CONFIG18</v>
      </c>
      <c r="D182" s="78">
        <v>810.0</v>
      </c>
      <c r="E182" s="163">
        <v>290.0</v>
      </c>
      <c r="F182" s="164">
        <v>0.1</v>
      </c>
      <c r="G182" s="165">
        <v>0.0750000000000002</v>
      </c>
      <c r="H182" s="144"/>
      <c r="I182" s="25">
        <v>0.0</v>
      </c>
      <c r="J182" s="25">
        <f t="shared" si="13"/>
        <v>0.09556574924</v>
      </c>
      <c r="K182" s="25">
        <f>Config!J21</f>
        <v>1.27420999</v>
      </c>
      <c r="L182" s="27">
        <f t="shared" si="14"/>
        <v>1.369775739</v>
      </c>
      <c r="M182" s="140"/>
      <c r="N182" s="140"/>
      <c r="O182" s="25">
        <v>0.0</v>
      </c>
      <c r="P182" s="25">
        <f t="shared" si="15"/>
        <v>6.985856269</v>
      </c>
      <c r="Q182" s="25">
        <f t="shared" si="16"/>
        <v>0.03424439348</v>
      </c>
      <c r="R182" s="25">
        <v>0.405</v>
      </c>
      <c r="S182" s="27">
        <f t="shared" si="17"/>
        <v>7.425100663</v>
      </c>
      <c r="T182" s="140"/>
      <c r="U182" s="140"/>
      <c r="V182" s="25">
        <f t="shared" si="11"/>
        <v>0.5</v>
      </c>
      <c r="W182" s="27">
        <f t="shared" si="12"/>
        <v>9.166790941</v>
      </c>
      <c r="AR182" s="25"/>
      <c r="AS182" s="25"/>
      <c r="AT182" s="25"/>
    </row>
    <row r="183">
      <c r="A183" s="80"/>
      <c r="B183" s="31"/>
      <c r="C183" s="53" t="str">
        <f>Config!C22</f>
        <v>2026_C_PR_B3_CONFIG19</v>
      </c>
      <c r="D183" s="169">
        <v>810.0</v>
      </c>
      <c r="E183" s="170">
        <v>290.0</v>
      </c>
      <c r="F183" s="171">
        <v>0.1</v>
      </c>
      <c r="G183" s="165">
        <v>0.0750000000000002</v>
      </c>
      <c r="H183" s="144"/>
      <c r="I183" s="86">
        <v>0.0</v>
      </c>
      <c r="J183" s="86">
        <f t="shared" si="13"/>
        <v>0.1019367992</v>
      </c>
      <c r="K183" s="86">
        <f>Config!J22</f>
        <v>1.359157322</v>
      </c>
      <c r="L183" s="91">
        <f t="shared" si="14"/>
        <v>1.461094122</v>
      </c>
      <c r="M183" s="140"/>
      <c r="N183" s="140"/>
      <c r="O183" s="139">
        <v>0.0</v>
      </c>
      <c r="P183" s="86">
        <f t="shared" si="15"/>
        <v>7.013251784</v>
      </c>
      <c r="Q183" s="86">
        <f t="shared" si="16"/>
        <v>0.03652735304</v>
      </c>
      <c r="R183" s="139">
        <v>0.404999999999999</v>
      </c>
      <c r="S183" s="143">
        <f t="shared" si="17"/>
        <v>7.454779137</v>
      </c>
      <c r="T183" s="140"/>
      <c r="U183" s="140"/>
      <c r="V183" s="139">
        <f t="shared" si="11"/>
        <v>0.5</v>
      </c>
      <c r="W183" s="143">
        <f t="shared" si="12"/>
        <v>9.203431033</v>
      </c>
      <c r="AR183" s="25"/>
      <c r="AS183" s="25"/>
      <c r="AT183" s="25"/>
    </row>
    <row r="184">
      <c r="A184" s="80"/>
      <c r="B184" s="31"/>
      <c r="C184" s="53" t="str">
        <f>Config!C23</f>
        <v>2026_C_PR_B3_CONFIG20</v>
      </c>
      <c r="D184" s="169">
        <v>810.0</v>
      </c>
      <c r="E184" s="170">
        <v>290.0</v>
      </c>
      <c r="F184" s="171">
        <v>0.1</v>
      </c>
      <c r="G184" s="165">
        <v>0.0750000000000002</v>
      </c>
      <c r="H184" s="144"/>
      <c r="I184" s="86">
        <v>0.0</v>
      </c>
      <c r="J184" s="86">
        <f t="shared" si="13"/>
        <v>0.0000127420999</v>
      </c>
      <c r="K184" s="86">
        <f>Config!J23</f>
        <v>0.0001698946653</v>
      </c>
      <c r="L184" s="91">
        <f t="shared" si="14"/>
        <v>0.0001826367652</v>
      </c>
      <c r="M184" s="140"/>
      <c r="N184" s="140"/>
      <c r="O184" s="139">
        <v>0.0</v>
      </c>
      <c r="P184" s="86">
        <f t="shared" si="15"/>
        <v>0.00005479102956</v>
      </c>
      <c r="Q184" s="86">
        <f t="shared" si="16"/>
        <v>0.00000456591913</v>
      </c>
      <c r="R184" s="139">
        <v>0.404999999999999</v>
      </c>
      <c r="S184" s="143">
        <f t="shared" si="17"/>
        <v>0.4050593569</v>
      </c>
      <c r="T184" s="140"/>
      <c r="U184" s="140"/>
      <c r="V184" s="139">
        <f t="shared" si="11"/>
        <v>0.5</v>
      </c>
      <c r="W184" s="143">
        <f t="shared" si="12"/>
        <v>0.5000732802</v>
      </c>
      <c r="AR184" s="25"/>
      <c r="AS184" s="25"/>
      <c r="AT184" s="25"/>
    </row>
    <row r="185">
      <c r="A185" s="80"/>
      <c r="B185" s="31"/>
      <c r="C185" s="53" t="str">
        <f>Config!C24</f>
        <v>2026_C_PR_B3_CONFIG21</v>
      </c>
      <c r="D185" s="169">
        <v>810.0</v>
      </c>
      <c r="E185" s="170">
        <v>290.0</v>
      </c>
      <c r="F185" s="171">
        <v>0.1</v>
      </c>
      <c r="G185" s="165">
        <v>0.0750000000000002</v>
      </c>
      <c r="H185" s="144"/>
      <c r="I185" s="86">
        <v>0.0</v>
      </c>
      <c r="J185" s="86">
        <f t="shared" si="13"/>
        <v>0.0000127420999</v>
      </c>
      <c r="K185" s="86">
        <f>Config!J24</f>
        <v>0.0001698946653</v>
      </c>
      <c r="L185" s="91">
        <f t="shared" si="14"/>
        <v>0.0001826367652</v>
      </c>
      <c r="M185" s="140"/>
      <c r="N185" s="140"/>
      <c r="O185" s="139">
        <v>0.0</v>
      </c>
      <c r="P185" s="86">
        <f t="shared" si="15"/>
        <v>0.00005479102956</v>
      </c>
      <c r="Q185" s="86">
        <f t="shared" si="16"/>
        <v>0.00000456591913</v>
      </c>
      <c r="R185" s="139">
        <v>0.404999999999999</v>
      </c>
      <c r="S185" s="143">
        <f t="shared" si="17"/>
        <v>0.4050593569</v>
      </c>
      <c r="T185" s="140"/>
      <c r="U185" s="140"/>
      <c r="V185" s="139">
        <f t="shared" si="11"/>
        <v>0.5</v>
      </c>
      <c r="W185" s="143">
        <f t="shared" si="12"/>
        <v>0.5000732802</v>
      </c>
      <c r="AR185" s="25"/>
      <c r="AS185" s="25"/>
      <c r="AT185" s="25"/>
    </row>
    <row r="186">
      <c r="A186" s="80"/>
      <c r="B186" s="31"/>
      <c r="C186" s="53" t="str">
        <f>Config!C25</f>
        <v>2026_C_PR_B3_CONFIG22</v>
      </c>
      <c r="D186" s="169">
        <v>810.0</v>
      </c>
      <c r="E186" s="170">
        <v>290.0</v>
      </c>
      <c r="F186" s="171">
        <v>0.1</v>
      </c>
      <c r="G186" s="165">
        <v>0.0750000000000001</v>
      </c>
      <c r="H186" s="144"/>
      <c r="I186" s="86">
        <v>0.0</v>
      </c>
      <c r="J186" s="86">
        <f t="shared" si="13"/>
        <v>0.0000127420999</v>
      </c>
      <c r="K186" s="86">
        <f>Config!J25</f>
        <v>0.0001698946653</v>
      </c>
      <c r="L186" s="91">
        <f t="shared" si="14"/>
        <v>0.0001826367652</v>
      </c>
      <c r="M186" s="140"/>
      <c r="N186" s="140"/>
      <c r="O186" s="139">
        <v>0.0</v>
      </c>
      <c r="P186" s="86">
        <f t="shared" si="15"/>
        <v>0.00005479102956</v>
      </c>
      <c r="Q186" s="86">
        <f t="shared" si="16"/>
        <v>0.00000456591913</v>
      </c>
      <c r="R186" s="139">
        <v>0.405</v>
      </c>
      <c r="S186" s="143">
        <f t="shared" si="17"/>
        <v>0.4050593569</v>
      </c>
      <c r="T186" s="140"/>
      <c r="U186" s="140"/>
      <c r="V186" s="139">
        <f t="shared" si="11"/>
        <v>0.5</v>
      </c>
      <c r="W186" s="143">
        <f t="shared" si="12"/>
        <v>0.5000732802</v>
      </c>
      <c r="AR186" s="25"/>
      <c r="AS186" s="25"/>
      <c r="AT186" s="25"/>
    </row>
    <row r="187">
      <c r="A187" s="80"/>
      <c r="B187" s="31"/>
      <c r="C187" s="53" t="str">
        <f>Config!C26</f>
        <v>2026_C_PR_B3_CONFIG23</v>
      </c>
      <c r="D187" s="169">
        <v>810.0</v>
      </c>
      <c r="E187" s="170">
        <v>290.0</v>
      </c>
      <c r="F187" s="171">
        <v>0.1</v>
      </c>
      <c r="G187" s="165">
        <v>0.0750000000000001</v>
      </c>
      <c r="H187" s="144"/>
      <c r="I187" s="86">
        <v>0.0</v>
      </c>
      <c r="J187" s="86">
        <f t="shared" si="13"/>
        <v>0.0000127420999</v>
      </c>
      <c r="K187" s="86">
        <f>Config!J26</f>
        <v>0.0001698946653</v>
      </c>
      <c r="L187" s="91">
        <f t="shared" si="14"/>
        <v>0.0001826367652</v>
      </c>
      <c r="M187" s="140"/>
      <c r="N187" s="140"/>
      <c r="O187" s="139">
        <v>0.0</v>
      </c>
      <c r="P187" s="86">
        <f t="shared" si="15"/>
        <v>0.00005479102956</v>
      </c>
      <c r="Q187" s="86">
        <f t="shared" si="16"/>
        <v>0.00000456591913</v>
      </c>
      <c r="R187" s="139">
        <v>0.405</v>
      </c>
      <c r="S187" s="143">
        <f t="shared" si="17"/>
        <v>0.4050593569</v>
      </c>
      <c r="T187" s="140"/>
      <c r="U187" s="140"/>
      <c r="V187" s="139">
        <f t="shared" si="11"/>
        <v>0.5</v>
      </c>
      <c r="W187" s="143">
        <f t="shared" si="12"/>
        <v>0.5000732802</v>
      </c>
      <c r="AR187" s="25"/>
      <c r="AS187" s="25"/>
      <c r="AT187" s="25"/>
    </row>
    <row r="188">
      <c r="A188" s="80"/>
      <c r="B188" s="35"/>
      <c r="C188" s="54" t="str">
        <f>Config!C27</f>
        <v>2026_C_PR_B3_CONFIG24</v>
      </c>
      <c r="D188" s="172">
        <v>810.0</v>
      </c>
      <c r="E188" s="173">
        <v>290.0</v>
      </c>
      <c r="F188" s="174">
        <v>0.1</v>
      </c>
      <c r="G188" s="175">
        <v>0.0750000000000001</v>
      </c>
      <c r="H188" s="146"/>
      <c r="I188" s="92">
        <v>0.0</v>
      </c>
      <c r="J188" s="92">
        <f t="shared" si="13"/>
        <v>0.0000127420999</v>
      </c>
      <c r="K188" s="92">
        <f>Config!J27</f>
        <v>0.0001698946653</v>
      </c>
      <c r="L188" s="103">
        <f t="shared" si="14"/>
        <v>0.0001826367652</v>
      </c>
      <c r="M188" s="149"/>
      <c r="N188" s="149"/>
      <c r="O188" s="148">
        <v>0.0</v>
      </c>
      <c r="P188" s="92">
        <f t="shared" si="15"/>
        <v>0.00005479102956</v>
      </c>
      <c r="Q188" s="92">
        <f t="shared" si="16"/>
        <v>0.00000456591913</v>
      </c>
      <c r="R188" s="148">
        <v>0.405</v>
      </c>
      <c r="S188" s="152">
        <f t="shared" si="17"/>
        <v>0.4050593569</v>
      </c>
      <c r="T188" s="149"/>
      <c r="U188" s="149"/>
      <c r="V188" s="148">
        <f t="shared" si="11"/>
        <v>0.5</v>
      </c>
      <c r="W188" s="152">
        <f t="shared" si="12"/>
        <v>0.5000732802</v>
      </c>
      <c r="AR188" s="25"/>
      <c r="AS188" s="25"/>
      <c r="AT188" s="25"/>
    </row>
    <row r="189">
      <c r="A189" s="80"/>
      <c r="B189" s="21" t="s">
        <v>43</v>
      </c>
      <c r="C189" s="53" t="str">
        <f>Config!C28</f>
        <v>2026_C_PR_B3_CONFIG25</v>
      </c>
      <c r="D189" s="169">
        <v>810.0</v>
      </c>
      <c r="E189" s="170">
        <v>290.0</v>
      </c>
      <c r="F189" s="171">
        <v>0.1</v>
      </c>
      <c r="G189" s="165">
        <v>0.0750000000000001</v>
      </c>
      <c r="H189" s="144"/>
      <c r="I189" s="86">
        <v>0.0</v>
      </c>
      <c r="J189" s="86">
        <f t="shared" si="13"/>
        <v>0.08919469929</v>
      </c>
      <c r="K189" s="86">
        <f>Config!J28</f>
        <v>1.189262657</v>
      </c>
      <c r="L189" s="91">
        <f t="shared" si="14"/>
        <v>1.278457356</v>
      </c>
      <c r="M189" s="140"/>
      <c r="N189" s="140"/>
      <c r="O189" s="139">
        <v>0.0</v>
      </c>
      <c r="P189" s="86">
        <f t="shared" si="15"/>
        <v>6.775823989</v>
      </c>
      <c r="Q189" s="86">
        <f t="shared" si="16"/>
        <v>0.03196143391</v>
      </c>
      <c r="R189" s="139">
        <v>0.405</v>
      </c>
      <c r="S189" s="143">
        <f t="shared" si="17"/>
        <v>7.212785423</v>
      </c>
      <c r="T189" s="140"/>
      <c r="U189" s="140"/>
      <c r="V189" s="139">
        <f t="shared" si="11"/>
        <v>0.5</v>
      </c>
      <c r="W189" s="143">
        <f t="shared" si="12"/>
        <v>8.904673362</v>
      </c>
      <c r="AR189" s="25"/>
      <c r="AS189" s="25"/>
      <c r="AT189" s="25"/>
    </row>
    <row r="190">
      <c r="A190" s="80"/>
      <c r="B190" s="31"/>
      <c r="C190" s="53" t="str">
        <f>Config!C29</f>
        <v>2026_C_PR_B3_CONFIG26</v>
      </c>
      <c r="D190" s="169">
        <v>810.0</v>
      </c>
      <c r="E190" s="170">
        <v>290.0</v>
      </c>
      <c r="F190" s="171">
        <v>0.1</v>
      </c>
      <c r="G190" s="165">
        <v>0.0750000000000001</v>
      </c>
      <c r="H190" s="144"/>
      <c r="I190" s="86">
        <v>0.0</v>
      </c>
      <c r="J190" s="86">
        <f t="shared" si="13"/>
        <v>0.08919469929</v>
      </c>
      <c r="K190" s="86">
        <f>Config!J29</f>
        <v>1.189262657</v>
      </c>
      <c r="L190" s="91">
        <f t="shared" si="14"/>
        <v>1.278457356</v>
      </c>
      <c r="M190" s="140"/>
      <c r="N190" s="140"/>
      <c r="O190" s="139">
        <v>0.0</v>
      </c>
      <c r="P190" s="86">
        <f t="shared" si="15"/>
        <v>7.232415902</v>
      </c>
      <c r="Q190" s="86">
        <f t="shared" si="16"/>
        <v>0.03196143391</v>
      </c>
      <c r="R190" s="139">
        <v>0.405</v>
      </c>
      <c r="S190" s="143">
        <f t="shared" si="17"/>
        <v>7.669377336</v>
      </c>
      <c r="T190" s="140"/>
      <c r="U190" s="140"/>
      <c r="V190" s="139">
        <f t="shared" si="11"/>
        <v>0.5</v>
      </c>
      <c r="W190" s="143">
        <f t="shared" si="12"/>
        <v>9.468367082</v>
      </c>
      <c r="AR190" s="25"/>
      <c r="AS190" s="25"/>
      <c r="AT190" s="25"/>
    </row>
    <row r="191">
      <c r="A191" s="80"/>
      <c r="B191" s="31"/>
      <c r="C191" s="53" t="str">
        <f>Config!C30</f>
        <v>2026_C_PR_B3_CONFIG27</v>
      </c>
      <c r="D191" s="169">
        <v>810.0</v>
      </c>
      <c r="E191" s="170">
        <v>290.0</v>
      </c>
      <c r="F191" s="171">
        <v>0.1</v>
      </c>
      <c r="G191" s="165">
        <v>0.0750000000000001</v>
      </c>
      <c r="H191" s="144"/>
      <c r="I191" s="86">
        <v>0.0</v>
      </c>
      <c r="J191" s="86">
        <f t="shared" si="13"/>
        <v>0.08919469929</v>
      </c>
      <c r="K191" s="86">
        <f>Config!J30</f>
        <v>1.189262657</v>
      </c>
      <c r="L191" s="91">
        <f t="shared" si="14"/>
        <v>1.278457356</v>
      </c>
      <c r="M191" s="140"/>
      <c r="N191" s="140"/>
      <c r="O191" s="139">
        <v>0.0</v>
      </c>
      <c r="P191" s="86">
        <f t="shared" si="15"/>
        <v>6.958460754</v>
      </c>
      <c r="Q191" s="86">
        <f t="shared" si="16"/>
        <v>0.03196143391</v>
      </c>
      <c r="R191" s="139">
        <v>0.405</v>
      </c>
      <c r="S191" s="143">
        <f t="shared" si="17"/>
        <v>7.395422188</v>
      </c>
      <c r="T191" s="140"/>
      <c r="U191" s="140"/>
      <c r="V191" s="139">
        <f t="shared" si="11"/>
        <v>0.5</v>
      </c>
      <c r="W191" s="143">
        <f t="shared" si="12"/>
        <v>9.13015085</v>
      </c>
      <c r="AR191" s="25"/>
      <c r="AS191" s="25"/>
      <c r="AT191" s="25"/>
    </row>
    <row r="192">
      <c r="A192" s="80"/>
      <c r="B192" s="31"/>
      <c r="C192" s="53" t="str">
        <f>Config!C31</f>
        <v>2026_C_PR_B3_CONFIG28</v>
      </c>
      <c r="D192" s="169">
        <v>810.0</v>
      </c>
      <c r="E192" s="170">
        <v>290.0</v>
      </c>
      <c r="F192" s="171">
        <v>0.1</v>
      </c>
      <c r="G192" s="165">
        <v>0.0750000000000001</v>
      </c>
      <c r="H192" s="144"/>
      <c r="I192" s="86">
        <v>0.0</v>
      </c>
      <c r="J192" s="86">
        <f t="shared" si="13"/>
        <v>0.08919469929</v>
      </c>
      <c r="K192" s="86">
        <f>Config!J31</f>
        <v>1.189262657</v>
      </c>
      <c r="L192" s="91">
        <f t="shared" si="14"/>
        <v>1.278457356</v>
      </c>
      <c r="M192" s="140"/>
      <c r="N192" s="140"/>
      <c r="O192" s="139">
        <v>0.0</v>
      </c>
      <c r="P192" s="86">
        <f t="shared" si="15"/>
        <v>7.049779137</v>
      </c>
      <c r="Q192" s="86">
        <f t="shared" si="16"/>
        <v>0.03196143391</v>
      </c>
      <c r="R192" s="139">
        <v>0.404999999999999</v>
      </c>
      <c r="S192" s="143">
        <f t="shared" si="17"/>
        <v>7.486740571</v>
      </c>
      <c r="T192" s="140"/>
      <c r="U192" s="140"/>
      <c r="V192" s="139">
        <f t="shared" si="11"/>
        <v>0.5</v>
      </c>
      <c r="W192" s="143">
        <f t="shared" si="12"/>
        <v>9.242889594</v>
      </c>
      <c r="AR192" s="25"/>
      <c r="AS192" s="25"/>
      <c r="AT192" s="25"/>
    </row>
    <row r="193">
      <c r="A193" s="80"/>
      <c r="B193" s="31"/>
      <c r="C193" s="97" t="str">
        <f>Config!C32</f>
        <v>2026_C_PR_B3_CONFIG29</v>
      </c>
      <c r="D193" s="176">
        <v>810.0</v>
      </c>
      <c r="E193" s="177">
        <v>290.0</v>
      </c>
      <c r="F193" s="178">
        <v>0.1</v>
      </c>
      <c r="G193" s="179">
        <v>0.0750000000000002</v>
      </c>
      <c r="H193" s="47"/>
      <c r="I193" s="45">
        <v>0.0</v>
      </c>
      <c r="J193" s="45">
        <f t="shared" si="13"/>
        <v>0.08919469929</v>
      </c>
      <c r="K193" s="45">
        <f>Config!J32</f>
        <v>1.189262657</v>
      </c>
      <c r="L193" s="47">
        <f t="shared" si="14"/>
        <v>1.278457356</v>
      </c>
      <c r="M193" s="45"/>
      <c r="N193" s="45"/>
      <c r="O193" s="45">
        <v>0.0</v>
      </c>
      <c r="P193" s="45">
        <f t="shared" si="15"/>
        <v>7.095438328</v>
      </c>
      <c r="Q193" s="45">
        <f t="shared" si="16"/>
        <v>0.03196143391</v>
      </c>
      <c r="R193" s="45">
        <v>0.404999999999999</v>
      </c>
      <c r="S193" s="47">
        <f t="shared" si="17"/>
        <v>7.532399762</v>
      </c>
      <c r="T193" s="45"/>
      <c r="U193" s="45"/>
      <c r="V193" s="45">
        <f t="shared" si="11"/>
        <v>0.5</v>
      </c>
      <c r="W193" s="47">
        <f t="shared" si="12"/>
        <v>9.299258966</v>
      </c>
      <c r="AR193" s="25"/>
      <c r="AS193" s="25"/>
      <c r="AT193" s="25"/>
    </row>
    <row r="194">
      <c r="A194" s="80"/>
      <c r="B194" s="35"/>
      <c r="C194" s="54" t="str">
        <f>Config!C33</f>
        <v>2026_C_PR_B3_CONFIG30</v>
      </c>
      <c r="D194" s="172">
        <v>810.0</v>
      </c>
      <c r="E194" s="173">
        <v>290.0</v>
      </c>
      <c r="F194" s="174">
        <v>0.1</v>
      </c>
      <c r="G194" s="175">
        <v>0.0750000000000002</v>
      </c>
      <c r="H194" s="146"/>
      <c r="I194" s="92">
        <v>0.0</v>
      </c>
      <c r="J194" s="92">
        <f t="shared" si="13"/>
        <v>0.0000127420999</v>
      </c>
      <c r="K194" s="92">
        <f>Config!J33</f>
        <v>0.0001698946653</v>
      </c>
      <c r="L194" s="103">
        <f t="shared" si="14"/>
        <v>0.0001826367652</v>
      </c>
      <c r="M194" s="149"/>
      <c r="N194" s="149"/>
      <c r="O194" s="148">
        <v>0.0</v>
      </c>
      <c r="P194" s="92">
        <f t="shared" si="15"/>
        <v>0.0002374277948</v>
      </c>
      <c r="Q194" s="92">
        <f t="shared" si="16"/>
        <v>0.00000456591913</v>
      </c>
      <c r="R194" s="148">
        <v>0.404999999999999</v>
      </c>
      <c r="S194" s="152">
        <f t="shared" si="17"/>
        <v>0.4052419937</v>
      </c>
      <c r="T194" s="149"/>
      <c r="U194" s="149"/>
      <c r="V194" s="148">
        <f t="shared" si="11"/>
        <v>0.5</v>
      </c>
      <c r="W194" s="152">
        <f t="shared" si="12"/>
        <v>0.5002987577</v>
      </c>
      <c r="AR194" s="25"/>
      <c r="AS194" s="25"/>
      <c r="AT194" s="25"/>
    </row>
    <row r="195">
      <c r="A195" s="80"/>
      <c r="B195" s="21" t="s">
        <v>51</v>
      </c>
      <c r="C195" s="53" t="str">
        <f>Config!C34</f>
        <v>2026_C_PR_B3_CONFIG31</v>
      </c>
      <c r="D195" s="169">
        <v>810.0</v>
      </c>
      <c r="E195" s="170">
        <v>290.0</v>
      </c>
      <c r="F195" s="171">
        <v>0.1</v>
      </c>
      <c r="G195" s="165">
        <v>0.0750000000000002</v>
      </c>
      <c r="H195" s="144"/>
      <c r="I195" s="86">
        <v>0.0</v>
      </c>
      <c r="J195" s="86">
        <f t="shared" si="13"/>
        <v>0.1019367992</v>
      </c>
      <c r="K195" s="86">
        <f>Config!J34</f>
        <v>1.359157322</v>
      </c>
      <c r="L195" s="91">
        <f t="shared" si="14"/>
        <v>1.461094122</v>
      </c>
      <c r="M195" s="140"/>
      <c r="N195" s="140"/>
      <c r="O195" s="139">
        <v>0.0</v>
      </c>
      <c r="P195" s="86">
        <f t="shared" si="15"/>
        <v>7.195888549</v>
      </c>
      <c r="Q195" s="86">
        <f t="shared" si="16"/>
        <v>0.03652735304</v>
      </c>
      <c r="R195" s="139">
        <v>0.404999999999999</v>
      </c>
      <c r="S195" s="143">
        <f t="shared" si="17"/>
        <v>7.637415902</v>
      </c>
      <c r="T195" s="140"/>
      <c r="U195" s="140"/>
      <c r="V195" s="139">
        <f t="shared" si="11"/>
        <v>0.5</v>
      </c>
      <c r="W195" s="143">
        <f t="shared" si="12"/>
        <v>9.428908521</v>
      </c>
      <c r="AR195" s="25"/>
      <c r="AS195" s="25"/>
      <c r="AT195" s="25"/>
    </row>
    <row r="196">
      <c r="A196" s="80"/>
      <c r="B196" s="31"/>
      <c r="C196" s="53" t="str">
        <f>Config!C35</f>
        <v>2026_C_PR_B3_CONFIG32</v>
      </c>
      <c r="D196" s="169">
        <v>810.0</v>
      </c>
      <c r="E196" s="170">
        <v>290.0</v>
      </c>
      <c r="F196" s="171">
        <v>0.1</v>
      </c>
      <c r="G196" s="165">
        <v>0.0750000000000002</v>
      </c>
      <c r="H196" s="144"/>
      <c r="I196" s="86">
        <v>0.0</v>
      </c>
      <c r="J196" s="86">
        <f t="shared" si="13"/>
        <v>0.1019367992</v>
      </c>
      <c r="K196" s="86">
        <f>Config!J35</f>
        <v>1.359157322</v>
      </c>
      <c r="L196" s="91">
        <f t="shared" si="14"/>
        <v>1.461094122</v>
      </c>
      <c r="M196" s="140"/>
      <c r="N196" s="140"/>
      <c r="O196" s="139">
        <v>0.0</v>
      </c>
      <c r="P196" s="86">
        <f t="shared" si="15"/>
        <v>7.287206932</v>
      </c>
      <c r="Q196" s="86">
        <f t="shared" si="16"/>
        <v>0.03652735304</v>
      </c>
      <c r="R196" s="139">
        <v>0.404999999999999</v>
      </c>
      <c r="S196" s="143">
        <f t="shared" si="17"/>
        <v>7.728734285</v>
      </c>
      <c r="T196" s="140"/>
      <c r="U196" s="140"/>
      <c r="V196" s="139">
        <f t="shared" si="11"/>
        <v>0.5</v>
      </c>
      <c r="W196" s="143">
        <f t="shared" si="12"/>
        <v>9.541647265</v>
      </c>
      <c r="AR196" s="25"/>
      <c r="AS196" s="25"/>
      <c r="AT196" s="25"/>
    </row>
    <row r="197">
      <c r="A197" s="80"/>
      <c r="B197" s="31"/>
      <c r="C197" s="53" t="str">
        <f>Config!C36</f>
        <v>2026_C_PR_B3_CONFIG33</v>
      </c>
      <c r="D197" s="78">
        <v>810.0</v>
      </c>
      <c r="E197" s="163">
        <v>290.0</v>
      </c>
      <c r="F197" s="164">
        <v>0.1</v>
      </c>
      <c r="G197" s="165">
        <v>0.0750000000000002</v>
      </c>
      <c r="H197" s="144"/>
      <c r="I197" s="25">
        <v>0.0</v>
      </c>
      <c r="J197" s="25">
        <f t="shared" si="13"/>
        <v>0.1019367992</v>
      </c>
      <c r="K197" s="25">
        <f>Config!J36</f>
        <v>1.359157322</v>
      </c>
      <c r="L197" s="27">
        <f t="shared" si="14"/>
        <v>1.461094122</v>
      </c>
      <c r="M197" s="140"/>
      <c r="N197" s="140"/>
      <c r="O197" s="25">
        <v>0.0</v>
      </c>
      <c r="P197" s="25">
        <f t="shared" si="15"/>
        <v>0.4385108733</v>
      </c>
      <c r="Q197" s="25">
        <f t="shared" si="16"/>
        <v>0.03652735304</v>
      </c>
      <c r="R197" s="25">
        <v>0.404999999999999</v>
      </c>
      <c r="S197" s="27">
        <f t="shared" si="17"/>
        <v>0.8800382263</v>
      </c>
      <c r="T197" s="140"/>
      <c r="U197" s="140"/>
      <c r="V197" s="25">
        <f t="shared" si="11"/>
        <v>0.5</v>
      </c>
      <c r="W197" s="27">
        <f t="shared" si="12"/>
        <v>1.086466946</v>
      </c>
      <c r="AR197" s="25"/>
      <c r="AS197" s="25"/>
      <c r="AT197" s="25"/>
    </row>
    <row r="198">
      <c r="A198" s="80"/>
      <c r="B198" s="31"/>
      <c r="C198" s="53" t="str">
        <f>Config!C37</f>
        <v>2026_C_PR_B3_CONFIG34</v>
      </c>
      <c r="D198" s="169">
        <v>810.0</v>
      </c>
      <c r="E198" s="170">
        <v>290.0</v>
      </c>
      <c r="F198" s="171">
        <v>0.1</v>
      </c>
      <c r="G198" s="165">
        <v>0.0750000000000002</v>
      </c>
      <c r="H198" s="144"/>
      <c r="I198" s="86">
        <v>0.0</v>
      </c>
      <c r="J198" s="86">
        <f t="shared" si="13"/>
        <v>0.1019367992</v>
      </c>
      <c r="K198" s="86">
        <f>Config!J37</f>
        <v>1.359157322</v>
      </c>
      <c r="L198" s="91">
        <f t="shared" si="14"/>
        <v>1.461094122</v>
      </c>
      <c r="M198" s="140"/>
      <c r="N198" s="140"/>
      <c r="O198" s="139">
        <v>0.0</v>
      </c>
      <c r="P198" s="86">
        <f t="shared" si="15"/>
        <v>0.4385108733</v>
      </c>
      <c r="Q198" s="86">
        <f t="shared" si="16"/>
        <v>0.03652735304</v>
      </c>
      <c r="R198" s="139">
        <v>0.404999999999999</v>
      </c>
      <c r="S198" s="143">
        <f t="shared" si="17"/>
        <v>0.8800382263</v>
      </c>
      <c r="T198" s="140"/>
      <c r="U198" s="140"/>
      <c r="V198" s="139">
        <f t="shared" si="11"/>
        <v>0.5</v>
      </c>
      <c r="W198" s="143">
        <f t="shared" si="12"/>
        <v>1.086466946</v>
      </c>
      <c r="AR198" s="25"/>
      <c r="AS198" s="25"/>
      <c r="AT198" s="25"/>
    </row>
    <row r="199">
      <c r="A199" s="80"/>
      <c r="B199" s="31"/>
      <c r="C199" s="53" t="str">
        <f>Config!C38</f>
        <v>2026_C_PR_B1_CONFIG35</v>
      </c>
      <c r="D199" s="169">
        <v>810.0</v>
      </c>
      <c r="E199" s="170">
        <v>290.0</v>
      </c>
      <c r="F199" s="171">
        <v>0.1</v>
      </c>
      <c r="G199" s="165">
        <v>0.0750000000000002</v>
      </c>
      <c r="H199" s="144"/>
      <c r="I199" s="86">
        <v>0.0</v>
      </c>
      <c r="J199" s="86">
        <v>0.125</v>
      </c>
      <c r="K199" s="86">
        <f>Config!J38</f>
        <v>0.0001698946653</v>
      </c>
      <c r="L199" s="91">
        <f t="shared" si="14"/>
        <v>0.1251698947</v>
      </c>
      <c r="M199" s="140"/>
      <c r="N199" s="140"/>
      <c r="O199" s="139">
        <v>0.0</v>
      </c>
      <c r="P199" s="86">
        <f t="shared" si="15"/>
        <v>0.1627208631</v>
      </c>
      <c r="Q199" s="86">
        <f t="shared" si="16"/>
        <v>0.003129247367</v>
      </c>
      <c r="R199" s="139">
        <v>0.527</v>
      </c>
      <c r="S199" s="27">
        <f t="shared" si="17"/>
        <v>0.6928501104</v>
      </c>
      <c r="T199" s="140"/>
      <c r="U199" s="140"/>
      <c r="V199" s="139">
        <f t="shared" si="11"/>
        <v>0.650617284</v>
      </c>
      <c r="W199" s="143">
        <f t="shared" si="12"/>
        <v>0.8553705067</v>
      </c>
      <c r="AR199" s="25"/>
      <c r="AS199" s="25"/>
      <c r="AT199" s="25"/>
    </row>
    <row r="200">
      <c r="A200" s="80"/>
      <c r="B200" s="35"/>
      <c r="C200" s="54" t="str">
        <f>Config!C39</f>
        <v>2026_C_PR_B1_CONFIG36</v>
      </c>
      <c r="D200" s="172">
        <v>810.0</v>
      </c>
      <c r="E200" s="173">
        <v>290.0</v>
      </c>
      <c r="F200" s="174">
        <v>0.1</v>
      </c>
      <c r="G200" s="175">
        <v>0.0750000000000002</v>
      </c>
      <c r="H200" s="146"/>
      <c r="I200" s="92">
        <v>0.0</v>
      </c>
      <c r="J200" s="92">
        <v>0.125</v>
      </c>
      <c r="K200" s="92">
        <f>Config!J39</f>
        <v>0.0001698946653</v>
      </c>
      <c r="L200" s="103">
        <f t="shared" si="14"/>
        <v>0.1251698947</v>
      </c>
      <c r="M200" s="149"/>
      <c r="N200" s="149"/>
      <c r="O200" s="148">
        <v>0.0</v>
      </c>
      <c r="P200" s="92">
        <f t="shared" si="15"/>
        <v>0.1627208631</v>
      </c>
      <c r="Q200" s="92">
        <f t="shared" si="16"/>
        <v>0.003129247367</v>
      </c>
      <c r="R200" s="148">
        <v>0.527</v>
      </c>
      <c r="S200" s="18">
        <f t="shared" si="17"/>
        <v>0.6928501104</v>
      </c>
      <c r="T200" s="149"/>
      <c r="U200" s="149"/>
      <c r="V200" s="148">
        <f t="shared" si="11"/>
        <v>0.650617284</v>
      </c>
      <c r="W200" s="152">
        <f t="shared" si="12"/>
        <v>0.8553705067</v>
      </c>
      <c r="AR200" s="25"/>
      <c r="AS200" s="25"/>
      <c r="AT200" s="25"/>
    </row>
    <row r="201">
      <c r="A201" s="80"/>
      <c r="B201" s="21" t="s">
        <v>59</v>
      </c>
      <c r="C201" s="97" t="str">
        <f>Config!C40</f>
        <v>2026_C_PR_B1_CONFIG37</v>
      </c>
      <c r="D201" s="176">
        <v>810.0</v>
      </c>
      <c r="E201" s="177">
        <v>290.0</v>
      </c>
      <c r="F201" s="178">
        <v>0.1</v>
      </c>
      <c r="G201" s="179">
        <v>0.0750000000000002</v>
      </c>
      <c r="H201" s="47"/>
      <c r="I201" s="45">
        <v>0.0</v>
      </c>
      <c r="J201" s="45">
        <v>0.125</v>
      </c>
      <c r="K201" s="45">
        <f>Config!J40</f>
        <v>1.427115189</v>
      </c>
      <c r="L201" s="47">
        <f t="shared" si="14"/>
        <v>1.552115189</v>
      </c>
      <c r="M201" s="45"/>
      <c r="N201" s="45"/>
      <c r="O201" s="45">
        <v>0.0</v>
      </c>
      <c r="P201" s="45">
        <f t="shared" si="15"/>
        <v>8.614239297</v>
      </c>
      <c r="Q201" s="45">
        <f t="shared" si="16"/>
        <v>0.03880287971</v>
      </c>
      <c r="R201" s="45">
        <v>0.527</v>
      </c>
      <c r="S201" s="47">
        <f t="shared" si="17"/>
        <v>9.180042176</v>
      </c>
      <c r="T201" s="45"/>
      <c r="U201" s="45"/>
      <c r="V201" s="45">
        <f t="shared" si="11"/>
        <v>0.650617284</v>
      </c>
      <c r="W201" s="47">
        <f t="shared" si="12"/>
        <v>11.3333854</v>
      </c>
      <c r="AR201" s="25"/>
      <c r="AS201" s="25"/>
      <c r="AT201" s="25"/>
    </row>
    <row r="202">
      <c r="A202" s="80"/>
      <c r="B202" s="31"/>
      <c r="C202" s="53" t="str">
        <f>Config!C41</f>
        <v>2026_C_PR_B1_CONFIG38</v>
      </c>
      <c r="D202" s="169">
        <v>810.0</v>
      </c>
      <c r="E202" s="170">
        <v>290.0</v>
      </c>
      <c r="F202" s="171">
        <v>0.1</v>
      </c>
      <c r="G202" s="165">
        <v>0.0750000000000002</v>
      </c>
      <c r="H202" s="144"/>
      <c r="I202" s="86">
        <v>0.0</v>
      </c>
      <c r="J202" s="86">
        <v>0.125</v>
      </c>
      <c r="K202" s="86">
        <f>Config!J41</f>
        <v>1.392307501</v>
      </c>
      <c r="L202" s="91">
        <f t="shared" si="14"/>
        <v>1.517307501</v>
      </c>
      <c r="M202" s="140"/>
      <c r="N202" s="140"/>
      <c r="O202" s="139">
        <v>0.0</v>
      </c>
      <c r="P202" s="86">
        <f t="shared" si="15"/>
        <v>8.421056631</v>
      </c>
      <c r="Q202" s="86">
        <f t="shared" si="16"/>
        <v>0.03793268753</v>
      </c>
      <c r="R202" s="139">
        <v>0.527</v>
      </c>
      <c r="S202" s="27">
        <f t="shared" si="17"/>
        <v>8.985989318</v>
      </c>
      <c r="T202" s="140"/>
      <c r="U202" s="140"/>
      <c r="V202" s="139">
        <f t="shared" si="11"/>
        <v>0.650617284</v>
      </c>
      <c r="W202" s="143">
        <f t="shared" si="12"/>
        <v>11.09381397</v>
      </c>
      <c r="AR202" s="25"/>
      <c r="AS202" s="25"/>
      <c r="AT202" s="25"/>
    </row>
    <row r="203">
      <c r="A203" s="80"/>
      <c r="B203" s="31"/>
      <c r="C203" s="53" t="str">
        <f>Config!C42</f>
        <v>2026_C_PR_B1_CONFIG39</v>
      </c>
      <c r="D203" s="169">
        <v>810.0</v>
      </c>
      <c r="E203" s="170">
        <v>290.0</v>
      </c>
      <c r="F203" s="171">
        <v>0.1</v>
      </c>
      <c r="G203" s="165">
        <v>0.0750000000000002</v>
      </c>
      <c r="H203" s="144"/>
      <c r="I203" s="86">
        <v>0.0</v>
      </c>
      <c r="J203" s="86">
        <v>0.125</v>
      </c>
      <c r="K203" s="86">
        <f>Config!J42</f>
        <v>1.359157322</v>
      </c>
      <c r="L203" s="91">
        <f t="shared" si="14"/>
        <v>1.484157322</v>
      </c>
      <c r="M203" s="140"/>
      <c r="N203" s="140"/>
      <c r="O203" s="139">
        <v>0.0</v>
      </c>
      <c r="P203" s="86">
        <f t="shared" si="15"/>
        <v>8.23707314</v>
      </c>
      <c r="Q203" s="86">
        <f t="shared" si="16"/>
        <v>0.03710393306</v>
      </c>
      <c r="R203" s="139">
        <v>0.527</v>
      </c>
      <c r="S203" s="27">
        <f t="shared" si="17"/>
        <v>8.801177073</v>
      </c>
      <c r="T203" s="140"/>
      <c r="U203" s="140"/>
      <c r="V203" s="139">
        <f t="shared" si="11"/>
        <v>0.650617284</v>
      </c>
      <c r="W203" s="143">
        <f t="shared" si="12"/>
        <v>10.86565071</v>
      </c>
      <c r="AR203" s="25"/>
      <c r="AS203" s="25"/>
      <c r="AT203" s="25"/>
    </row>
    <row r="204">
      <c r="A204" s="80"/>
      <c r="B204" s="31"/>
      <c r="C204" s="53" t="str">
        <f>Config!C43</f>
        <v>2026_C_PR_B1_CONFIG40</v>
      </c>
      <c r="D204" s="169">
        <v>810.0</v>
      </c>
      <c r="E204" s="170">
        <v>290.0</v>
      </c>
      <c r="F204" s="171">
        <v>0.1</v>
      </c>
      <c r="G204" s="165">
        <v>0.0750000000000002</v>
      </c>
      <c r="H204" s="144"/>
      <c r="I204" s="86">
        <v>0.0</v>
      </c>
      <c r="J204" s="86">
        <v>0.125</v>
      </c>
      <c r="K204" s="86">
        <f>Config!J43</f>
        <v>1.327549013</v>
      </c>
      <c r="L204" s="91">
        <f t="shared" si="14"/>
        <v>1.452549013</v>
      </c>
      <c r="M204" s="140"/>
      <c r="N204" s="140"/>
      <c r="O204" s="139">
        <v>0.0</v>
      </c>
      <c r="P204" s="86">
        <f t="shared" si="15"/>
        <v>8.06164702</v>
      </c>
      <c r="Q204" s="86">
        <f t="shared" si="16"/>
        <v>0.03631372532</v>
      </c>
      <c r="R204" s="139">
        <v>0.527</v>
      </c>
      <c r="S204" s="27">
        <f t="shared" si="17"/>
        <v>8.624960745</v>
      </c>
      <c r="T204" s="140"/>
      <c r="U204" s="140"/>
      <c r="V204" s="139">
        <f t="shared" si="11"/>
        <v>0.650617284</v>
      </c>
      <c r="W204" s="143">
        <f t="shared" si="12"/>
        <v>10.64809969</v>
      </c>
      <c r="AR204" s="25"/>
      <c r="AS204" s="25"/>
      <c r="AT204" s="25"/>
    </row>
    <row r="205">
      <c r="A205" s="80"/>
      <c r="B205" s="31"/>
      <c r="C205" s="97" t="str">
        <f>Config!C44</f>
        <v>2026_C_PR_B1_CONFIG41</v>
      </c>
      <c r="D205" s="176">
        <v>810.0</v>
      </c>
      <c r="E205" s="177">
        <v>290.0</v>
      </c>
      <c r="F205" s="178">
        <v>0.1</v>
      </c>
      <c r="G205" s="179">
        <v>0.0750000000000002</v>
      </c>
      <c r="H205" s="47"/>
      <c r="I205" s="45">
        <v>0.0</v>
      </c>
      <c r="J205" s="45">
        <v>0.125</v>
      </c>
      <c r="K205" s="45">
        <f>Config!J44</f>
        <v>1.297377444</v>
      </c>
      <c r="L205" s="47">
        <f t="shared" si="14"/>
        <v>1.422377444</v>
      </c>
      <c r="M205" s="45"/>
      <c r="N205" s="45"/>
      <c r="O205" s="45">
        <v>0.0</v>
      </c>
      <c r="P205" s="45">
        <f t="shared" si="15"/>
        <v>7.894194815</v>
      </c>
      <c r="Q205" s="45">
        <f t="shared" si="16"/>
        <v>0.0355594361</v>
      </c>
      <c r="R205" s="45">
        <v>0.527</v>
      </c>
      <c r="S205" s="47">
        <f t="shared" si="17"/>
        <v>8.456754251</v>
      </c>
      <c r="T205" s="45"/>
      <c r="U205" s="45"/>
      <c r="V205" s="45">
        <f t="shared" si="11"/>
        <v>0.650617284</v>
      </c>
      <c r="W205" s="47">
        <f t="shared" si="12"/>
        <v>10.44043735</v>
      </c>
      <c r="AR205" s="25"/>
      <c r="AS205" s="25"/>
      <c r="AT205" s="25"/>
    </row>
    <row r="206">
      <c r="A206" s="80"/>
      <c r="B206" s="31"/>
      <c r="C206" s="53" t="str">
        <f>Config!C45</f>
        <v>2026_C_PR_B1_CONFIG42</v>
      </c>
      <c r="D206" s="169">
        <v>810.0</v>
      </c>
      <c r="E206" s="170">
        <v>290.0</v>
      </c>
      <c r="F206" s="171">
        <v>0.1</v>
      </c>
      <c r="G206" s="165">
        <v>0.0750000000000002</v>
      </c>
      <c r="H206" s="144"/>
      <c r="I206" s="86">
        <v>0.0</v>
      </c>
      <c r="J206" s="86">
        <v>0.125</v>
      </c>
      <c r="K206" s="86">
        <f>Config!J45</f>
        <v>1.268546834</v>
      </c>
      <c r="L206" s="91">
        <f t="shared" si="14"/>
        <v>1.393546834</v>
      </c>
      <c r="M206" s="140"/>
      <c r="N206" s="140"/>
      <c r="O206" s="139">
        <v>0.0</v>
      </c>
      <c r="P206" s="86">
        <f t="shared" si="15"/>
        <v>7.73418493</v>
      </c>
      <c r="Q206" s="86">
        <f t="shared" si="16"/>
        <v>0.03483867086</v>
      </c>
      <c r="R206" s="139">
        <v>0.527</v>
      </c>
      <c r="S206" s="27">
        <f t="shared" si="17"/>
        <v>8.296023601</v>
      </c>
      <c r="T206" s="140"/>
      <c r="U206" s="140"/>
      <c r="V206" s="139">
        <f t="shared" si="11"/>
        <v>0.650617284</v>
      </c>
      <c r="W206" s="143">
        <f t="shared" si="12"/>
        <v>10.24200445</v>
      </c>
      <c r="AR206" s="25"/>
      <c r="AS206" s="25"/>
      <c r="AT206" s="25"/>
    </row>
    <row r="207">
      <c r="A207" s="80"/>
      <c r="B207" s="31"/>
      <c r="C207" s="53" t="str">
        <f>Config!C46</f>
        <v>2026_C_PR_B1_CONFIG43</v>
      </c>
      <c r="D207" s="169">
        <v>810.0</v>
      </c>
      <c r="E207" s="170">
        <v>290.0</v>
      </c>
      <c r="F207" s="171">
        <v>0.1</v>
      </c>
      <c r="G207" s="165">
        <v>0.0750000000000002</v>
      </c>
      <c r="H207" s="144"/>
      <c r="I207" s="86">
        <v>0.0</v>
      </c>
      <c r="J207" s="86">
        <v>0.125</v>
      </c>
      <c r="K207" s="86">
        <f>Config!J46</f>
        <v>1.240969729</v>
      </c>
      <c r="L207" s="91">
        <f t="shared" si="14"/>
        <v>1.365969729</v>
      </c>
      <c r="M207" s="140"/>
      <c r="N207" s="140"/>
      <c r="O207" s="139">
        <v>0.0</v>
      </c>
      <c r="P207" s="86">
        <f t="shared" si="15"/>
        <v>7.581131997</v>
      </c>
      <c r="Q207" s="86">
        <f t="shared" si="16"/>
        <v>0.03414924323</v>
      </c>
      <c r="R207" s="139">
        <v>0.527</v>
      </c>
      <c r="S207" s="27">
        <f t="shared" si="17"/>
        <v>8.14228124</v>
      </c>
      <c r="T207" s="140"/>
      <c r="U207" s="140"/>
      <c r="V207" s="139">
        <f t="shared" si="11"/>
        <v>0.650617284</v>
      </c>
      <c r="W207" s="143">
        <f t="shared" si="12"/>
        <v>10.05219906</v>
      </c>
      <c r="AR207" s="25"/>
      <c r="AS207" s="25"/>
      <c r="AT207" s="25"/>
    </row>
    <row r="208">
      <c r="A208" s="80"/>
      <c r="B208" s="35"/>
      <c r="C208" s="54" t="str">
        <f>Config!C47</f>
        <v>2026_C_PR_B1_CONFIG44</v>
      </c>
      <c r="D208" s="172">
        <v>810.0</v>
      </c>
      <c r="E208" s="173">
        <v>290.0</v>
      </c>
      <c r="F208" s="174">
        <v>0.1</v>
      </c>
      <c r="G208" s="175">
        <v>0.0750000000000002</v>
      </c>
      <c r="H208" s="146"/>
      <c r="I208" s="92">
        <v>0.0</v>
      </c>
      <c r="J208" s="92">
        <v>0.125</v>
      </c>
      <c r="K208" s="92">
        <f>Config!J47</f>
        <v>1.214566118</v>
      </c>
      <c r="L208" s="103">
        <f t="shared" si="14"/>
        <v>1.339566118</v>
      </c>
      <c r="M208" s="149"/>
      <c r="N208" s="149"/>
      <c r="O208" s="148">
        <v>0.0</v>
      </c>
      <c r="P208" s="92">
        <f t="shared" si="15"/>
        <v>7.434591955</v>
      </c>
      <c r="Q208" s="92">
        <f t="shared" si="16"/>
        <v>0.03348915295</v>
      </c>
      <c r="R208" s="148">
        <v>0.527</v>
      </c>
      <c r="S208" s="18">
        <f t="shared" si="17"/>
        <v>7.995081108</v>
      </c>
      <c r="T208" s="149"/>
      <c r="U208" s="149"/>
      <c r="V208" s="148">
        <f t="shared" si="11"/>
        <v>0.650617284</v>
      </c>
      <c r="W208" s="152">
        <f t="shared" si="12"/>
        <v>9.870470503</v>
      </c>
      <c r="AR208" s="25"/>
      <c r="AS208" s="25"/>
      <c r="AT208" s="25"/>
    </row>
    <row r="209">
      <c r="A209" s="80"/>
      <c r="B209" s="21"/>
      <c r="C209" s="53" t="str">
        <f>Config!C48</f>
        <v>2026_C_PR_B1_CONFIG45</v>
      </c>
      <c r="D209" s="169"/>
      <c r="E209" s="170"/>
      <c r="F209" s="171"/>
      <c r="G209" s="165"/>
      <c r="H209" s="144"/>
      <c r="I209" s="86"/>
      <c r="J209" s="86"/>
      <c r="K209" s="86"/>
      <c r="L209" s="91"/>
      <c r="M209" s="140"/>
      <c r="N209" s="140"/>
      <c r="O209" s="139"/>
      <c r="P209" s="86"/>
      <c r="Q209" s="86"/>
      <c r="R209" s="139"/>
      <c r="S209" s="27"/>
      <c r="T209" s="140"/>
      <c r="U209" s="140"/>
      <c r="V209" s="139"/>
      <c r="W209" s="143"/>
      <c r="AR209" s="25"/>
      <c r="AS209" s="25"/>
      <c r="AT209" s="25"/>
    </row>
    <row r="210">
      <c r="A210" s="80"/>
      <c r="B210" s="31"/>
      <c r="C210" s="53" t="str">
        <f>Config!C49</f>
        <v>2026_C_PR_B1_CONFIG46</v>
      </c>
      <c r="D210" s="169"/>
      <c r="E210" s="170"/>
      <c r="F210" s="171"/>
      <c r="G210" s="165"/>
      <c r="H210" s="144"/>
      <c r="I210" s="86"/>
      <c r="J210" s="86"/>
      <c r="K210" s="86"/>
      <c r="L210" s="91"/>
      <c r="M210" s="140"/>
      <c r="N210" s="140"/>
      <c r="O210" s="139"/>
      <c r="P210" s="86"/>
      <c r="Q210" s="86"/>
      <c r="R210" s="139"/>
      <c r="S210" s="27"/>
      <c r="T210" s="140"/>
      <c r="U210" s="140"/>
      <c r="V210" s="139"/>
      <c r="W210" s="143"/>
      <c r="AR210" s="25"/>
      <c r="AS210" s="25"/>
      <c r="AT210" s="25"/>
    </row>
    <row r="211">
      <c r="A211" s="80"/>
      <c r="B211" s="31"/>
      <c r="C211" s="53" t="str">
        <f>Config!C50</f>
        <v>2026_C_PR_B1_CONFIG47</v>
      </c>
      <c r="D211" s="169"/>
      <c r="E211" s="170"/>
      <c r="F211" s="171"/>
      <c r="G211" s="165"/>
      <c r="H211" s="144"/>
      <c r="I211" s="86"/>
      <c r="J211" s="86"/>
      <c r="K211" s="86"/>
      <c r="L211" s="91"/>
      <c r="M211" s="140"/>
      <c r="N211" s="140"/>
      <c r="O211" s="139"/>
      <c r="P211" s="86"/>
      <c r="Q211" s="86"/>
      <c r="R211" s="139"/>
      <c r="S211" s="27"/>
      <c r="T211" s="140"/>
      <c r="U211" s="140"/>
      <c r="V211" s="139"/>
      <c r="W211" s="143"/>
      <c r="AR211" s="25"/>
      <c r="AS211" s="25"/>
      <c r="AT211" s="25"/>
    </row>
    <row r="212">
      <c r="A212" s="80"/>
      <c r="B212" s="35"/>
      <c r="C212" s="54" t="str">
        <f>Config!C51</f>
        <v>2026_C_PR_B1_CONFIG48</v>
      </c>
      <c r="D212" s="169"/>
      <c r="E212" s="170"/>
      <c r="F212" s="171"/>
      <c r="G212" s="165"/>
      <c r="H212" s="146"/>
      <c r="I212" s="92"/>
      <c r="J212" s="92"/>
      <c r="K212" s="92"/>
      <c r="L212" s="103"/>
      <c r="M212" s="149"/>
      <c r="N212" s="149"/>
      <c r="O212" s="148"/>
      <c r="P212" s="92"/>
      <c r="Q212" s="92"/>
      <c r="R212" s="148"/>
      <c r="S212" s="18"/>
      <c r="T212" s="149"/>
      <c r="U212" s="149"/>
      <c r="V212" s="148"/>
      <c r="W212" s="152"/>
      <c r="AR212" s="25"/>
      <c r="AS212" s="25"/>
      <c r="AT212" s="25"/>
    </row>
    <row r="213">
      <c r="A213" s="80"/>
      <c r="B213" s="180"/>
      <c r="C213" s="25"/>
      <c r="D213" s="181"/>
      <c r="E213" s="181"/>
      <c r="F213" s="181"/>
      <c r="G213" s="125"/>
      <c r="H213" s="26"/>
      <c r="I213" s="26"/>
      <c r="N213" s="25"/>
      <c r="S213" s="25"/>
      <c r="T213" s="25"/>
      <c r="U213" s="25"/>
      <c r="V213" s="25"/>
      <c r="W213" s="25"/>
      <c r="X213" s="25"/>
      <c r="Y213" s="25"/>
      <c r="Z213" s="26"/>
      <c r="AA213" s="26"/>
      <c r="AB213" s="26"/>
      <c r="AC213" s="26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</row>
    <row r="214">
      <c r="A214" s="80"/>
      <c r="B214" s="182" t="s">
        <v>139</v>
      </c>
      <c r="C214" s="56"/>
      <c r="D214" s="183" t="s">
        <v>140</v>
      </c>
      <c r="E214" s="58"/>
      <c r="F214" s="56"/>
      <c r="G214" s="26"/>
      <c r="H214" s="26"/>
      <c r="M214" s="25"/>
      <c r="R214" s="25"/>
      <c r="S214" s="25"/>
      <c r="T214" s="25"/>
      <c r="U214" s="25"/>
      <c r="V214" s="25"/>
      <c r="W214" s="25"/>
      <c r="X214" s="25"/>
      <c r="Y214" s="25"/>
      <c r="Z214" s="26"/>
      <c r="AA214" s="26"/>
      <c r="AB214" s="26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</row>
    <row r="215">
      <c r="A215" s="80"/>
      <c r="B215" s="35"/>
      <c r="C215" s="14"/>
      <c r="D215" s="184" t="s">
        <v>141</v>
      </c>
      <c r="E215" s="185" t="s">
        <v>142</v>
      </c>
      <c r="F215" s="186" t="s">
        <v>143</v>
      </c>
      <c r="G215" s="26"/>
      <c r="H215" s="26"/>
      <c r="M215" s="25"/>
      <c r="R215" s="25"/>
      <c r="S215" s="25"/>
      <c r="T215" s="25"/>
      <c r="U215" s="25"/>
      <c r="V215" s="25"/>
      <c r="W215" s="25"/>
      <c r="X215" s="25"/>
      <c r="Y215" s="25"/>
      <c r="Z215" s="26"/>
      <c r="AA215" s="26"/>
      <c r="AB215" s="26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</row>
    <row r="216">
      <c r="A216" s="80"/>
      <c r="B216" s="75" t="s">
        <v>144</v>
      </c>
      <c r="C216" s="58"/>
      <c r="D216" s="187" t="s">
        <v>82</v>
      </c>
      <c r="E216" s="188">
        <v>0.0</v>
      </c>
      <c r="F216" s="189">
        <v>0.0</v>
      </c>
      <c r="G216" s="26"/>
      <c r="H216" s="26"/>
      <c r="M216" s="25"/>
      <c r="R216" s="25"/>
      <c r="S216" s="25"/>
      <c r="T216" s="25"/>
      <c r="U216" s="25"/>
      <c r="V216" s="25"/>
      <c r="W216" s="25"/>
      <c r="X216" s="25"/>
      <c r="Y216" s="25"/>
      <c r="Z216" s="26"/>
      <c r="AA216" s="26"/>
      <c r="AB216" s="26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</row>
    <row r="217">
      <c r="A217" s="80"/>
      <c r="B217" s="31"/>
      <c r="D217" s="190" t="s">
        <v>145</v>
      </c>
      <c r="E217" s="191">
        <f>Config!K3</f>
        <v>0.361</v>
      </c>
      <c r="F217" s="192">
        <f>Config!E3</f>
        <v>6308</v>
      </c>
      <c r="G217" s="26"/>
      <c r="H217" s="26"/>
      <c r="M217" s="25"/>
      <c r="R217" s="25"/>
      <c r="S217" s="25"/>
      <c r="T217" s="25"/>
      <c r="U217" s="25"/>
      <c r="V217" s="25"/>
      <c r="W217" s="25"/>
      <c r="X217" s="25"/>
      <c r="Y217" s="25"/>
      <c r="Z217" s="26"/>
      <c r="AA217" s="26"/>
      <c r="AB217" s="26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</row>
    <row r="218">
      <c r="A218" s="80"/>
      <c r="B218" s="31"/>
      <c r="D218" s="190" t="s">
        <v>85</v>
      </c>
      <c r="E218" s="191">
        <f>E217+H4</f>
        <v>7.051</v>
      </c>
      <c r="F218" s="192">
        <f>Config!E3</f>
        <v>6308</v>
      </c>
      <c r="G218" s="26"/>
      <c r="H218" s="26"/>
      <c r="M218" s="25"/>
      <c r="R218" s="25"/>
      <c r="S218" s="25"/>
      <c r="T218" s="25"/>
      <c r="U218" s="25"/>
      <c r="V218" s="25"/>
      <c r="W218" s="25"/>
      <c r="X218" s="25"/>
      <c r="Y218" s="25"/>
      <c r="Z218" s="26"/>
      <c r="AA218" s="26"/>
      <c r="AB218" s="26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</row>
    <row r="219">
      <c r="A219" s="80"/>
      <c r="B219" s="31"/>
      <c r="D219" s="190" t="s">
        <v>146</v>
      </c>
      <c r="E219" s="191">
        <f>E218+J5</f>
        <v>7.222</v>
      </c>
      <c r="F219" s="192">
        <v>0.0</v>
      </c>
      <c r="G219" s="26"/>
      <c r="H219" s="26"/>
      <c r="M219" s="25"/>
      <c r="R219" s="25"/>
      <c r="S219" s="25"/>
      <c r="T219" s="25"/>
      <c r="U219" s="25"/>
      <c r="V219" s="25"/>
      <c r="W219" s="25"/>
      <c r="X219" s="25"/>
      <c r="Y219" s="25"/>
      <c r="Z219" s="26"/>
      <c r="AA219" s="26"/>
      <c r="AB219" s="26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</row>
    <row r="220">
      <c r="A220" s="80"/>
      <c r="B220" s="75" t="s">
        <v>147</v>
      </c>
      <c r="C220" s="58"/>
      <c r="D220" s="187" t="s">
        <v>82</v>
      </c>
      <c r="E220" s="188">
        <v>0.0</v>
      </c>
      <c r="F220" s="189">
        <v>0.0</v>
      </c>
      <c r="G220" s="26"/>
      <c r="H220" s="26"/>
      <c r="M220" s="25"/>
      <c r="R220" s="25"/>
      <c r="S220" s="25"/>
      <c r="T220" s="25"/>
      <c r="U220" s="25"/>
      <c r="V220" s="25"/>
      <c r="W220" s="25"/>
      <c r="X220" s="25"/>
      <c r="Y220" s="25"/>
      <c r="Z220" s="26"/>
      <c r="AA220" s="26"/>
      <c r="AB220" s="26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</row>
    <row r="221">
      <c r="A221" s="80"/>
      <c r="B221" s="31"/>
      <c r="D221" s="190" t="s">
        <v>145</v>
      </c>
      <c r="E221" s="191">
        <f>G13</f>
        <v>0.4</v>
      </c>
      <c r="F221" s="192">
        <f>Config!E10</f>
        <v>1</v>
      </c>
      <c r="G221" s="26"/>
      <c r="H221" s="26"/>
      <c r="M221" s="25"/>
      <c r="R221" s="25"/>
      <c r="S221" s="25"/>
      <c r="T221" s="25"/>
      <c r="U221" s="25"/>
      <c r="V221" s="25"/>
      <c r="W221" s="25"/>
      <c r="X221" s="25"/>
      <c r="Y221" s="25"/>
      <c r="Z221" s="26"/>
      <c r="AA221" s="26"/>
      <c r="AB221" s="26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</row>
    <row r="222">
      <c r="A222" s="80"/>
      <c r="B222" s="31"/>
      <c r="D222" s="190" t="s">
        <v>85</v>
      </c>
      <c r="E222" s="191">
        <f>E221+H12</f>
        <v>0.7</v>
      </c>
      <c r="F222" s="192">
        <f>Config!E10</f>
        <v>1</v>
      </c>
      <c r="G222" s="26"/>
      <c r="H222" s="26"/>
      <c r="M222" s="25"/>
      <c r="R222" s="25"/>
      <c r="S222" s="25"/>
      <c r="T222" s="25"/>
      <c r="U222" s="25"/>
      <c r="V222" s="25"/>
      <c r="W222" s="25"/>
      <c r="X222" s="25"/>
      <c r="Y222" s="25"/>
      <c r="Z222" s="26"/>
      <c r="AA222" s="26"/>
      <c r="AB222" s="26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</row>
    <row r="223">
      <c r="A223" s="80"/>
      <c r="B223" s="35"/>
      <c r="C223" s="64"/>
      <c r="D223" s="193" t="s">
        <v>146</v>
      </c>
      <c r="E223" s="194">
        <f>E222+J12</f>
        <v>0.9</v>
      </c>
      <c r="F223" s="195">
        <v>0.0</v>
      </c>
      <c r="G223" s="26"/>
      <c r="H223" s="26"/>
      <c r="M223" s="25"/>
      <c r="R223" s="25"/>
      <c r="S223" s="25"/>
      <c r="T223" s="25"/>
      <c r="U223" s="25"/>
      <c r="V223" s="25"/>
      <c r="W223" s="25"/>
      <c r="X223" s="25"/>
      <c r="Y223" s="25"/>
      <c r="Z223" s="26"/>
      <c r="AA223" s="26"/>
      <c r="AB223" s="26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</row>
    <row r="224">
      <c r="A224" s="80"/>
      <c r="B224" s="75" t="s">
        <v>148</v>
      </c>
      <c r="C224" s="58"/>
      <c r="D224" s="187" t="s">
        <v>82</v>
      </c>
      <c r="E224" s="188">
        <v>0.0</v>
      </c>
      <c r="F224" s="189">
        <v>0.0</v>
      </c>
      <c r="G224" s="26"/>
      <c r="H224" s="26"/>
      <c r="M224" s="25"/>
      <c r="R224" s="25"/>
      <c r="S224" s="25"/>
      <c r="T224" s="25"/>
      <c r="U224" s="25"/>
      <c r="V224" s="25"/>
      <c r="W224" s="25"/>
      <c r="X224" s="25"/>
      <c r="Y224" s="25"/>
      <c r="Z224" s="26"/>
      <c r="AA224" s="26"/>
      <c r="AB224" s="26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</row>
    <row r="225">
      <c r="A225" s="80"/>
      <c r="B225" s="31"/>
      <c r="D225" s="190" t="s">
        <v>145</v>
      </c>
      <c r="E225" s="191">
        <f>G10</f>
        <v>0.4</v>
      </c>
      <c r="F225" s="192">
        <f>Config!E4</f>
        <v>5000</v>
      </c>
      <c r="G225" s="26"/>
      <c r="H225" s="26"/>
      <c r="M225" s="25"/>
      <c r="R225" s="25"/>
      <c r="S225" s="25"/>
      <c r="T225" s="25"/>
      <c r="U225" s="25"/>
      <c r="V225" s="25"/>
      <c r="W225" s="25"/>
      <c r="X225" s="25"/>
      <c r="Y225" s="25"/>
      <c r="Z225" s="26"/>
      <c r="AA225" s="26"/>
      <c r="AB225" s="26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</row>
    <row r="226">
      <c r="A226" s="80"/>
      <c r="B226" s="31"/>
      <c r="D226" s="190" t="s">
        <v>85</v>
      </c>
      <c r="E226" s="191">
        <f>E225+H6</f>
        <v>0.7</v>
      </c>
      <c r="F226" s="192">
        <f>Config!E4</f>
        <v>5000</v>
      </c>
      <c r="H226" s="26"/>
      <c r="I226" s="26"/>
      <c r="N226" s="25"/>
      <c r="S226" s="25"/>
      <c r="T226" s="25"/>
      <c r="U226" s="25"/>
      <c r="V226" s="25"/>
      <c r="W226" s="25"/>
      <c r="X226" s="25"/>
      <c r="Y226" s="25"/>
      <c r="Z226" s="26"/>
      <c r="AA226" s="26"/>
      <c r="AB226" s="26"/>
      <c r="AC226" s="26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</row>
    <row r="227">
      <c r="A227" s="80"/>
      <c r="B227" s="35"/>
      <c r="C227" s="64"/>
      <c r="D227" s="193" t="s">
        <v>146</v>
      </c>
      <c r="E227" s="194">
        <f>E226+J6</f>
        <v>0.9</v>
      </c>
      <c r="F227" s="195">
        <v>0.0</v>
      </c>
      <c r="H227" s="26"/>
      <c r="I227" s="26"/>
      <c r="N227" s="25"/>
      <c r="S227" s="25"/>
      <c r="T227" s="25"/>
      <c r="U227" s="25"/>
      <c r="V227" s="25"/>
      <c r="W227" s="25"/>
      <c r="X227" s="25"/>
      <c r="Y227" s="25"/>
      <c r="Z227" s="26"/>
      <c r="AA227" s="26"/>
      <c r="AB227" s="26"/>
      <c r="AC227" s="26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</row>
    <row r="228">
      <c r="A228" s="80"/>
      <c r="H228" s="26"/>
      <c r="I228" s="26"/>
      <c r="N228" s="25"/>
      <c r="S228" s="25"/>
      <c r="T228" s="25"/>
      <c r="U228" s="25"/>
      <c r="V228" s="25"/>
      <c r="W228" s="25"/>
      <c r="X228" s="25"/>
      <c r="Y228" s="25"/>
      <c r="Z228" s="26"/>
      <c r="AA228" s="26"/>
      <c r="AB228" s="26"/>
      <c r="AC228" s="26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</row>
    <row r="229">
      <c r="A229" s="80"/>
      <c r="H229" s="26"/>
      <c r="I229" s="26"/>
      <c r="N229" s="25"/>
      <c r="S229" s="25"/>
      <c r="T229" s="25"/>
      <c r="U229" s="25"/>
      <c r="V229" s="25"/>
      <c r="W229" s="25"/>
      <c r="X229" s="25"/>
      <c r="Y229" s="25"/>
      <c r="Z229" s="26"/>
      <c r="AA229" s="26"/>
      <c r="AB229" s="26"/>
      <c r="AC229" s="26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</row>
    <row r="230">
      <c r="A230" s="80"/>
      <c r="H230" s="26"/>
      <c r="I230" s="26"/>
      <c r="N230" s="25"/>
      <c r="S230" s="25"/>
      <c r="T230" s="25"/>
      <c r="U230" s="25"/>
      <c r="V230" s="25"/>
      <c r="W230" s="25"/>
      <c r="X230" s="25"/>
      <c r="Y230" s="25"/>
      <c r="Z230" s="26"/>
      <c r="AA230" s="26"/>
      <c r="AB230" s="26"/>
      <c r="AC230" s="26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</row>
    <row r="231">
      <c r="A231" s="80"/>
      <c r="F231" s="26"/>
      <c r="H231" s="26"/>
      <c r="I231" s="26"/>
      <c r="N231" s="25"/>
      <c r="S231" s="25"/>
      <c r="T231" s="25"/>
      <c r="U231" s="25"/>
      <c r="V231" s="25"/>
      <c r="W231" s="25"/>
      <c r="X231" s="25"/>
      <c r="Y231" s="25"/>
      <c r="Z231" s="26"/>
      <c r="AA231" s="26"/>
      <c r="AB231" s="26"/>
      <c r="AC231" s="26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</row>
  </sheetData>
  <mergeCells count="43">
    <mergeCell ref="B2:C3"/>
    <mergeCell ref="B4:C5"/>
    <mergeCell ref="B6:B17"/>
    <mergeCell ref="B18:B29"/>
    <mergeCell ref="B30:B35"/>
    <mergeCell ref="B36:B41"/>
    <mergeCell ref="B42:B49"/>
    <mergeCell ref="B95:B102"/>
    <mergeCell ref="B103:B106"/>
    <mergeCell ref="B108:C109"/>
    <mergeCell ref="H108:L108"/>
    <mergeCell ref="M108:S108"/>
    <mergeCell ref="T108:W108"/>
    <mergeCell ref="B50:B53"/>
    <mergeCell ref="B55:C56"/>
    <mergeCell ref="B57:C58"/>
    <mergeCell ref="B59:B70"/>
    <mergeCell ref="B71:B82"/>
    <mergeCell ref="B83:B88"/>
    <mergeCell ref="B89:B94"/>
    <mergeCell ref="B161:C162"/>
    <mergeCell ref="H161:L161"/>
    <mergeCell ref="M161:S161"/>
    <mergeCell ref="T161:W161"/>
    <mergeCell ref="B110:C111"/>
    <mergeCell ref="B112:B123"/>
    <mergeCell ref="B124:B135"/>
    <mergeCell ref="B136:B141"/>
    <mergeCell ref="B142:B147"/>
    <mergeCell ref="B148:B155"/>
    <mergeCell ref="B163:C164"/>
    <mergeCell ref="B214:C215"/>
    <mergeCell ref="D214:F214"/>
    <mergeCell ref="B216:C219"/>
    <mergeCell ref="B220:C223"/>
    <mergeCell ref="B224:C227"/>
    <mergeCell ref="B156:B159"/>
    <mergeCell ref="B165:B176"/>
    <mergeCell ref="B177:B188"/>
    <mergeCell ref="B189:B194"/>
    <mergeCell ref="B195:B200"/>
    <mergeCell ref="B201:B208"/>
    <mergeCell ref="B209:B212"/>
  </mergeCells>
  <conditionalFormatting sqref="A1:AT231">
    <cfRule type="expression" dxfId="0" priority="1">
      <formula>OR(A1="N.D.", A1="N.A.")</formula>
    </cfRule>
  </conditionalFormatting>
  <conditionalFormatting sqref="R110:R159 V110:V159 R163:R212 V163:V212">
    <cfRule type="cellIs" dxfId="4" priority="2" operator="lessThanOrEqual">
      <formula>0</formula>
    </cfRule>
  </conditionalFormatting>
  <printOptions horizontalCentered="1"/>
  <pageMargins bottom="0.0" footer="0.0" header="0.0" left="0.0" right="0.0" top="0.0"/>
  <pageSetup fitToHeight="0" paperSize="9" orientation="landscape" pageOrder="overThenDown"/>
  <drawing r:id="rId2"/>
  <legacyDrawing r:id="rId3"/>
  <tableParts count="5"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22.25"/>
    <col customWidth="1" min="4" max="4" width="14.88"/>
    <col customWidth="1" min="5" max="5" width="11.75"/>
    <col customWidth="1" min="6" max="6" width="15.63"/>
    <col customWidth="1" min="7" max="7" width="11.75"/>
    <col customWidth="1" min="8" max="8" width="15.88"/>
    <col customWidth="1" min="9" max="9" width="19.75"/>
    <col customWidth="1" min="10" max="10" width="18.38"/>
    <col customWidth="1" min="11" max="11" width="10.88"/>
    <col customWidth="1" min="12" max="12" width="13.63"/>
    <col customWidth="1" min="13" max="13" width="15.75"/>
    <col customWidth="1" min="14" max="14" width="14.13"/>
    <col customWidth="1" min="15" max="15" width="50.5"/>
    <col customWidth="1" min="17" max="17" width="3.25"/>
    <col customWidth="1" min="18" max="18" width="22.25"/>
    <col customWidth="1" min="20" max="20" width="19.0"/>
    <col customWidth="1" min="21" max="21" width="17.0"/>
    <col customWidth="1" min="22" max="22" width="49.88"/>
    <col customWidth="1" min="23" max="34" width="16.63"/>
  </cols>
  <sheetData>
    <row r="1" ht="1.5" customHeight="1"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</row>
    <row r="2">
      <c r="A2" s="197"/>
      <c r="B2" s="198" t="s">
        <v>149</v>
      </c>
      <c r="C2" s="56"/>
      <c r="D2" s="199" t="s">
        <v>150</v>
      </c>
      <c r="E2" s="200" t="s">
        <v>101</v>
      </c>
      <c r="F2" s="56"/>
      <c r="G2" s="200" t="s">
        <v>120</v>
      </c>
      <c r="H2" s="56"/>
      <c r="I2" s="200" t="s">
        <v>143</v>
      </c>
      <c r="J2" s="58"/>
      <c r="K2" s="198" t="s">
        <v>151</v>
      </c>
      <c r="L2" s="201" t="s">
        <v>152</v>
      </c>
      <c r="M2" s="58"/>
      <c r="N2" s="56"/>
      <c r="O2" s="202" t="s">
        <v>12</v>
      </c>
      <c r="P2" s="197"/>
      <c r="Q2" s="198" t="s">
        <v>153</v>
      </c>
      <c r="R2" s="56"/>
      <c r="S2" s="203" t="s">
        <v>154</v>
      </c>
      <c r="T2" s="203" t="s">
        <v>155</v>
      </c>
      <c r="U2" s="204" t="s">
        <v>156</v>
      </c>
      <c r="V2" s="205" t="s">
        <v>12</v>
      </c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</row>
    <row r="3">
      <c r="B3" s="35"/>
      <c r="C3" s="14"/>
      <c r="D3" s="206" t="s">
        <v>157</v>
      </c>
      <c r="E3" s="207" t="s">
        <v>157</v>
      </c>
      <c r="F3" s="206" t="s">
        <v>158</v>
      </c>
      <c r="G3" s="207" t="s">
        <v>157</v>
      </c>
      <c r="H3" s="206" t="s">
        <v>158</v>
      </c>
      <c r="I3" s="208" t="s">
        <v>159</v>
      </c>
      <c r="J3" s="209" t="s">
        <v>160</v>
      </c>
      <c r="K3" s="35"/>
      <c r="L3" s="210" t="s">
        <v>161</v>
      </c>
      <c r="M3" s="208" t="s">
        <v>162</v>
      </c>
      <c r="N3" s="206" t="s">
        <v>163</v>
      </c>
      <c r="O3" s="211"/>
      <c r="Q3" s="35"/>
      <c r="R3" s="14"/>
      <c r="S3" s="14"/>
      <c r="T3" s="14"/>
      <c r="U3" s="64"/>
      <c r="V3" s="211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</row>
    <row r="4">
      <c r="B4" s="212" t="s">
        <v>13</v>
      </c>
      <c r="C4" s="60"/>
      <c r="D4" s="18">
        <f>Budget!F57</f>
        <v>2.605</v>
      </c>
      <c r="E4" s="17">
        <f>Budget!S110</f>
        <v>13.647</v>
      </c>
      <c r="F4" s="18">
        <f>Budget!R110</f>
        <v>2.67</v>
      </c>
      <c r="G4" s="17">
        <f>Budget!S163</f>
        <v>9.639</v>
      </c>
      <c r="H4" s="18">
        <f>Budget!R163</f>
        <v>0.527</v>
      </c>
      <c r="I4" s="17">
        <f>Config!E3</f>
        <v>6308</v>
      </c>
      <c r="J4" s="18" t="s">
        <v>164</v>
      </c>
      <c r="K4" s="25">
        <f>Config!N3</f>
        <v>36167</v>
      </c>
      <c r="L4" s="213">
        <f>Budget!G5</f>
        <v>0.361</v>
      </c>
      <c r="M4" s="17">
        <f>Budget!H4</f>
        <v>6.69</v>
      </c>
      <c r="N4" s="18">
        <f>Budget!J5</f>
        <v>0.171</v>
      </c>
      <c r="O4" s="20" t="s">
        <v>165</v>
      </c>
      <c r="Q4" s="212" t="s">
        <v>13</v>
      </c>
      <c r="R4" s="60"/>
      <c r="S4" s="214" t="s">
        <v>166</v>
      </c>
      <c r="T4" s="214" t="s">
        <v>166</v>
      </c>
      <c r="U4" s="215" t="s">
        <v>166</v>
      </c>
      <c r="V4" s="216" t="s">
        <v>167</v>
      </c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</row>
    <row r="5">
      <c r="B5" s="21" t="s">
        <v>15</v>
      </c>
      <c r="C5" s="22" t="s">
        <v>16</v>
      </c>
      <c r="D5" s="27">
        <f>Budget!F59</f>
        <v>5.21037</v>
      </c>
      <c r="E5" s="25">
        <f>Budget!S112 - Budget!M112 - Budget!N112 - Budget!R112</f>
        <v>0.6003629969</v>
      </c>
      <c r="F5" s="217">
        <f>Budget!R112</f>
        <v>0.577</v>
      </c>
      <c r="G5" s="25">
        <f>Budget!S165 -Budget!R165  </f>
        <v>0.2967847435</v>
      </c>
      <c r="H5" s="27">
        <f>Budget!R165</f>
        <v>0.405</v>
      </c>
      <c r="I5" s="26">
        <f>Config!E4</f>
        <v>5000</v>
      </c>
      <c r="J5" s="26">
        <f>Config!E4</f>
        <v>5000</v>
      </c>
      <c r="K5" s="110">
        <f>Config!N4</f>
        <v>1500</v>
      </c>
      <c r="L5" s="25">
        <f>Budget!G6</f>
        <v>0.4</v>
      </c>
      <c r="M5" s="25">
        <f>Budget!H6</f>
        <v>0.3</v>
      </c>
      <c r="N5" s="27">
        <f>Budget!J6</f>
        <v>0.2</v>
      </c>
      <c r="O5" s="30" t="str">
        <f>Config!O4</f>
        <v>B3, dry mass = est, thrust iteration for exit velocity</v>
      </c>
      <c r="Q5" s="21" t="s">
        <v>15</v>
      </c>
      <c r="R5" s="81" t="str">
        <f>Config!C4</f>
        <v>2026_C_PR_B3_CONFIG1</v>
      </c>
      <c r="S5" s="218"/>
      <c r="T5" s="219"/>
      <c r="U5" s="220"/>
      <c r="V5" s="221" t="str">
        <f>Config!O4</f>
        <v>B3, dry mass = est, thrust iteration for exit velocity</v>
      </c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</row>
    <row r="6">
      <c r="B6" s="31"/>
      <c r="C6" s="32" t="s">
        <v>18</v>
      </c>
      <c r="D6" s="27">
        <f>Budget!F60</f>
        <v>5.21037</v>
      </c>
      <c r="E6" s="25">
        <f>Budget!S113 - Budget!M113 - Budget!N113 - Budget!R113</f>
        <v>0.6385892966</v>
      </c>
      <c r="F6" s="217">
        <f>Budget!R113</f>
        <v>0.577</v>
      </c>
      <c r="G6" s="25">
        <f>Budget!S166 -Budget!R166  </f>
        <v>0.3264632178</v>
      </c>
      <c r="H6" s="27">
        <f>Budget!R166</f>
        <v>0.405</v>
      </c>
      <c r="I6" s="26">
        <f>Config!E5</f>
        <v>5500</v>
      </c>
      <c r="J6" s="26">
        <f>Config!E5</f>
        <v>5500</v>
      </c>
      <c r="K6" s="77">
        <f>Config!N5</f>
        <v>1650</v>
      </c>
      <c r="L6" s="25">
        <f>Budget!G7</f>
        <v>0.4</v>
      </c>
      <c r="M6" s="25">
        <f>Budget!H7</f>
        <v>0.3</v>
      </c>
      <c r="N6" s="27">
        <f>Budget!J7</f>
        <v>0.2</v>
      </c>
      <c r="O6" s="30" t="str">
        <f>Config!O5</f>
        <v>B3, dry mass = est, thrust iteration for exit velocity</v>
      </c>
      <c r="Q6" s="31"/>
      <c r="R6" s="53" t="str">
        <f>Config!C5</f>
        <v>2025_C_PR_B3_CONFIG2</v>
      </c>
      <c r="S6" s="218"/>
      <c r="T6" s="219"/>
      <c r="U6" s="220"/>
      <c r="V6" s="221" t="str">
        <f>Config!O5</f>
        <v>B3, dry mass = est, thrust iteration for exit velocity</v>
      </c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</row>
    <row r="7">
      <c r="B7" s="31"/>
      <c r="C7" s="32" t="s">
        <v>19</v>
      </c>
      <c r="D7" s="27">
        <f>Budget!F61</f>
        <v>5.21037</v>
      </c>
      <c r="E7" s="25">
        <f>Budget!S114 - Budget!M114 - Budget!N114 - Budget!R114</f>
        <v>0.6768155963</v>
      </c>
      <c r="F7" s="217">
        <f>Budget!R114</f>
        <v>0.577</v>
      </c>
      <c r="G7" s="25">
        <f>Budget!S167 -Budget!R167  </f>
        <v>0.3561416922</v>
      </c>
      <c r="H7" s="27">
        <f>Budget!R167</f>
        <v>0.405</v>
      </c>
      <c r="I7" s="26">
        <f>Config!E6</f>
        <v>6000</v>
      </c>
      <c r="J7" s="26">
        <f>Config!E6</f>
        <v>6000</v>
      </c>
      <c r="K7" s="77">
        <f>Config!N6</f>
        <v>1800</v>
      </c>
      <c r="L7" s="25">
        <f>Budget!G8</f>
        <v>0.4</v>
      </c>
      <c r="M7" s="25">
        <f>Budget!H8</f>
        <v>0.3</v>
      </c>
      <c r="N7" s="27">
        <f>Budget!J8</f>
        <v>0.2</v>
      </c>
      <c r="O7" s="30" t="str">
        <f>Config!O6</f>
        <v>B3, dry mass = est, thrust iteration for exit velocity</v>
      </c>
      <c r="Q7" s="31"/>
      <c r="R7" s="53" t="str">
        <f>Config!C6</f>
        <v>2026_C_PR_B3_CONFIG3</v>
      </c>
      <c r="S7" s="218"/>
      <c r="T7" s="219"/>
      <c r="U7" s="220"/>
      <c r="V7" s="221" t="str">
        <f>Config!O6</f>
        <v>B3, dry mass = est, thrust iteration for exit velocity</v>
      </c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</row>
    <row r="8">
      <c r="B8" s="31"/>
      <c r="C8" s="40" t="s">
        <v>20</v>
      </c>
      <c r="D8" s="27">
        <f>Budget!F62</f>
        <v>5.21037</v>
      </c>
      <c r="E8" s="25">
        <f>Budget!S115 - Budget!M115 - Budget!N115 - Budget!R115</f>
        <v>9.889353823</v>
      </c>
      <c r="F8" s="217">
        <f>Budget!R115</f>
        <v>0.577</v>
      </c>
      <c r="G8" s="25">
        <f>Budget!S168 -Budget!R168  </f>
        <v>6.960743714</v>
      </c>
      <c r="H8" s="27">
        <f>Budget!R168</f>
        <v>0.405</v>
      </c>
      <c r="I8" s="26">
        <f>Config!E7</f>
        <v>6500</v>
      </c>
      <c r="J8" s="26">
        <f>Config!E7</f>
        <v>6500</v>
      </c>
      <c r="K8" s="77">
        <f>Config!N7</f>
        <v>37950</v>
      </c>
      <c r="L8" s="25">
        <f>Budget!G9</f>
        <v>0.4</v>
      </c>
      <c r="M8" s="25">
        <f>Budget!H9</f>
        <v>5.838461538</v>
      </c>
      <c r="N8" s="27">
        <f>Budget!J9</f>
        <v>0.2</v>
      </c>
      <c r="O8" s="41" t="str">
        <f>Config!O7</f>
        <v>B3, dry mass = est, thrust iteration for exit velocity</v>
      </c>
      <c r="Q8" s="31"/>
      <c r="R8" s="222" t="str">
        <f>Config!C7</f>
        <v>2025_C_PR_B3_CONFIG4</v>
      </c>
      <c r="S8" s="223">
        <v>3172.0</v>
      </c>
      <c r="T8" s="224">
        <v>3.601</v>
      </c>
      <c r="U8" s="225">
        <v>30.557</v>
      </c>
      <c r="V8" s="226" t="str">
        <f>Config!O7</f>
        <v>B3, dry mass = est, thrust iteration for exit velocity</v>
      </c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</row>
    <row r="9">
      <c r="B9" s="31"/>
      <c r="C9" s="40" t="s">
        <v>21</v>
      </c>
      <c r="D9" s="27">
        <f>Budget!F63</f>
        <v>5.21037</v>
      </c>
      <c r="E9" s="25">
        <f>Budget!S116 - Budget!M116 - Budget!N116 - Budget!R116</f>
        <v>9.927580122</v>
      </c>
      <c r="F9" s="217">
        <f>Budget!R116</f>
        <v>0.577</v>
      </c>
      <c r="G9" s="25">
        <f>Budget!S169 -Budget!R169  </f>
        <v>6.990422188</v>
      </c>
      <c r="H9" s="27">
        <f>Budget!R169</f>
        <v>0.405</v>
      </c>
      <c r="I9" s="26">
        <f>Config!E8</f>
        <v>7000</v>
      </c>
      <c r="J9" s="26">
        <f>Config!E8</f>
        <v>7000</v>
      </c>
      <c r="K9" s="77">
        <f>Config!N8</f>
        <v>38100</v>
      </c>
      <c r="L9" s="25">
        <f>Budget!G10</f>
        <v>0.4</v>
      </c>
      <c r="M9" s="25">
        <f>Budget!H10</f>
        <v>5.442857143</v>
      </c>
      <c r="N9" s="27">
        <f>Budget!J10</f>
        <v>0.2</v>
      </c>
      <c r="O9" s="41" t="str">
        <f>Config!O8</f>
        <v>B3, dry mass = est, thrust iteration for exit velocity</v>
      </c>
      <c r="Q9" s="31"/>
      <c r="R9" s="222" t="str">
        <f>Config!C8</f>
        <v>2026_C_PR_B3_CONFIG5</v>
      </c>
      <c r="S9" s="227">
        <v>3267.0</v>
      </c>
      <c r="T9" s="228">
        <v>3.6</v>
      </c>
      <c r="U9" s="229">
        <v>31.951</v>
      </c>
      <c r="V9" s="226" t="str">
        <f>Config!O8</f>
        <v>B3, dry mass = est, thrust iteration for exit velocity</v>
      </c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</row>
    <row r="10">
      <c r="B10" s="31"/>
      <c r="C10" s="32" t="s">
        <v>22</v>
      </c>
      <c r="D10" s="27">
        <f>Budget!F64</f>
        <v>5.21037</v>
      </c>
      <c r="E10" s="25">
        <f>Budget!S117 - Budget!M117 - Budget!N117 - Budget!R117</f>
        <v>0.7914944954</v>
      </c>
      <c r="F10" s="217">
        <f>Budget!R117</f>
        <v>0.577</v>
      </c>
      <c r="G10" s="25">
        <f>Budget!S170 -Budget!R170  </f>
        <v>0.4451771152</v>
      </c>
      <c r="H10" s="27">
        <f>Budget!R170</f>
        <v>0.405</v>
      </c>
      <c r="I10" s="26">
        <f>Config!E9</f>
        <v>7500</v>
      </c>
      <c r="J10" s="26">
        <f>Config!E9</f>
        <v>7500</v>
      </c>
      <c r="K10" s="77">
        <f>Config!N9</f>
        <v>2250</v>
      </c>
      <c r="L10" s="25">
        <f>Budget!G11</f>
        <v>0.4</v>
      </c>
      <c r="M10" s="25">
        <f>Budget!H11</f>
        <v>0.3</v>
      </c>
      <c r="N10" s="27">
        <f>Budget!J11</f>
        <v>0.2</v>
      </c>
      <c r="O10" s="30" t="str">
        <f>Config!O9</f>
        <v>B3, dry mass = est, thrust iteration for exit velocity</v>
      </c>
      <c r="Q10" s="31"/>
      <c r="R10" s="53" t="str">
        <f>Config!C9</f>
        <v>2025_C_PR_B3_CONFIG6</v>
      </c>
      <c r="S10" s="218"/>
      <c r="T10" s="219"/>
      <c r="U10" s="220"/>
      <c r="V10" s="221" t="str">
        <f>Config!O9</f>
        <v>B3, dry mass = est, thrust iteration for exit velocity</v>
      </c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</row>
    <row r="11">
      <c r="B11" s="31"/>
      <c r="C11" s="32" t="s">
        <v>23</v>
      </c>
      <c r="D11" s="27">
        <f>Budget!F65</f>
        <v>5.21037</v>
      </c>
      <c r="E11" s="25">
        <f>Budget!S118 - Budget!M118 - Budget!N118 - Budget!R118</f>
        <v>0.2181764526</v>
      </c>
      <c r="F11" s="217">
        <f>Budget!R118</f>
        <v>0.577</v>
      </c>
      <c r="G11" s="25">
        <f>Budget!S171 -Budget!R171  </f>
        <v>0.00005935694869</v>
      </c>
      <c r="H11" s="27">
        <f>Budget!R171</f>
        <v>0.405</v>
      </c>
      <c r="I11" s="26">
        <f>Config!E10</f>
        <v>1</v>
      </c>
      <c r="J11" s="26">
        <f>Config!E10</f>
        <v>1</v>
      </c>
      <c r="K11" s="77">
        <f>Config!N10</f>
        <v>0.3</v>
      </c>
      <c r="L11" s="25">
        <f>Budget!G12</f>
        <v>0.4</v>
      </c>
      <c r="M11" s="25">
        <f>Budget!H12</f>
        <v>0.3</v>
      </c>
      <c r="N11" s="27">
        <f>Budget!J12</f>
        <v>0.2</v>
      </c>
      <c r="O11" s="30" t="str">
        <f>Config!O10</f>
        <v>B3, dry mass = est, thrust iteration for exit velocity</v>
      </c>
      <c r="Q11" s="31"/>
      <c r="R11" s="53" t="str">
        <f>Config!C10</f>
        <v>2026_C_PR_B3_CONFIG7</v>
      </c>
      <c r="S11" s="218"/>
      <c r="T11" s="219"/>
      <c r="U11" s="220"/>
      <c r="V11" s="221" t="str">
        <f>Config!O10</f>
        <v>B3, dry mass = est, thrust iteration for exit velocity</v>
      </c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</row>
    <row r="12">
      <c r="B12" s="31"/>
      <c r="C12" s="32" t="s">
        <v>24</v>
      </c>
      <c r="D12" s="27">
        <f>Budget!F66</f>
        <v>5.21037</v>
      </c>
      <c r="E12" s="25">
        <f>Budget!S119 - Budget!M119 - Budget!N119 - Budget!R119</f>
        <v>0.2181764526</v>
      </c>
      <c r="F12" s="217">
        <f>Budget!R119</f>
        <v>0.577</v>
      </c>
      <c r="G12" s="25">
        <f>Budget!S172 -Budget!R172  </f>
        <v>0.00005935694869</v>
      </c>
      <c r="H12" s="27">
        <f>Budget!R172</f>
        <v>0.405</v>
      </c>
      <c r="I12" s="26">
        <f>Config!E11</f>
        <v>1</v>
      </c>
      <c r="J12" s="26">
        <f>Config!E11</f>
        <v>1</v>
      </c>
      <c r="K12" s="77">
        <f>Config!N11</f>
        <v>0.3</v>
      </c>
      <c r="L12" s="25">
        <f>Budget!G13</f>
        <v>0.4</v>
      </c>
      <c r="M12" s="25">
        <f>Budget!H13</f>
        <v>0.3</v>
      </c>
      <c r="N12" s="27">
        <f>Budget!J13</f>
        <v>0.2</v>
      </c>
      <c r="O12" s="30" t="str">
        <f>Config!O11</f>
        <v>B3, dry mass = est, thrust iteration for exit velocity</v>
      </c>
      <c r="Q12" s="31"/>
      <c r="R12" s="53" t="str">
        <f>Config!C11</f>
        <v>2025_C_PR_B3_CONFIG8</v>
      </c>
      <c r="S12" s="218"/>
      <c r="T12" s="219"/>
      <c r="U12" s="220"/>
      <c r="V12" s="221" t="str">
        <f>Config!O11</f>
        <v>B3, dry mass = est, thrust iteration for exit velocity</v>
      </c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</row>
    <row r="13">
      <c r="B13" s="31"/>
      <c r="C13" s="32" t="s">
        <v>25</v>
      </c>
      <c r="D13" s="27">
        <f>Budget!F67</f>
        <v>5.21037</v>
      </c>
      <c r="E13" s="25">
        <f>Budget!S120 - Budget!M120 - Budget!N120 - Budget!R120</f>
        <v>0.2181764526</v>
      </c>
      <c r="F13" s="217">
        <f>Budget!R120</f>
        <v>0.577</v>
      </c>
      <c r="G13" s="25">
        <f>Budget!S173 -Budget!R173  </f>
        <v>0.00005935694869</v>
      </c>
      <c r="H13" s="27">
        <f>Budget!R173</f>
        <v>0.405</v>
      </c>
      <c r="I13" s="26">
        <f>Config!E12</f>
        <v>1</v>
      </c>
      <c r="J13" s="26">
        <f>Config!E12</f>
        <v>1</v>
      </c>
      <c r="K13" s="77">
        <f>Config!N12</f>
        <v>0.3</v>
      </c>
      <c r="L13" s="25">
        <f>Budget!G14</f>
        <v>0.4</v>
      </c>
      <c r="M13" s="25">
        <f>Budget!H14</f>
        <v>0.3</v>
      </c>
      <c r="N13" s="27">
        <f>Budget!J14</f>
        <v>0.2</v>
      </c>
      <c r="O13" s="30" t="str">
        <f>Config!O12</f>
        <v>B3, dry mass = est, thrust iteration for exit velocity</v>
      </c>
      <c r="Q13" s="31"/>
      <c r="R13" s="53" t="str">
        <f>Config!C12</f>
        <v>2026_C_PR_B3_CONFIG9</v>
      </c>
      <c r="S13" s="218"/>
      <c r="T13" s="219"/>
      <c r="U13" s="220"/>
      <c r="V13" s="221" t="str">
        <f>Config!O12</f>
        <v>B3, dry mass = est, thrust iteration for exit velocity</v>
      </c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</row>
    <row r="14">
      <c r="B14" s="31"/>
      <c r="C14" s="32" t="s">
        <v>26</v>
      </c>
      <c r="D14" s="27">
        <f>Budget!F68</f>
        <v>5.21037</v>
      </c>
      <c r="E14" s="25">
        <f>Budget!S121 - Budget!M121 - Budget!N121 - Budget!R121</f>
        <v>0.2181764526</v>
      </c>
      <c r="F14" s="217">
        <f>Budget!R121</f>
        <v>0.577</v>
      </c>
      <c r="G14" s="25">
        <f>Budget!S174 -Budget!R174  </f>
        <v>0.00005935694869</v>
      </c>
      <c r="H14" s="27">
        <f>Budget!R174</f>
        <v>0.405</v>
      </c>
      <c r="I14" s="26">
        <f>Config!E13</f>
        <v>1</v>
      </c>
      <c r="J14" s="26">
        <f>Config!E13</f>
        <v>1</v>
      </c>
      <c r="K14" s="77">
        <f>Config!N13</f>
        <v>0.3</v>
      </c>
      <c r="L14" s="25">
        <f>Budget!G15</f>
        <v>0.4</v>
      </c>
      <c r="M14" s="25">
        <f>Budget!H15</f>
        <v>0.3</v>
      </c>
      <c r="N14" s="27">
        <f>Budget!J15</f>
        <v>0.2</v>
      </c>
      <c r="O14" s="30" t="str">
        <f>Config!O13</f>
        <v>B3, dry mass = est, thrust iteration for exit velocity</v>
      </c>
      <c r="Q14" s="31"/>
      <c r="R14" s="53" t="str">
        <f>Config!C13</f>
        <v>2026_C_PR_B3_CONFIG10</v>
      </c>
      <c r="S14" s="218"/>
      <c r="T14" s="219"/>
      <c r="U14" s="220"/>
      <c r="V14" s="221" t="str">
        <f>Config!O13</f>
        <v>B3, dry mass = est, thrust iteration for exit velocity</v>
      </c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</row>
    <row r="15">
      <c r="B15" s="31"/>
      <c r="C15" s="32" t="s">
        <v>27</v>
      </c>
      <c r="D15" s="27">
        <f>Budget!F69</f>
        <v>5.21037</v>
      </c>
      <c r="E15" s="25">
        <f>Budget!S122 - Budget!M122 - Budget!N122 - Budget!R122</f>
        <v>0.2181764526</v>
      </c>
      <c r="F15" s="217">
        <f>Budget!R122</f>
        <v>0.577</v>
      </c>
      <c r="G15" s="25">
        <f>Budget!S175 -Budget!R175  </f>
        <v>0.00005935694869</v>
      </c>
      <c r="H15" s="27">
        <f>Budget!R175</f>
        <v>0.405</v>
      </c>
      <c r="I15" s="26">
        <f>Config!E14</f>
        <v>1</v>
      </c>
      <c r="J15" s="26">
        <f>Config!E14</f>
        <v>1</v>
      </c>
      <c r="K15" s="77">
        <f>Config!N14</f>
        <v>0.3</v>
      </c>
      <c r="L15" s="25">
        <f>Budget!G16</f>
        <v>0.4</v>
      </c>
      <c r="M15" s="25">
        <f>Budget!H16</f>
        <v>0.3</v>
      </c>
      <c r="N15" s="27">
        <f>Budget!J16</f>
        <v>0.2</v>
      </c>
      <c r="O15" s="30" t="str">
        <f>Config!O14</f>
        <v>B3, dry mass = est, thrust iteration for exit velocity</v>
      </c>
      <c r="Q15" s="31"/>
      <c r="R15" s="53" t="str">
        <f>Config!C14</f>
        <v>2026_C_PR_B3_CONFIG11</v>
      </c>
      <c r="S15" s="218"/>
      <c r="T15" s="218"/>
      <c r="U15" s="220"/>
      <c r="V15" s="221" t="str">
        <f>Config!O14</f>
        <v>B3, dry mass = est, thrust iteration for exit velocity</v>
      </c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</row>
    <row r="16">
      <c r="B16" s="35"/>
      <c r="C16" s="36" t="s">
        <v>28</v>
      </c>
      <c r="D16" s="18">
        <f>Budget!F70</f>
        <v>5.21037</v>
      </c>
      <c r="E16" s="17">
        <f>Budget!S123 - Budget!M123 - Budget!N123 - Budget!R123</f>
        <v>0.2181764526</v>
      </c>
      <c r="F16" s="230">
        <f>Budget!R123</f>
        <v>0.577</v>
      </c>
      <c r="G16" s="17">
        <f>Budget!S176 -Budget!R176  </f>
        <v>0.00005935694869</v>
      </c>
      <c r="H16" s="18">
        <f>Budget!R176</f>
        <v>0.405</v>
      </c>
      <c r="I16" s="38">
        <f>Config!E15</f>
        <v>1</v>
      </c>
      <c r="J16" s="38">
        <f>Config!E15</f>
        <v>1</v>
      </c>
      <c r="K16" s="231">
        <f>Config!N15</f>
        <v>0.3</v>
      </c>
      <c r="L16" s="17">
        <f>Budget!G17</f>
        <v>0.4</v>
      </c>
      <c r="M16" s="17">
        <f>Budget!H17</f>
        <v>0.3</v>
      </c>
      <c r="N16" s="18">
        <f>Budget!J17</f>
        <v>0.2</v>
      </c>
      <c r="O16" s="20" t="str">
        <f>Config!O15</f>
        <v>B3, dry mass = est, thrust iteration for exit velocity</v>
      </c>
      <c r="Q16" s="35"/>
      <c r="R16" s="54" t="str">
        <f>Config!C15</f>
        <v>2026_C_PR_B3_CONFIG12</v>
      </c>
      <c r="S16" s="232"/>
      <c r="T16" s="232"/>
      <c r="U16" s="233"/>
      <c r="V16" s="216" t="str">
        <f>Config!O15</f>
        <v>B3, dry mass = est, thrust iteration for exit velocity</v>
      </c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</row>
    <row r="17">
      <c r="B17" s="21" t="s">
        <v>29</v>
      </c>
      <c r="C17" s="32" t="s">
        <v>30</v>
      </c>
      <c r="D17" s="27">
        <f>Budget!F71</f>
        <v>5.21037</v>
      </c>
      <c r="E17" s="25">
        <f>Budget!S124 - Budget!M124 - Budget!N124 - Budget!R124</f>
        <v>0.6003629969</v>
      </c>
      <c r="F17" s="217">
        <f>Budget!R124</f>
        <v>0.577</v>
      </c>
      <c r="G17" s="25">
        <f>Budget!S177 -Budget!R177  </f>
        <v>0.2967847435</v>
      </c>
      <c r="H17" s="27">
        <f>Budget!R177</f>
        <v>0.405</v>
      </c>
      <c r="I17" s="26">
        <f>Config!E16</f>
        <v>5000</v>
      </c>
      <c r="J17" s="26">
        <f>Config!E16</f>
        <v>5000</v>
      </c>
      <c r="K17" s="77">
        <f>Config!N16</f>
        <v>1500</v>
      </c>
      <c r="L17" s="25">
        <f>Budget!G18</f>
        <v>0.4</v>
      </c>
      <c r="M17" s="25">
        <f>Budget!H18</f>
        <v>0.3</v>
      </c>
      <c r="N17" s="27">
        <f>Budget!J18</f>
        <v>0.2</v>
      </c>
      <c r="O17" s="30" t="str">
        <f>Config!O16</f>
        <v>B3, dry mass = est + 15%, thrust iteration for exit velocity</v>
      </c>
      <c r="Q17" s="21" t="s">
        <v>29</v>
      </c>
      <c r="R17" s="53" t="str">
        <f>Config!C16</f>
        <v>2026_C_PR_B3_CONFIG13</v>
      </c>
      <c r="S17" s="218"/>
      <c r="T17" s="218"/>
      <c r="U17" s="220"/>
      <c r="V17" s="221" t="str">
        <f>Config!O16</f>
        <v>B3, dry mass = est + 15%, thrust iteration for exit velocity</v>
      </c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</row>
    <row r="18">
      <c r="B18" s="31"/>
      <c r="C18" s="32" t="s">
        <v>32</v>
      </c>
      <c r="D18" s="27">
        <f>Budget!F72</f>
        <v>5.21037</v>
      </c>
      <c r="E18" s="25">
        <f>Budget!S125 - Budget!M125 - Budget!N125 - Budget!R125</f>
        <v>0.6385892966</v>
      </c>
      <c r="F18" s="217">
        <f>Budget!R125</f>
        <v>0.577</v>
      </c>
      <c r="G18" s="25">
        <f>Budget!S178 -Budget!R178  </f>
        <v>0.3264632178</v>
      </c>
      <c r="H18" s="27">
        <f>Budget!R178</f>
        <v>0.405</v>
      </c>
      <c r="I18" s="26">
        <f>Config!E17</f>
        <v>5500</v>
      </c>
      <c r="J18" s="26">
        <f>Config!E17</f>
        <v>5500</v>
      </c>
      <c r="K18" s="77">
        <f>Config!N17</f>
        <v>1650</v>
      </c>
      <c r="L18" s="25">
        <f>Budget!G19</f>
        <v>0.4</v>
      </c>
      <c r="M18" s="25">
        <f>Budget!H19</f>
        <v>0.3</v>
      </c>
      <c r="N18" s="27">
        <f>Budget!J19</f>
        <v>0.2</v>
      </c>
      <c r="O18" s="30" t="str">
        <f>Config!O17</f>
        <v>B3, dry mass = est + 15%, thrust iteration for exit velocity</v>
      </c>
      <c r="Q18" s="31"/>
      <c r="R18" s="53" t="str">
        <f>Config!C17</f>
        <v>2026_C_PR_B3_CONFIG14</v>
      </c>
      <c r="S18" s="219"/>
      <c r="T18" s="219"/>
      <c r="U18" s="219"/>
      <c r="V18" s="221" t="str">
        <f>Config!O17</f>
        <v>B3, dry mass = est + 15%, thrust iteration for exit velocity</v>
      </c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</row>
    <row r="19">
      <c r="B19" s="31"/>
      <c r="C19" s="32" t="s">
        <v>33</v>
      </c>
      <c r="D19" s="27">
        <f>Budget!F73</f>
        <v>5.21037</v>
      </c>
      <c r="E19" s="25">
        <f>Budget!S126 - Budget!M126 - Budget!N126 - Budget!R126</f>
        <v>0.6768155963</v>
      </c>
      <c r="F19" s="217">
        <f>Budget!R126</f>
        <v>0.577</v>
      </c>
      <c r="G19" s="25">
        <f>Budget!S179 -Budget!R179  </f>
        <v>0.3561416922</v>
      </c>
      <c r="H19" s="27">
        <f>Budget!R179</f>
        <v>0.405</v>
      </c>
      <c r="I19" s="26">
        <f>Config!E18</f>
        <v>6000</v>
      </c>
      <c r="J19" s="26">
        <f>Config!E18</f>
        <v>6000</v>
      </c>
      <c r="K19" s="77">
        <f>Config!N18</f>
        <v>1800</v>
      </c>
      <c r="L19" s="25">
        <f>Budget!G20</f>
        <v>0.4</v>
      </c>
      <c r="M19" s="25">
        <f>Budget!H20</f>
        <v>0.3</v>
      </c>
      <c r="N19" s="27">
        <f>Budget!J20</f>
        <v>0.2</v>
      </c>
      <c r="O19" s="30" t="str">
        <f>Config!O18</f>
        <v>B3, dry mass = est + 15%, thrust iteration for exit velocity</v>
      </c>
      <c r="Q19" s="31"/>
      <c r="R19" s="53" t="str">
        <f>Config!C18</f>
        <v>2026_C_PR_B3_CONFIG15</v>
      </c>
      <c r="S19" s="218"/>
      <c r="T19" s="218"/>
      <c r="U19" s="220"/>
      <c r="V19" s="221" t="str">
        <f>Config!O18</f>
        <v>B3, dry mass = est + 15%, thrust iteration for exit velocity</v>
      </c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</row>
    <row r="20">
      <c r="B20" s="31"/>
      <c r="C20" s="32" t="s">
        <v>34</v>
      </c>
      <c r="D20" s="27">
        <f>Budget!F74</f>
        <v>5.21037</v>
      </c>
      <c r="E20" s="25">
        <f>Budget!S127 - Budget!M127 - Budget!N127 - Budget!R127</f>
        <v>0.715041896</v>
      </c>
      <c r="F20" s="217">
        <f>Budget!R127</f>
        <v>0.577</v>
      </c>
      <c r="G20" s="25">
        <f>Budget!S180 -Budget!R180  </f>
        <v>0.3858201665</v>
      </c>
      <c r="H20" s="27">
        <f>Budget!R180</f>
        <v>0.405</v>
      </c>
      <c r="I20" s="26">
        <f>Config!E19</f>
        <v>6500</v>
      </c>
      <c r="J20" s="26">
        <f>Config!E19</f>
        <v>6500</v>
      </c>
      <c r="K20" s="77">
        <f>Config!N19</f>
        <v>1950</v>
      </c>
      <c r="L20" s="25">
        <f>Budget!G21</f>
        <v>0.4</v>
      </c>
      <c r="M20" s="25">
        <f>Budget!H21</f>
        <v>0.3</v>
      </c>
      <c r="N20" s="27">
        <f>Budget!J21</f>
        <v>0.2</v>
      </c>
      <c r="O20" s="30" t="str">
        <f>Config!O19</f>
        <v>B3, dry mass = est + 15%, thrust iteration for exit velocity</v>
      </c>
      <c r="Q20" s="31"/>
      <c r="R20" s="53" t="str">
        <f>Config!C19</f>
        <v>2026_C_PR_B3_CONFIG16</v>
      </c>
      <c r="S20" s="219"/>
      <c r="T20" s="218"/>
      <c r="U20" s="220"/>
      <c r="V20" s="221" t="str">
        <f>Config!O19</f>
        <v>B3, dry mass = est + 15%, thrust iteration for exit velocity</v>
      </c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</row>
    <row r="21">
      <c r="B21" s="31"/>
      <c r="C21" s="32" t="s">
        <v>35</v>
      </c>
      <c r="D21" s="27">
        <f>Budget!F75</f>
        <v>5.21037</v>
      </c>
      <c r="E21" s="25">
        <f>Budget!S128 - Budget!M128 - Budget!N128 - Budget!R128</f>
        <v>0.7532681957</v>
      </c>
      <c r="F21" s="217">
        <f>Budget!R128</f>
        <v>0.577</v>
      </c>
      <c r="G21" s="25">
        <f>Budget!S181 -Budget!R181  </f>
        <v>0.4154986408</v>
      </c>
      <c r="H21" s="27">
        <f>Budget!R181</f>
        <v>0.405</v>
      </c>
      <c r="I21" s="26">
        <f>Config!E20</f>
        <v>7000</v>
      </c>
      <c r="J21" s="26">
        <f>Config!E20</f>
        <v>7000</v>
      </c>
      <c r="K21" s="77">
        <f>Config!N20</f>
        <v>2100</v>
      </c>
      <c r="L21" s="25">
        <f>Budget!G22</f>
        <v>0.4</v>
      </c>
      <c r="M21" s="25">
        <f>Budget!H22</f>
        <v>0.3</v>
      </c>
      <c r="N21" s="27">
        <f>Budget!J22</f>
        <v>0.2</v>
      </c>
      <c r="O21" s="30" t="str">
        <f>Config!O20</f>
        <v>B3, dry mass = est + 15%, thrust iteration for exit velocity</v>
      </c>
      <c r="Q21" s="31"/>
      <c r="R21" s="53" t="str">
        <f>Config!C20</f>
        <v>2026_C_PR_B3_CONFIG17</v>
      </c>
      <c r="S21" s="218"/>
      <c r="T21" s="218"/>
      <c r="U21" s="220"/>
      <c r="V21" s="221" t="str">
        <f>Config!O20</f>
        <v>B3, dry mass = est + 15%, thrust iteration for exit velocity</v>
      </c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</row>
    <row r="22">
      <c r="B22" s="31"/>
      <c r="C22" s="40" t="s">
        <v>36</v>
      </c>
      <c r="D22" s="27">
        <f>Budget!F76</f>
        <v>5.21037</v>
      </c>
      <c r="E22" s="25">
        <f>Budget!S129 - Budget!M129 - Budget!N129 - Budget!R129</f>
        <v>9.965806422</v>
      </c>
      <c r="F22" s="217">
        <f>Budget!R129</f>
        <v>0.577</v>
      </c>
      <c r="G22" s="25">
        <f>Budget!S182 -Budget!R182  </f>
        <v>7.020100663</v>
      </c>
      <c r="H22" s="27">
        <f>Budget!R182</f>
        <v>0.405</v>
      </c>
      <c r="I22" s="26">
        <f>Config!E21</f>
        <v>7500</v>
      </c>
      <c r="J22" s="26">
        <f>Config!E21</f>
        <v>7500</v>
      </c>
      <c r="K22" s="77">
        <f>Config!N21</f>
        <v>38250</v>
      </c>
      <c r="L22" s="25">
        <f>Budget!G23</f>
        <v>0.4</v>
      </c>
      <c r="M22" s="25">
        <f>Budget!H23</f>
        <v>5.1</v>
      </c>
      <c r="N22" s="27">
        <f>Budget!J23</f>
        <v>0.2</v>
      </c>
      <c r="O22" s="41" t="str">
        <f>Config!O21</f>
        <v>B3, dry mass = est + 15%, thrust iteration for exit velocity</v>
      </c>
      <c r="Q22" s="31"/>
      <c r="R22" s="222" t="str">
        <f>Config!C21</f>
        <v>2026_C_PR_B3_CONFIG18</v>
      </c>
      <c r="S22" s="234">
        <v>2740.0</v>
      </c>
      <c r="T22" s="234">
        <v>3.688</v>
      </c>
      <c r="U22" s="224">
        <v>31.696</v>
      </c>
      <c r="V22" s="226" t="str">
        <f>Config!O21</f>
        <v>B3, dry mass = est + 15%, thrust iteration for exit velocity</v>
      </c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</row>
    <row r="23">
      <c r="B23" s="31"/>
      <c r="C23" s="40" t="s">
        <v>37</v>
      </c>
      <c r="D23" s="27">
        <f>Budget!F77</f>
        <v>5.21037</v>
      </c>
      <c r="E23" s="25">
        <f>Budget!S130 - Budget!M130 - Budget!N130 - Budget!R130</f>
        <v>10.00403272</v>
      </c>
      <c r="F23" s="217">
        <f>Budget!R130</f>
        <v>0.577</v>
      </c>
      <c r="G23" s="25">
        <f>Budget!S183 -Budget!R183  </f>
        <v>7.049779137</v>
      </c>
      <c r="H23" s="27">
        <f>Budget!R183</f>
        <v>0.405</v>
      </c>
      <c r="I23" s="26">
        <f>Config!E22</f>
        <v>8000</v>
      </c>
      <c r="J23" s="26">
        <f>Config!E22</f>
        <v>8000</v>
      </c>
      <c r="K23" s="77">
        <f>Config!N22</f>
        <v>38400</v>
      </c>
      <c r="L23" s="25">
        <f>Budget!G24</f>
        <v>0.4</v>
      </c>
      <c r="M23" s="25">
        <f>Budget!H24</f>
        <v>4.8</v>
      </c>
      <c r="N23" s="27">
        <f>Budget!J24</f>
        <v>0.2</v>
      </c>
      <c r="O23" s="41" t="str">
        <f>Config!O22</f>
        <v>B3, dry mass = est + 15%, thrust iteration for exit velocity</v>
      </c>
      <c r="Q23" s="31"/>
      <c r="R23" s="222" t="str">
        <f>Config!C22</f>
        <v>2026_C_PR_B3_CONFIG19</v>
      </c>
      <c r="S23" s="223">
        <v>2777.0</v>
      </c>
      <c r="T23" s="234">
        <v>3.666</v>
      </c>
      <c r="U23" s="229">
        <v>32.817</v>
      </c>
      <c r="V23" s="226" t="str">
        <f>Config!O22</f>
        <v>B3, dry mass = est + 15%, thrust iteration for exit velocity</v>
      </c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</row>
    <row r="24">
      <c r="B24" s="31"/>
      <c r="C24" s="32" t="s">
        <v>38</v>
      </c>
      <c r="D24" s="27">
        <f>Budget!F78</f>
        <v>5.21037</v>
      </c>
      <c r="E24" s="25">
        <f>Budget!S131 - Budget!M131 - Budget!N131 - Budget!R131</f>
        <v>0.2181764526</v>
      </c>
      <c r="F24" s="217">
        <f>Budget!R131</f>
        <v>0.577</v>
      </c>
      <c r="G24" s="25">
        <f>Budget!S184 -Budget!R184  </f>
        <v>0.00005935694869</v>
      </c>
      <c r="H24" s="27">
        <f>Budget!R184</f>
        <v>0.405</v>
      </c>
      <c r="I24" s="26">
        <f>Config!E23</f>
        <v>1</v>
      </c>
      <c r="J24" s="26">
        <f>Config!E23</f>
        <v>1</v>
      </c>
      <c r="K24" s="77">
        <f>Config!N23</f>
        <v>0.3</v>
      </c>
      <c r="L24" s="25">
        <f>Budget!G25</f>
        <v>0.4</v>
      </c>
      <c r="M24" s="25">
        <f>Budget!H25</f>
        <v>0.3</v>
      </c>
      <c r="N24" s="27">
        <f>Budget!J25</f>
        <v>0.2</v>
      </c>
      <c r="O24" s="30" t="str">
        <f>Config!O23</f>
        <v>B3, dry mass = est + 15%, thrust iteration for exit velocity</v>
      </c>
      <c r="Q24" s="31"/>
      <c r="R24" s="53" t="str">
        <f>Config!C23</f>
        <v>2026_C_PR_B3_CONFIG20</v>
      </c>
      <c r="S24" s="218"/>
      <c r="T24" s="218"/>
      <c r="U24" s="220"/>
      <c r="V24" s="221" t="str">
        <f>Config!O23</f>
        <v>B3, dry mass = est + 15%, thrust iteration for exit velocity</v>
      </c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</row>
    <row r="25">
      <c r="B25" s="31"/>
      <c r="C25" s="32" t="s">
        <v>39</v>
      </c>
      <c r="D25" s="27">
        <f>Budget!F79</f>
        <v>5.21037</v>
      </c>
      <c r="E25" s="25">
        <f>Budget!S132 - Budget!M132 - Budget!N132 - Budget!R132</f>
        <v>0.2181764526</v>
      </c>
      <c r="F25" s="217">
        <f>Budget!R132</f>
        <v>0.577</v>
      </c>
      <c r="G25" s="25">
        <f>Budget!S185 -Budget!R185  </f>
        <v>0.00005935694869</v>
      </c>
      <c r="H25" s="27">
        <f>Budget!R185</f>
        <v>0.405</v>
      </c>
      <c r="I25" s="26">
        <f>Config!E24</f>
        <v>1</v>
      </c>
      <c r="J25" s="26">
        <f>Config!E24</f>
        <v>1</v>
      </c>
      <c r="K25" s="77">
        <f>Config!N24</f>
        <v>0.3</v>
      </c>
      <c r="L25" s="25">
        <f>Budget!G26</f>
        <v>0.4</v>
      </c>
      <c r="M25" s="25">
        <f>Budget!H26</f>
        <v>0.3</v>
      </c>
      <c r="N25" s="27">
        <f>Budget!J26</f>
        <v>0.2</v>
      </c>
      <c r="O25" s="30" t="str">
        <f>Config!O24</f>
        <v>B3, dry mass = est + 15%, thrust iteration for exit velocity</v>
      </c>
      <c r="Q25" s="31"/>
      <c r="R25" s="53" t="str">
        <f>Config!C24</f>
        <v>2026_C_PR_B3_CONFIG21</v>
      </c>
      <c r="S25" s="219"/>
      <c r="T25" s="218"/>
      <c r="U25" s="220"/>
      <c r="V25" s="221" t="str">
        <f>Config!O24</f>
        <v>B3, dry mass = est + 15%, thrust iteration for exit velocity</v>
      </c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</row>
    <row r="26">
      <c r="B26" s="31"/>
      <c r="C26" s="32" t="s">
        <v>40</v>
      </c>
      <c r="D26" s="27">
        <f>Budget!F80</f>
        <v>5.21037</v>
      </c>
      <c r="E26" s="25">
        <f>Budget!S133 - Budget!M133 - Budget!N133 - Budget!R133</f>
        <v>0.2181764526</v>
      </c>
      <c r="F26" s="217">
        <f>Budget!R133</f>
        <v>0.577</v>
      </c>
      <c r="G26" s="25">
        <f>Budget!S186 -Budget!R186  </f>
        <v>0.00005935694869</v>
      </c>
      <c r="H26" s="27">
        <f>Budget!R186</f>
        <v>0.405</v>
      </c>
      <c r="I26" s="26">
        <f>Config!E25</f>
        <v>1</v>
      </c>
      <c r="J26" s="26">
        <f>Config!E25</f>
        <v>1</v>
      </c>
      <c r="K26" s="77">
        <f>Config!N25</f>
        <v>0.3</v>
      </c>
      <c r="L26" s="25">
        <f>Budget!G27</f>
        <v>0.4</v>
      </c>
      <c r="M26" s="25">
        <f>Budget!H27</f>
        <v>0.3</v>
      </c>
      <c r="N26" s="27">
        <f>Budget!J27</f>
        <v>0.2</v>
      </c>
      <c r="O26" s="30" t="str">
        <f>Config!O25</f>
        <v>B3, dry mass = est + 15%, thrust iteration for exit velocity</v>
      </c>
      <c r="Q26" s="31"/>
      <c r="R26" s="53" t="str">
        <f>Config!C25</f>
        <v>2026_C_PR_B3_CONFIG22</v>
      </c>
      <c r="S26" s="218"/>
      <c r="T26" s="218"/>
      <c r="U26" s="220"/>
      <c r="V26" s="221" t="str">
        <f>Config!O25</f>
        <v>B3, dry mass = est + 15%, thrust iteration for exit velocity</v>
      </c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</row>
    <row r="27">
      <c r="B27" s="31"/>
      <c r="C27" s="32" t="s">
        <v>41</v>
      </c>
      <c r="D27" s="27">
        <f>Budget!F81</f>
        <v>5.21037</v>
      </c>
      <c r="E27" s="25">
        <f>Budget!S134 - Budget!M134 - Budget!N134 - Budget!R134</f>
        <v>0.2181764526</v>
      </c>
      <c r="F27" s="217">
        <f>Budget!R134</f>
        <v>0.577</v>
      </c>
      <c r="G27" s="25">
        <f>Budget!S187 -Budget!R187  </f>
        <v>0.00005935694869</v>
      </c>
      <c r="H27" s="27">
        <f>Budget!R187</f>
        <v>0.405</v>
      </c>
      <c r="I27" s="26">
        <f>Config!E26</f>
        <v>1</v>
      </c>
      <c r="J27" s="26">
        <f>Config!E26</f>
        <v>1</v>
      </c>
      <c r="K27" s="77">
        <f>Config!N26</f>
        <v>0.3</v>
      </c>
      <c r="L27" s="25">
        <f>Budget!G28</f>
        <v>0.4</v>
      </c>
      <c r="M27" s="25">
        <f>Budget!H28</f>
        <v>0.3</v>
      </c>
      <c r="N27" s="27">
        <f>Budget!J28</f>
        <v>0.2</v>
      </c>
      <c r="O27" s="30" t="str">
        <f>Config!O26</f>
        <v>B3, dry mass = est + 15%, thrust iteration for exit velocity</v>
      </c>
      <c r="Q27" s="31"/>
      <c r="R27" s="53" t="str">
        <f>Config!C26</f>
        <v>2026_C_PR_B3_CONFIG23</v>
      </c>
      <c r="S27" s="219"/>
      <c r="T27" s="218"/>
      <c r="U27" s="220"/>
      <c r="V27" s="221" t="str">
        <f>Config!O26</f>
        <v>B3, dry mass = est + 15%, thrust iteration for exit velocity</v>
      </c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</row>
    <row r="28">
      <c r="B28" s="35"/>
      <c r="C28" s="36" t="s">
        <v>42</v>
      </c>
      <c r="D28" s="18">
        <f>Budget!F82</f>
        <v>5.21037</v>
      </c>
      <c r="E28" s="17">
        <f>Budget!S135 - Budget!M135 - Budget!N135 - Budget!R135</f>
        <v>0.2181764526</v>
      </c>
      <c r="F28" s="230">
        <f>Budget!R135</f>
        <v>0.577</v>
      </c>
      <c r="G28" s="17">
        <f>Budget!S188 -Budget!R188  </f>
        <v>0.00005935694869</v>
      </c>
      <c r="H28" s="18">
        <f>Budget!R188</f>
        <v>0.405</v>
      </c>
      <c r="I28" s="38">
        <f>Config!E27</f>
        <v>1</v>
      </c>
      <c r="J28" s="38">
        <f>Config!E27</f>
        <v>1</v>
      </c>
      <c r="K28" s="231">
        <f>Config!N27</f>
        <v>0.3</v>
      </c>
      <c r="L28" s="17">
        <f>Budget!G29</f>
        <v>0.4</v>
      </c>
      <c r="M28" s="17">
        <f>Budget!H29</f>
        <v>0.3</v>
      </c>
      <c r="N28" s="18">
        <f>Budget!J29</f>
        <v>0.2</v>
      </c>
      <c r="O28" s="20" t="str">
        <f>Config!O27</f>
        <v>B3, dry mass = est + 15%, thrust iteration for exit velocity</v>
      </c>
      <c r="Q28" s="35"/>
      <c r="R28" s="54" t="str">
        <f>Config!C27</f>
        <v>2026_C_PR_B3_CONFIG24</v>
      </c>
      <c r="S28" s="235"/>
      <c r="T28" s="232"/>
      <c r="U28" s="233"/>
      <c r="V28" s="216" t="str">
        <f>Config!O27</f>
        <v>B3, dry mass = est + 15%, thrust iteration for exit velocity</v>
      </c>
      <c r="W28" s="196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</row>
    <row r="29">
      <c r="B29" s="21" t="s">
        <v>43</v>
      </c>
      <c r="C29" s="40" t="s">
        <v>44</v>
      </c>
      <c r="D29" s="27">
        <f>Budget!F83</f>
        <v>5.21037</v>
      </c>
      <c r="E29" s="25">
        <f>Budget!S136 - Budget!M136 - Budget!N136 - Budget!R136</f>
        <v>9.672738124</v>
      </c>
      <c r="F29" s="217">
        <f>Budget!R136</f>
        <v>0.577</v>
      </c>
      <c r="G29" s="25">
        <f>Budget!S189 -Budget!R189  </f>
        <v>6.807785423</v>
      </c>
      <c r="H29" s="27">
        <f>Budget!R189</f>
        <v>0.405</v>
      </c>
      <c r="I29" s="26">
        <f>Config!E28</f>
        <v>7000</v>
      </c>
      <c r="J29" s="26">
        <f>Config!E28</f>
        <v>7000</v>
      </c>
      <c r="K29" s="77">
        <f>Config!N28</f>
        <v>37100</v>
      </c>
      <c r="L29" s="25">
        <f>Budget!G30</f>
        <v>0.4</v>
      </c>
      <c r="M29" s="25">
        <f>Budget!H30</f>
        <v>5.3</v>
      </c>
      <c r="N29" s="27">
        <f>Budget!J30</f>
        <v>0.2</v>
      </c>
      <c r="O29" s="41" t="str">
        <f>Config!O28</f>
        <v>B3, dry mass = est, impulse iteration for apogee</v>
      </c>
      <c r="Q29" s="21" t="s">
        <v>43</v>
      </c>
      <c r="R29" s="222" t="str">
        <f>Config!C28</f>
        <v>2026_C_PR_B3_CONFIG25</v>
      </c>
      <c r="S29" s="234">
        <v>3008.0</v>
      </c>
      <c r="T29" s="234">
        <v>3.622</v>
      </c>
      <c r="U29" s="225">
        <v>32.087</v>
      </c>
      <c r="V29" s="226" t="str">
        <f>Config!O28</f>
        <v>B3, dry mass = est, impulse iteration for apogee</v>
      </c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</row>
    <row r="30">
      <c r="B30" s="31"/>
      <c r="C30" s="40" t="s">
        <v>46</v>
      </c>
      <c r="D30" s="27">
        <f>Budget!F84</f>
        <v>5.21037</v>
      </c>
      <c r="E30" s="25">
        <f>Budget!S137 - Budget!M137 - Budget!N137 - Budget!R137</f>
        <v>10.30984312</v>
      </c>
      <c r="F30" s="217">
        <f>Budget!R137</f>
        <v>0.577</v>
      </c>
      <c r="G30" s="25">
        <f>Budget!S190 -Budget!R190  </f>
        <v>7.264377336</v>
      </c>
      <c r="H30" s="27">
        <f>Budget!R190</f>
        <v>0.405</v>
      </c>
      <c r="I30" s="26">
        <f>Config!E29</f>
        <v>7000</v>
      </c>
      <c r="J30" s="26">
        <f>Config!E29</f>
        <v>7000</v>
      </c>
      <c r="K30" s="77">
        <f>Config!N29</f>
        <v>39600</v>
      </c>
      <c r="L30" s="25">
        <f>Budget!G31</f>
        <v>0.4</v>
      </c>
      <c r="M30" s="25">
        <f>Budget!H31</f>
        <v>5.657142857</v>
      </c>
      <c r="N30" s="27">
        <f>Budget!J31</f>
        <v>0.2</v>
      </c>
      <c r="O30" s="41" t="str">
        <f>Config!O29</f>
        <v>B3, dry mass = est, impulse iteration for apogee</v>
      </c>
      <c r="Q30" s="31"/>
      <c r="R30" s="222" t="str">
        <f>Config!C29</f>
        <v>2026_C_PR_B3_CONFIG26</v>
      </c>
      <c r="S30" s="234">
        <v>3315.0</v>
      </c>
      <c r="T30" s="234">
        <v>3.596</v>
      </c>
      <c r="U30" s="225">
        <v>31.929</v>
      </c>
      <c r="V30" s="226" t="str">
        <f>Config!O29</f>
        <v>B3, dry mass = est, impulse iteration for apogee</v>
      </c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</row>
    <row r="31">
      <c r="B31" s="31"/>
      <c r="C31" s="40" t="s">
        <v>47</v>
      </c>
      <c r="D31" s="27">
        <f>Budget!F85</f>
        <v>5.21037</v>
      </c>
      <c r="E31" s="25">
        <f>Budget!S138 - Budget!M138 - Budget!N138 - Budget!R138</f>
        <v>9.927580122</v>
      </c>
      <c r="F31" s="217">
        <f>Budget!R138</f>
        <v>0.577</v>
      </c>
      <c r="G31" s="25">
        <f>Budget!S191 -Budget!R191  </f>
        <v>6.990422188</v>
      </c>
      <c r="H31" s="27">
        <f>Budget!R191</f>
        <v>0.405</v>
      </c>
      <c r="I31" s="26">
        <f>Config!E30</f>
        <v>7000</v>
      </c>
      <c r="J31" s="26">
        <f>Config!E30</f>
        <v>7000</v>
      </c>
      <c r="K31" s="77">
        <f>Config!N30</f>
        <v>38100</v>
      </c>
      <c r="L31" s="25">
        <f>Budget!G32</f>
        <v>0.4</v>
      </c>
      <c r="M31" s="25">
        <f>Budget!H32</f>
        <v>5.442857143</v>
      </c>
      <c r="N31" s="27">
        <f>Budget!J32</f>
        <v>0.2</v>
      </c>
      <c r="O31" s="41" t="str">
        <f>Config!O30</f>
        <v>B3, dry mass = est, impulse iteration for apogee</v>
      </c>
      <c r="Q31" s="31"/>
      <c r="R31" s="222" t="str">
        <f>Config!C30</f>
        <v>2026_C_PR_B3_CONFIG27</v>
      </c>
      <c r="S31" s="234">
        <v>3129.0</v>
      </c>
      <c r="T31" s="234">
        <v>3.612</v>
      </c>
      <c r="U31" s="225">
        <v>32.016</v>
      </c>
      <c r="V31" s="226" t="str">
        <f>Config!O30</f>
        <v>B3, dry mass = est, impulse iteration for apogee</v>
      </c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</row>
    <row r="32">
      <c r="B32" s="31"/>
      <c r="C32" s="40" t="s">
        <v>48</v>
      </c>
      <c r="D32" s="27">
        <f>Budget!F86</f>
        <v>5.21037</v>
      </c>
      <c r="E32" s="25">
        <f>Budget!S139 - Budget!M139 - Budget!N139 - Budget!R139</f>
        <v>10.05500112</v>
      </c>
      <c r="F32" s="217">
        <f>Budget!R139</f>
        <v>0.577</v>
      </c>
      <c r="G32" s="25">
        <f>Budget!S192 -Budget!R192  </f>
        <v>7.081740571</v>
      </c>
      <c r="H32" s="27">
        <f>Budget!R192</f>
        <v>0.405</v>
      </c>
      <c r="I32" s="26">
        <f>Config!E31</f>
        <v>7000</v>
      </c>
      <c r="J32" s="26">
        <f>Config!E31</f>
        <v>7000</v>
      </c>
      <c r="K32" s="77">
        <f>Config!N31</f>
        <v>38600</v>
      </c>
      <c r="L32" s="25">
        <f>Budget!G33</f>
        <v>0.4</v>
      </c>
      <c r="M32" s="25">
        <f>Budget!H33</f>
        <v>5.514285714</v>
      </c>
      <c r="N32" s="27">
        <f>Budget!J33</f>
        <v>0.2</v>
      </c>
      <c r="O32" s="41" t="str">
        <f>Config!O31</f>
        <v>B3, dry mass = est, impulse iteration for apogee</v>
      </c>
      <c r="Q32" s="31"/>
      <c r="R32" s="222" t="str">
        <f>Config!C31</f>
        <v>2026_C_PR_B3_CONFIG28</v>
      </c>
      <c r="S32" s="234">
        <v>3190.0</v>
      </c>
      <c r="T32" s="234">
        <v>3.606</v>
      </c>
      <c r="U32" s="225">
        <v>31.991</v>
      </c>
      <c r="V32" s="226" t="str">
        <f>Config!O31</f>
        <v>B3, dry mass = est, impulse iteration for apogee</v>
      </c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</row>
    <row r="33">
      <c r="B33" s="31"/>
      <c r="C33" s="42" t="s">
        <v>49</v>
      </c>
      <c r="D33" s="47">
        <f>Budget!F87</f>
        <v>5.21037</v>
      </c>
      <c r="E33" s="45">
        <f>Budget!S140 - Budget!M140 - Budget!N140 - Budget!R140</f>
        <v>10.11871162</v>
      </c>
      <c r="F33" s="236">
        <f>Budget!R140</f>
        <v>0.577</v>
      </c>
      <c r="G33" s="45">
        <f>Budget!S193 -Budget!R193  </f>
        <v>7.127399762</v>
      </c>
      <c r="H33" s="47">
        <f>Budget!R193</f>
        <v>0.405</v>
      </c>
      <c r="I33" s="46">
        <f>Config!E32</f>
        <v>7000</v>
      </c>
      <c r="J33" s="46">
        <f>Config!E32</f>
        <v>7000</v>
      </c>
      <c r="K33" s="98">
        <f>Config!N32</f>
        <v>38850</v>
      </c>
      <c r="L33" s="45">
        <f>Budget!G34</f>
        <v>0.4</v>
      </c>
      <c r="M33" s="45">
        <f>Budget!H34</f>
        <v>5.55</v>
      </c>
      <c r="N33" s="47">
        <f>Budget!J34</f>
        <v>0.2</v>
      </c>
      <c r="O33" s="50" t="str">
        <f>Config!O32</f>
        <v>B3, dry mass = est, impulse iteration for apogee</v>
      </c>
      <c r="Q33" s="31"/>
      <c r="R33" s="97" t="str">
        <f>Config!C32</f>
        <v>2026_C_PR_B3_CONFIG29</v>
      </c>
      <c r="S33" s="237">
        <v>3220.0</v>
      </c>
      <c r="T33" s="238">
        <v>3.604</v>
      </c>
      <c r="U33" s="229">
        <v>31.975</v>
      </c>
      <c r="V33" s="239" t="str">
        <f>Config!O32</f>
        <v>B3, dry mass = est, impulse iteration for apogee</v>
      </c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</row>
    <row r="34">
      <c r="B34" s="35"/>
      <c r="C34" s="36" t="s">
        <v>50</v>
      </c>
      <c r="D34" s="18">
        <f>Budget!F88</f>
        <v>5.21037</v>
      </c>
      <c r="E34" s="17">
        <f>Budget!S141 - Budget!M141 - Budget!N141 - Budget!R141</f>
        <v>0.2184312946</v>
      </c>
      <c r="F34" s="230">
        <f>Budget!R141</f>
        <v>0.577</v>
      </c>
      <c r="G34" s="17">
        <f>Budget!S194 -Budget!R194  </f>
        <v>0.0002419937139</v>
      </c>
      <c r="H34" s="18">
        <f>Budget!R194</f>
        <v>0.405</v>
      </c>
      <c r="I34" s="38">
        <f>Config!E33</f>
        <v>1</v>
      </c>
      <c r="J34" s="38">
        <f>Config!E33</f>
        <v>1</v>
      </c>
      <c r="K34" s="231">
        <f>Config!N33</f>
        <v>1.3</v>
      </c>
      <c r="L34" s="17">
        <f>Budget!G35</f>
        <v>0.4</v>
      </c>
      <c r="M34" s="17">
        <f>Budget!H35</f>
        <v>1.3</v>
      </c>
      <c r="N34" s="18">
        <f>Budget!J35</f>
        <v>0.2</v>
      </c>
      <c r="O34" s="20" t="str">
        <f>Config!O33</f>
        <v>B3, dry mass = est, impulse iteration for apogee</v>
      </c>
      <c r="Q34" s="35"/>
      <c r="R34" s="54" t="str">
        <f>Config!C33</f>
        <v>2026_C_PR_B3_CONFIG30</v>
      </c>
      <c r="S34" s="235"/>
      <c r="T34" s="235"/>
      <c r="U34" s="233"/>
      <c r="V34" s="216" t="str">
        <f>Config!O33</f>
        <v>B3, dry mass = est, impulse iteration for apogee</v>
      </c>
      <c r="W34" s="196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</row>
    <row r="35">
      <c r="B35" s="21" t="s">
        <v>51</v>
      </c>
      <c r="C35" s="40" t="s">
        <v>52</v>
      </c>
      <c r="D35" s="27">
        <f>Budget!F89</f>
        <v>5.21037</v>
      </c>
      <c r="E35" s="25">
        <f>Budget!S142 - Budget!M142 - Budget!N142 - Budget!R142</f>
        <v>10.25887472</v>
      </c>
      <c r="F35" s="217">
        <f>Budget!R142</f>
        <v>0.577</v>
      </c>
      <c r="G35" s="25">
        <f>Budget!S195 -Budget!R195  </f>
        <v>7.232415902</v>
      </c>
      <c r="H35" s="27">
        <f>Budget!R195</f>
        <v>0.405</v>
      </c>
      <c r="I35" s="26">
        <f>Config!E34</f>
        <v>8000</v>
      </c>
      <c r="J35" s="26">
        <f>Config!E34</f>
        <v>8000</v>
      </c>
      <c r="K35" s="77">
        <f>Config!N34</f>
        <v>39400</v>
      </c>
      <c r="L35" s="25">
        <f>Budget!G36</f>
        <v>0.4</v>
      </c>
      <c r="M35" s="25">
        <f>Budget!H36</f>
        <v>4.925</v>
      </c>
      <c r="N35" s="27">
        <f>Budget!J36</f>
        <v>0.2</v>
      </c>
      <c r="O35" s="41" t="str">
        <f>Config!O34</f>
        <v>B3, dry mass = est + 15%, impulse iteration for apogee</v>
      </c>
      <c r="Q35" s="21" t="s">
        <v>51</v>
      </c>
      <c r="R35" s="222" t="str">
        <f>Config!C34</f>
        <v>2026_C_PR_B3_CONFIG31</v>
      </c>
      <c r="S35" s="238">
        <v>3192.0</v>
      </c>
      <c r="T35" s="238">
        <v>3.655</v>
      </c>
      <c r="U35" s="229">
        <v>32.743</v>
      </c>
      <c r="V35" s="226" t="str">
        <f>Config!O34</f>
        <v>B3, dry mass = est + 15%, impulse iteration for apogee</v>
      </c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</row>
    <row r="36">
      <c r="B36" s="31"/>
      <c r="C36" s="40" t="s">
        <v>54</v>
      </c>
      <c r="D36" s="27">
        <f>Budget!F90</f>
        <v>5.21037</v>
      </c>
      <c r="E36" s="25">
        <f>Budget!S143 - Budget!M143 - Budget!N143 - Budget!R143</f>
        <v>10.38629572</v>
      </c>
      <c r="F36" s="217">
        <f>Budget!R143</f>
        <v>0.577</v>
      </c>
      <c r="G36" s="25">
        <f>Budget!S196 -Budget!R196  </f>
        <v>7.323734285</v>
      </c>
      <c r="H36" s="27">
        <f>Budget!R196</f>
        <v>0.405</v>
      </c>
      <c r="I36" s="26">
        <f>Config!E35</f>
        <v>8000</v>
      </c>
      <c r="J36" s="26">
        <f>Config!E35</f>
        <v>8000</v>
      </c>
      <c r="K36" s="77">
        <f>Config!N35</f>
        <v>39900</v>
      </c>
      <c r="L36" s="25">
        <f>Budget!G37</f>
        <v>0.4</v>
      </c>
      <c r="M36" s="25">
        <f>Budget!H37</f>
        <v>4.9875</v>
      </c>
      <c r="N36" s="27">
        <f>Budget!J37</f>
        <v>0.2</v>
      </c>
      <c r="O36" s="41" t="str">
        <f>Config!O35</f>
        <v>B3, dry mass = est + 15%, impulse iteration for apogee</v>
      </c>
      <c r="Q36" s="31"/>
      <c r="R36" s="222" t="str">
        <f>Config!C35</f>
        <v>2026_C_PR_B3_CONFIG32</v>
      </c>
      <c r="S36" s="238">
        <v>3253.0</v>
      </c>
      <c r="T36" s="238">
        <v>3.651</v>
      </c>
      <c r="U36" s="229">
        <v>32.713</v>
      </c>
      <c r="V36" s="226" t="str">
        <f>Config!O35</f>
        <v>B3, dry mass = est + 15%, impulse iteration for apogee</v>
      </c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</row>
    <row r="37">
      <c r="B37" s="31"/>
      <c r="C37" s="32" t="s">
        <v>55</v>
      </c>
      <c r="D37" s="27">
        <f>Budget!F91</f>
        <v>5.21037</v>
      </c>
      <c r="E37" s="25">
        <f>Budget!S144 - Budget!M144 - Budget!N144 - Budget!R144</f>
        <v>0.8299756371</v>
      </c>
      <c r="F37" s="217">
        <f>Budget!R144</f>
        <v>0.577</v>
      </c>
      <c r="G37" s="25">
        <f>Budget!S197 -Budget!R197  </f>
        <v>0.4750382263</v>
      </c>
      <c r="H37" s="27">
        <f>Budget!R197</f>
        <v>0.405</v>
      </c>
      <c r="I37" s="26">
        <f>Config!E36</f>
        <v>8000</v>
      </c>
      <c r="J37" s="26">
        <f>Config!E36</f>
        <v>8000</v>
      </c>
      <c r="K37" s="77">
        <f>Config!N36</f>
        <v>2401</v>
      </c>
      <c r="L37" s="25">
        <f>Budget!G38</f>
        <v>0.4</v>
      </c>
      <c r="M37" s="25">
        <f>Budget!H38</f>
        <v>0.300125</v>
      </c>
      <c r="N37" s="27">
        <f>Budget!J38</f>
        <v>0.2</v>
      </c>
      <c r="O37" s="30" t="str">
        <f>Config!O36</f>
        <v>B3, dry mass = est + 15%, impulse iteration for apogee</v>
      </c>
      <c r="Q37" s="31"/>
      <c r="R37" s="53" t="str">
        <f>Config!C36</f>
        <v>2026_C_PR_B3_CONFIG33</v>
      </c>
      <c r="S37" s="218"/>
      <c r="T37" s="218"/>
      <c r="U37" s="220"/>
      <c r="V37" s="221" t="str">
        <f>Config!O36</f>
        <v>B3, dry mass = est + 15%, impulse iteration for apogee</v>
      </c>
      <c r="W37" s="196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</row>
    <row r="38">
      <c r="B38" s="31"/>
      <c r="C38" s="32" t="s">
        <v>56</v>
      </c>
      <c r="D38" s="27">
        <f>Budget!F92</f>
        <v>5.21037</v>
      </c>
      <c r="E38" s="25">
        <f>Budget!S145 - Budget!M145 - Budget!N145 - Budget!R145</f>
        <v>0.8299756371</v>
      </c>
      <c r="F38" s="217">
        <f>Budget!R145</f>
        <v>0.577</v>
      </c>
      <c r="G38" s="25">
        <f>Budget!S198 -Budget!R198  </f>
        <v>0.4750382263</v>
      </c>
      <c r="H38" s="27">
        <f>Budget!R198</f>
        <v>0.405</v>
      </c>
      <c r="I38" s="26">
        <f>Config!E37</f>
        <v>8000</v>
      </c>
      <c r="J38" s="26">
        <f>Config!E37</f>
        <v>8000</v>
      </c>
      <c r="K38" s="77">
        <f>Config!N37</f>
        <v>2401</v>
      </c>
      <c r="L38" s="25">
        <f>Budget!G39</f>
        <v>0.4</v>
      </c>
      <c r="M38" s="25">
        <f>Budget!H39</f>
        <v>0.300125</v>
      </c>
      <c r="N38" s="27">
        <f>Budget!J39</f>
        <v>0.2</v>
      </c>
      <c r="O38" s="30" t="str">
        <f>Config!O37</f>
        <v>B3, dry mass = est + 15%, impulse iteration for apogee</v>
      </c>
      <c r="Q38" s="31"/>
      <c r="R38" s="53" t="str">
        <f>Config!C37</f>
        <v>2026_C_PR_B3_CONFIG34</v>
      </c>
      <c r="S38" s="218"/>
      <c r="T38" s="218"/>
      <c r="U38" s="220"/>
      <c r="V38" s="221" t="str">
        <f>Config!O37</f>
        <v>B3, dry mass = est + 15%, impulse iteration for apogee</v>
      </c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</row>
    <row r="39">
      <c r="B39" s="31"/>
      <c r="C39" s="32" t="s">
        <v>57</v>
      </c>
      <c r="D39" s="27">
        <f>Budget!F93</f>
        <v>5.21037</v>
      </c>
      <c r="E39" s="25">
        <f>Budget!S146 - Budget!M146 - Budget!N146 - Budget!R146</f>
        <v>0.2184312946</v>
      </c>
      <c r="F39" s="217">
        <f>Budget!R146</f>
        <v>2.67</v>
      </c>
      <c r="G39" s="25">
        <f>Budget!S199 -Budget!R199  </f>
        <v>0.1658501104</v>
      </c>
      <c r="H39" s="27">
        <f>Budget!R199</f>
        <v>0.527</v>
      </c>
      <c r="I39" s="26">
        <f>Config!E38</f>
        <v>1</v>
      </c>
      <c r="J39" s="26">
        <f>Config!E38</f>
        <v>1</v>
      </c>
      <c r="K39" s="77">
        <f>Config!N38</f>
        <v>1.3</v>
      </c>
      <c r="L39" s="25">
        <f>Budget!G40</f>
        <v>0.4</v>
      </c>
      <c r="M39" s="25">
        <f>Budget!H40</f>
        <v>1.3</v>
      </c>
      <c r="N39" s="27">
        <f>Budget!J40</f>
        <v>0.2</v>
      </c>
      <c r="O39" s="30" t="str">
        <f>Config!O38</f>
        <v>B3, dry mass = est + 15%, impulse iteration for apogee</v>
      </c>
      <c r="Q39" s="31"/>
      <c r="R39" s="53" t="str">
        <f>Config!C38</f>
        <v>2026_C_PR_B1_CONFIG35</v>
      </c>
      <c r="S39" s="218"/>
      <c r="T39" s="218"/>
      <c r="U39" s="220"/>
      <c r="V39" s="221" t="str">
        <f>Config!O38</f>
        <v>B3, dry mass = est + 15%, impulse iteration for apogee</v>
      </c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</row>
    <row r="40">
      <c r="B40" s="35"/>
      <c r="C40" s="36" t="s">
        <v>58</v>
      </c>
      <c r="D40" s="18">
        <f>Budget!F94</f>
        <v>5.21037</v>
      </c>
      <c r="E40" s="17">
        <f>Budget!S147 - Budget!M147 - Budget!N147 - Budget!R147</f>
        <v>0.2184312946</v>
      </c>
      <c r="F40" s="230">
        <f>Budget!R147</f>
        <v>2.67</v>
      </c>
      <c r="G40" s="17">
        <f>Budget!S200 -Budget!R200  </f>
        <v>0.1658501104</v>
      </c>
      <c r="H40" s="18">
        <f>Budget!R200</f>
        <v>0.527</v>
      </c>
      <c r="I40" s="38">
        <f>Config!E39</f>
        <v>1</v>
      </c>
      <c r="J40" s="38">
        <f>Config!E39</f>
        <v>1</v>
      </c>
      <c r="K40" s="231">
        <f>Config!N39</f>
        <v>1.3</v>
      </c>
      <c r="L40" s="17">
        <f>Budget!G41</f>
        <v>0.4</v>
      </c>
      <c r="M40" s="17">
        <f>Budget!H41</f>
        <v>1.3</v>
      </c>
      <c r="N40" s="18">
        <f>Budget!J41</f>
        <v>0.2</v>
      </c>
      <c r="O40" s="20" t="str">
        <f>Config!O39</f>
        <v>B3, dry mass = est + 15%, impulse iteration for apogee</v>
      </c>
      <c r="Q40" s="35"/>
      <c r="R40" s="54" t="str">
        <f>Config!C39</f>
        <v>2026_C_PR_B1_CONFIG36</v>
      </c>
      <c r="S40" s="235"/>
      <c r="T40" s="235"/>
      <c r="U40" s="233"/>
      <c r="V40" s="216" t="str">
        <f>Config!O39</f>
        <v>B3, dry mass = est + 15%, impulse iteration for apogee</v>
      </c>
      <c r="W40" s="196"/>
      <c r="X40" s="196"/>
      <c r="Y40" s="196"/>
      <c r="Z40" s="196"/>
      <c r="AA40" s="196"/>
      <c r="AB40" s="196"/>
      <c r="AC40" s="196"/>
      <c r="AD40" s="196"/>
      <c r="AE40" s="196"/>
      <c r="AF40" s="196"/>
      <c r="AG40" s="196"/>
      <c r="AH40" s="196"/>
    </row>
    <row r="41">
      <c r="B41" s="21" t="s">
        <v>59</v>
      </c>
      <c r="C41" s="42" t="s">
        <v>60</v>
      </c>
      <c r="D41" s="47">
        <f>Budget!F95</f>
        <v>5.21037</v>
      </c>
      <c r="E41" s="45">
        <f>Budget!S148 - Budget!M148 - Budget!N148 - Budget!R148</f>
        <v>12.09883394</v>
      </c>
      <c r="F41" s="236">
        <f>Budget!R148</f>
        <v>2.67</v>
      </c>
      <c r="G41" s="45">
        <f>Budget!S201 -Budget!R201  </f>
        <v>8.653042176</v>
      </c>
      <c r="H41" s="47">
        <f>Budget!R201</f>
        <v>0.527</v>
      </c>
      <c r="I41" s="46">
        <f>Config!E40</f>
        <v>7000</v>
      </c>
      <c r="J41" s="46">
        <f>Config!E40</f>
        <v>7000</v>
      </c>
      <c r="K41" s="98">
        <f>Config!N40</f>
        <v>38850</v>
      </c>
      <c r="L41" s="45">
        <f>Budget!G42</f>
        <v>0.4</v>
      </c>
      <c r="M41" s="45">
        <f>Budget!H42</f>
        <v>5.55</v>
      </c>
      <c r="N41" s="47">
        <f>Budget!J42</f>
        <v>0.2</v>
      </c>
      <c r="O41" s="50" t="str">
        <f>Config!O40</f>
        <v>B3, dry mass = est, ISP iteration</v>
      </c>
      <c r="Q41" s="21" t="s">
        <v>59</v>
      </c>
      <c r="R41" s="97" t="str">
        <f>Config!C40</f>
        <v>2026_C_PR_B1_CONFIG37</v>
      </c>
      <c r="S41" s="238">
        <v>3146.0</v>
      </c>
      <c r="T41" s="238">
        <v>3.532</v>
      </c>
      <c r="U41" s="229">
        <v>31.561</v>
      </c>
      <c r="V41" s="239" t="str">
        <f>Config!O40</f>
        <v>B3, dry mass = est, ISP iteration</v>
      </c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</row>
    <row r="42">
      <c r="B42" s="31"/>
      <c r="C42" s="40" t="s">
        <v>62</v>
      </c>
      <c r="D42" s="27">
        <f>Budget!F96</f>
        <v>5.21037</v>
      </c>
      <c r="E42" s="25">
        <f>Budget!S149 - Budget!M149 - Budget!N149 - Budget!R149</f>
        <v>11.80905995</v>
      </c>
      <c r="F42" s="217">
        <f>Budget!R149</f>
        <v>2.67</v>
      </c>
      <c r="G42" s="25">
        <f>Budget!S202 -Budget!R202  </f>
        <v>8.458989318</v>
      </c>
      <c r="H42" s="27">
        <f>Budget!R202</f>
        <v>0.527</v>
      </c>
      <c r="I42" s="26">
        <f>Config!E41</f>
        <v>7000</v>
      </c>
      <c r="J42" s="26">
        <f>Config!E41</f>
        <v>7000</v>
      </c>
      <c r="K42" s="77">
        <f>Config!N41</f>
        <v>38850</v>
      </c>
      <c r="L42" s="25">
        <f>Budget!G43</f>
        <v>0.4</v>
      </c>
      <c r="M42" s="25">
        <f>Budget!H43</f>
        <v>5.55</v>
      </c>
      <c r="N42" s="27">
        <f>Budget!J43</f>
        <v>0.2</v>
      </c>
      <c r="O42" s="41" t="str">
        <f>Config!O41</f>
        <v>B3, dry mass = est, ISP iteration</v>
      </c>
      <c r="Q42" s="31"/>
      <c r="R42" s="222" t="str">
        <f>Config!C41</f>
        <v>2026_C_PR_B1_CONFIG38</v>
      </c>
      <c r="S42" s="234">
        <v>3156.0</v>
      </c>
      <c r="T42" s="234">
        <v>3.542</v>
      </c>
      <c r="U42" s="225">
        <v>31.618</v>
      </c>
      <c r="V42" s="226" t="str">
        <f>Config!O41</f>
        <v>B3, dry mass = est, ISP iteration</v>
      </c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</row>
    <row r="43">
      <c r="B43" s="31"/>
      <c r="C43" s="40" t="s">
        <v>63</v>
      </c>
      <c r="D43" s="27">
        <f>Budget!F97</f>
        <v>5.21037</v>
      </c>
      <c r="E43" s="25">
        <f>Budget!S150 - Budget!M150 - Budget!N150 - Budget!R150</f>
        <v>11.53308471</v>
      </c>
      <c r="F43" s="217">
        <f>Budget!R150</f>
        <v>2.67</v>
      </c>
      <c r="G43" s="25">
        <f>Budget!S203 -Budget!R203  </f>
        <v>8.274177073</v>
      </c>
      <c r="H43" s="27">
        <f>Budget!R203</f>
        <v>0.527</v>
      </c>
      <c r="I43" s="26">
        <f>Config!E42</f>
        <v>7000</v>
      </c>
      <c r="J43" s="26">
        <f>Config!E42</f>
        <v>7000</v>
      </c>
      <c r="K43" s="77">
        <f>Config!N42</f>
        <v>38850</v>
      </c>
      <c r="L43" s="25">
        <f>Budget!G44</f>
        <v>0.4</v>
      </c>
      <c r="M43" s="25">
        <f>Budget!H44</f>
        <v>5.55</v>
      </c>
      <c r="N43" s="27">
        <f>Budget!J44</f>
        <v>0.2</v>
      </c>
      <c r="O43" s="41" t="str">
        <f>Config!O42</f>
        <v>B3, dry mass = est, ISP iteration</v>
      </c>
      <c r="Q43" s="31"/>
      <c r="R43" s="222" t="str">
        <f>Config!C42</f>
        <v>2026_C_PR_B1_CONFIG39</v>
      </c>
      <c r="S43" s="234">
        <v>3165.0</v>
      </c>
      <c r="T43" s="234">
        <v>3.551</v>
      </c>
      <c r="U43" s="225">
        <v>31.675</v>
      </c>
      <c r="V43" s="226" t="str">
        <f>Config!O42</f>
        <v>B3, dry mass = est, ISP iteration</v>
      </c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</row>
    <row r="44">
      <c r="B44" s="31"/>
      <c r="C44" s="40" t="s">
        <v>64</v>
      </c>
      <c r="D44" s="27">
        <f>Budget!F98</f>
        <v>5.21037</v>
      </c>
      <c r="E44" s="25">
        <f>Budget!S151 - Budget!M151 - Budget!N151 - Budget!R151</f>
        <v>11.26994553</v>
      </c>
      <c r="F44" s="217">
        <f>Budget!R151</f>
        <v>2.67</v>
      </c>
      <c r="G44" s="25">
        <f>Budget!S204 -Budget!R204  </f>
        <v>8.097960745</v>
      </c>
      <c r="H44" s="27">
        <f>Budget!R204</f>
        <v>0.527</v>
      </c>
      <c r="I44" s="26">
        <f>Config!E43</f>
        <v>7000</v>
      </c>
      <c r="J44" s="26">
        <f>Config!E43</f>
        <v>7000</v>
      </c>
      <c r="K44" s="77">
        <f>Config!N43</f>
        <v>38850</v>
      </c>
      <c r="L44" s="25">
        <f>Budget!G45</f>
        <v>0.4</v>
      </c>
      <c r="M44" s="25">
        <f>Budget!H45</f>
        <v>5.55</v>
      </c>
      <c r="N44" s="27">
        <f>Budget!J45</f>
        <v>0.2</v>
      </c>
      <c r="O44" s="41" t="str">
        <f>Config!O43</f>
        <v>B3, dry mass = est, ISP iteration</v>
      </c>
      <c r="Q44" s="31"/>
      <c r="R44" s="222" t="str">
        <f>Config!C43</f>
        <v>2026_C_PR_B1_CONFIG40</v>
      </c>
      <c r="S44" s="234">
        <v>3175.0</v>
      </c>
      <c r="T44" s="234">
        <v>3.56</v>
      </c>
      <c r="U44" s="225">
        <v>31.728</v>
      </c>
      <c r="V44" s="226" t="str">
        <f>Config!O43</f>
        <v>B3, dry mass = est, ISP iteration</v>
      </c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</row>
    <row r="45">
      <c r="B45" s="31"/>
      <c r="C45" s="42" t="s">
        <v>65</v>
      </c>
      <c r="D45" s="47">
        <f>Budget!F99</f>
        <v>5.21037</v>
      </c>
      <c r="E45" s="45">
        <f>Budget!S152 - Budget!M152 - Budget!N152 - Budget!R152</f>
        <v>11.01876722</v>
      </c>
      <c r="F45" s="236">
        <f>Budget!R152</f>
        <v>2.67</v>
      </c>
      <c r="G45" s="45">
        <f>Budget!S205 -Budget!R205  </f>
        <v>7.929754251</v>
      </c>
      <c r="H45" s="47">
        <f>Budget!R205</f>
        <v>0.527</v>
      </c>
      <c r="I45" s="46">
        <f>Config!E44</f>
        <v>7000</v>
      </c>
      <c r="J45" s="46">
        <f>Config!E44</f>
        <v>7000</v>
      </c>
      <c r="K45" s="98">
        <f>Config!N44</f>
        <v>38850</v>
      </c>
      <c r="L45" s="45">
        <f>Budget!G46</f>
        <v>0.4</v>
      </c>
      <c r="M45" s="45">
        <f>Budget!H46</f>
        <v>5.55</v>
      </c>
      <c r="N45" s="47">
        <f>Budget!J46</f>
        <v>0.2</v>
      </c>
      <c r="O45" s="50" t="str">
        <f>Config!O44</f>
        <v>B3, dry mass = est, ISP iteration</v>
      </c>
      <c r="Q45" s="31"/>
      <c r="R45" s="97" t="str">
        <f>Config!C44</f>
        <v>2026_C_PR_B1_CONFIG41</v>
      </c>
      <c r="S45" s="238">
        <v>3184.0</v>
      </c>
      <c r="T45" s="238">
        <v>3.569</v>
      </c>
      <c r="U45" s="229">
        <v>31.778</v>
      </c>
      <c r="V45" s="239" t="str">
        <f>Config!O44</f>
        <v>B3, dry mass = est, ISP iteration</v>
      </c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</row>
    <row r="46">
      <c r="B46" s="31"/>
      <c r="C46" s="40" t="s">
        <v>66</v>
      </c>
      <c r="D46" s="27">
        <f>Budget!F100</f>
        <v>5.21037</v>
      </c>
      <c r="E46" s="25">
        <f>Budget!S153 - Budget!M153 - Budget!N153 - Budget!R153</f>
        <v>10.7787524</v>
      </c>
      <c r="F46" s="217">
        <f>Budget!R153</f>
        <v>2.67</v>
      </c>
      <c r="G46" s="25">
        <f>Budget!S206 -Budget!R206  </f>
        <v>7.769023601</v>
      </c>
      <c r="H46" s="27">
        <f>Budget!R206</f>
        <v>0.527</v>
      </c>
      <c r="I46" s="26">
        <f>Config!E45</f>
        <v>7000</v>
      </c>
      <c r="J46" s="26">
        <f>Config!E45</f>
        <v>7000</v>
      </c>
      <c r="K46" s="77">
        <f>Config!N45</f>
        <v>38850</v>
      </c>
      <c r="L46" s="25">
        <f>Budget!G47</f>
        <v>0.4</v>
      </c>
      <c r="M46" s="25">
        <f>Budget!H47</f>
        <v>5.55</v>
      </c>
      <c r="N46" s="27">
        <f>Budget!J47</f>
        <v>0.2</v>
      </c>
      <c r="O46" s="41" t="str">
        <f>Config!O45</f>
        <v>B3, dry mass = est, ISP iteration</v>
      </c>
      <c r="Q46" s="31"/>
      <c r="R46" s="222" t="str">
        <f>Config!C45</f>
        <v>2026_C_PR_B1_CONFIG42</v>
      </c>
      <c r="S46" s="234">
        <v>3193.0</v>
      </c>
      <c r="T46" s="234">
        <v>3.578</v>
      </c>
      <c r="U46" s="225">
        <v>31.819</v>
      </c>
      <c r="V46" s="226" t="str">
        <f>Config!O45</f>
        <v>B3, dry mass = est, ISP iteration</v>
      </c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</row>
    <row r="47">
      <c r="B47" s="31"/>
      <c r="C47" s="40" t="s">
        <v>67</v>
      </c>
      <c r="D47" s="27">
        <f>Budget!F101</f>
        <v>5.21037</v>
      </c>
      <c r="E47" s="25">
        <f>Budget!S154 - Budget!M154 - Budget!N154 - Budget!R154</f>
        <v>10.549173</v>
      </c>
      <c r="F47" s="217">
        <f>Budget!R154</f>
        <v>2.67</v>
      </c>
      <c r="G47" s="25">
        <f>Budget!S207 -Budget!R207  </f>
        <v>7.61528124</v>
      </c>
      <c r="H47" s="27">
        <f>Budget!R207</f>
        <v>0.527</v>
      </c>
      <c r="I47" s="26">
        <f>Config!E46</f>
        <v>7000</v>
      </c>
      <c r="J47" s="26">
        <f>Config!E46</f>
        <v>7000</v>
      </c>
      <c r="K47" s="77">
        <f>Config!N46</f>
        <v>38850</v>
      </c>
      <c r="L47" s="25">
        <f>Budget!G48</f>
        <v>0.4</v>
      </c>
      <c r="M47" s="25">
        <f>Budget!H48</f>
        <v>5.55</v>
      </c>
      <c r="N47" s="27">
        <f>Budget!J48</f>
        <v>0.2</v>
      </c>
      <c r="O47" s="41" t="str">
        <f>Config!O46</f>
        <v>B3, dry mass = est, ISP iteration</v>
      </c>
      <c r="Q47" s="31"/>
      <c r="R47" s="222" t="str">
        <f>Config!C46</f>
        <v>2026_C_PR_B1_CONFIG43</v>
      </c>
      <c r="S47" s="234">
        <v>3201.0</v>
      </c>
      <c r="T47" s="234">
        <v>3.586</v>
      </c>
      <c r="U47" s="225">
        <v>31.864</v>
      </c>
      <c r="V47" s="226" t="str">
        <f>Config!O46</f>
        <v>B3, dry mass = est, ISP iteration</v>
      </c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</row>
    <row r="48">
      <c r="B48" s="35"/>
      <c r="C48" s="51" t="s">
        <v>68</v>
      </c>
      <c r="D48" s="18">
        <f>Budget!F102</f>
        <v>5.21037</v>
      </c>
      <c r="E48" s="17">
        <f>Budget!S155 - Budget!M155 - Budget!N155 - Budget!R155</f>
        <v>10.32936293</v>
      </c>
      <c r="F48" s="230">
        <f>Budget!R155</f>
        <v>2.67</v>
      </c>
      <c r="G48" s="17">
        <f>Budget!S208 -Budget!R208  </f>
        <v>7.468081108</v>
      </c>
      <c r="H48" s="18">
        <f>Budget!R208</f>
        <v>0.527</v>
      </c>
      <c r="I48" s="38">
        <f>Config!E47</f>
        <v>7000</v>
      </c>
      <c r="J48" s="38">
        <f>Config!E47</f>
        <v>7000</v>
      </c>
      <c r="K48" s="231">
        <f>Config!N47</f>
        <v>38850</v>
      </c>
      <c r="L48" s="17">
        <f>Budget!G49</f>
        <v>0.4</v>
      </c>
      <c r="M48" s="17">
        <f>Budget!H49</f>
        <v>5.55</v>
      </c>
      <c r="N48" s="18">
        <f>Budget!J49</f>
        <v>0.2</v>
      </c>
      <c r="O48" s="52" t="str">
        <f>Config!O47</f>
        <v>B3, dry mass = est, ISP iteration</v>
      </c>
      <c r="Q48" s="35"/>
      <c r="R48" s="240" t="str">
        <f>Config!C47</f>
        <v>2026_C_PR_B1_CONFIG44</v>
      </c>
      <c r="S48" s="241">
        <v>3209.0</v>
      </c>
      <c r="T48" s="241">
        <v>3.594</v>
      </c>
      <c r="U48" s="242">
        <v>31.908</v>
      </c>
      <c r="V48" s="243" t="str">
        <f>Config!O47</f>
        <v>B3, dry mass = est, ISP iteration</v>
      </c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</row>
    <row r="49">
      <c r="B49" s="21"/>
      <c r="C49" s="32" t="s">
        <v>69</v>
      </c>
      <c r="D49" s="27" t="str">
        <f>Budget!F103</f>
        <v/>
      </c>
      <c r="E49" s="25"/>
      <c r="F49" s="217"/>
      <c r="G49" s="244"/>
      <c r="H49" s="27" t="str">
        <f>Budget!R209</f>
        <v/>
      </c>
      <c r="I49" s="26" t="str">
        <f>Config!E48</f>
        <v/>
      </c>
      <c r="J49" s="26" t="str">
        <f>Config!E48</f>
        <v/>
      </c>
      <c r="K49" s="77" t="str">
        <f>Config!N48</f>
        <v/>
      </c>
      <c r="L49" s="25" t="str">
        <f>Budget!G50</f>
        <v/>
      </c>
      <c r="M49" s="25" t="str">
        <f>Budget!H50</f>
        <v/>
      </c>
      <c r="N49" s="27" t="str">
        <f>Budget!J50</f>
        <v/>
      </c>
      <c r="O49" s="30" t="str">
        <f>Config!O48</f>
        <v/>
      </c>
      <c r="Q49" s="21"/>
      <c r="R49" s="53" t="str">
        <f>Config!C48</f>
        <v>2026_C_PR_B1_CONFIG45</v>
      </c>
      <c r="S49" s="234"/>
      <c r="T49" s="234"/>
      <c r="U49" s="225"/>
      <c r="V49" s="221" t="str">
        <f>Config!O48</f>
        <v/>
      </c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</row>
    <row r="50">
      <c r="B50" s="31"/>
      <c r="C50" s="32" t="s">
        <v>70</v>
      </c>
      <c r="D50" s="27" t="str">
        <f>Budget!F104</f>
        <v/>
      </c>
      <c r="E50" s="25"/>
      <c r="F50" s="217"/>
      <c r="G50" s="244"/>
      <c r="H50" s="27" t="str">
        <f>Budget!R210</f>
        <v/>
      </c>
      <c r="I50" s="26" t="str">
        <f>Config!E49</f>
        <v/>
      </c>
      <c r="J50" s="26" t="str">
        <f>Config!E49</f>
        <v/>
      </c>
      <c r="K50" s="77" t="str">
        <f>Config!N49</f>
        <v/>
      </c>
      <c r="L50" s="25" t="str">
        <f>Budget!G51</f>
        <v/>
      </c>
      <c r="M50" s="25" t="str">
        <f>Budget!H51</f>
        <v/>
      </c>
      <c r="N50" s="27" t="str">
        <f>Budget!J51</f>
        <v/>
      </c>
      <c r="O50" s="30" t="str">
        <f>Config!O49</f>
        <v/>
      </c>
      <c r="Q50" s="31"/>
      <c r="R50" s="53" t="str">
        <f>Config!C49</f>
        <v>2026_C_PR_B1_CONFIG46</v>
      </c>
      <c r="S50" s="234"/>
      <c r="T50" s="234"/>
      <c r="U50" s="225"/>
      <c r="V50" s="221" t="str">
        <f>Config!O49</f>
        <v/>
      </c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</row>
    <row r="51">
      <c r="B51" s="31"/>
      <c r="C51" s="32" t="s">
        <v>71</v>
      </c>
      <c r="D51" s="27" t="str">
        <f>Budget!F105</f>
        <v/>
      </c>
      <c r="E51" s="25"/>
      <c r="F51" s="217"/>
      <c r="G51" s="244"/>
      <c r="H51" s="27" t="str">
        <f>Budget!R211</f>
        <v/>
      </c>
      <c r="I51" s="26" t="str">
        <f>Config!E50</f>
        <v/>
      </c>
      <c r="J51" s="26" t="str">
        <f>Config!E50</f>
        <v/>
      </c>
      <c r="K51" s="77" t="str">
        <f>Config!N50</f>
        <v/>
      </c>
      <c r="L51" s="25" t="str">
        <f>Budget!G52</f>
        <v/>
      </c>
      <c r="M51" s="25" t="str">
        <f>Budget!H52</f>
        <v/>
      </c>
      <c r="N51" s="27" t="str">
        <f>Budget!J52</f>
        <v/>
      </c>
      <c r="O51" s="30" t="str">
        <f>Config!O50</f>
        <v/>
      </c>
      <c r="Q51" s="31"/>
      <c r="R51" s="53" t="str">
        <f>Config!C50</f>
        <v>2026_C_PR_B1_CONFIG47</v>
      </c>
      <c r="S51" s="234"/>
      <c r="T51" s="234"/>
      <c r="U51" s="225"/>
      <c r="V51" s="221" t="str">
        <f>Config!O50</f>
        <v/>
      </c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</row>
    <row r="52">
      <c r="B52" s="35"/>
      <c r="C52" s="36" t="s">
        <v>72</v>
      </c>
      <c r="D52" s="18" t="str">
        <f>Budget!F106</f>
        <v/>
      </c>
      <c r="E52" s="17"/>
      <c r="F52" s="230"/>
      <c r="G52" s="16"/>
      <c r="H52" s="18" t="str">
        <f>Budget!R212</f>
        <v/>
      </c>
      <c r="I52" s="38" t="str">
        <f>Config!E51</f>
        <v/>
      </c>
      <c r="J52" s="38" t="str">
        <f>Config!E51</f>
        <v/>
      </c>
      <c r="K52" s="231" t="str">
        <f>Config!N51</f>
        <v/>
      </c>
      <c r="L52" s="17" t="str">
        <f>Budget!G53</f>
        <v/>
      </c>
      <c r="M52" s="17" t="str">
        <f>Budget!H53</f>
        <v/>
      </c>
      <c r="N52" s="18" t="str">
        <f>Budget!J53</f>
        <v/>
      </c>
      <c r="O52" s="20" t="str">
        <f>Config!O51</f>
        <v/>
      </c>
      <c r="Q52" s="35"/>
      <c r="R52" s="54" t="str">
        <f>Config!C51</f>
        <v>2026_C_PR_B1_CONFIG48</v>
      </c>
      <c r="S52" s="241"/>
      <c r="T52" s="241"/>
      <c r="U52" s="242"/>
      <c r="V52" s="216" t="str">
        <f>Config!O51</f>
        <v/>
      </c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</row>
    <row r="53"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</row>
    <row r="54"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</row>
    <row r="55"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</row>
    <row r="56"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</row>
    <row r="57"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</row>
    <row r="58"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</row>
    <row r="59">
      <c r="V59" s="196"/>
      <c r="W59" s="196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</row>
    <row r="60"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</row>
    <row r="61"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</row>
    <row r="62"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</row>
    <row r="63"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</row>
    <row r="64"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</row>
    <row r="65"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</row>
    <row r="66"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</row>
    <row r="67"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</row>
    <row r="68"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</row>
    <row r="69">
      <c r="V69" s="196"/>
      <c r="W69" s="196"/>
      <c r="X69" s="196"/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</row>
    <row r="70">
      <c r="V70" s="196"/>
      <c r="W70" s="196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</row>
    <row r="71"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</row>
    <row r="72"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</row>
    <row r="73"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</row>
    <row r="74"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</row>
    <row r="75">
      <c r="V75" s="196"/>
      <c r="W75" s="196"/>
      <c r="X75" s="196"/>
      <c r="Y75" s="196"/>
      <c r="Z75" s="196"/>
      <c r="AA75" s="196"/>
      <c r="AB75" s="196"/>
      <c r="AC75" s="196"/>
      <c r="AD75" s="196"/>
      <c r="AE75" s="196"/>
      <c r="AF75" s="196"/>
      <c r="AG75" s="196"/>
      <c r="AH75" s="196"/>
    </row>
    <row r="76"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</row>
    <row r="77"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</row>
    <row r="78">
      <c r="V78" s="196"/>
      <c r="W78" s="196"/>
      <c r="X78" s="196"/>
      <c r="Y78" s="196"/>
      <c r="Z78" s="196"/>
      <c r="AA78" s="196"/>
      <c r="AB78" s="196"/>
      <c r="AC78" s="196"/>
      <c r="AD78" s="196"/>
      <c r="AE78" s="196"/>
      <c r="AF78" s="196"/>
      <c r="AG78" s="196"/>
      <c r="AH78" s="196"/>
    </row>
    <row r="79"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</row>
    <row r="80"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</row>
    <row r="81"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</row>
    <row r="82"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</row>
    <row r="83">
      <c r="V83" s="196"/>
      <c r="W83" s="196"/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</row>
    <row r="84">
      <c r="V84" s="196"/>
      <c r="W84" s="196"/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</row>
    <row r="85">
      <c r="V85" s="196"/>
      <c r="W85" s="196"/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</row>
    <row r="86">
      <c r="V86" s="196"/>
      <c r="W86" s="196"/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</row>
    <row r="87">
      <c r="V87" s="196"/>
      <c r="W87" s="196"/>
      <c r="X87" s="196"/>
      <c r="Y87" s="196"/>
      <c r="Z87" s="196"/>
      <c r="AA87" s="196"/>
      <c r="AB87" s="196"/>
      <c r="AC87" s="196"/>
      <c r="AD87" s="196"/>
      <c r="AE87" s="196"/>
      <c r="AF87" s="196"/>
      <c r="AG87" s="196"/>
      <c r="AH87" s="196"/>
    </row>
    <row r="88">
      <c r="V88" s="196"/>
      <c r="W88" s="196"/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</row>
    <row r="89">
      <c r="V89" s="196"/>
      <c r="W89" s="196"/>
      <c r="X89" s="196"/>
      <c r="Y89" s="196"/>
      <c r="Z89" s="196"/>
      <c r="AA89" s="196"/>
      <c r="AB89" s="196"/>
      <c r="AC89" s="196"/>
      <c r="AD89" s="196"/>
      <c r="AE89" s="196"/>
      <c r="AF89" s="196"/>
      <c r="AG89" s="196"/>
      <c r="AH89" s="196"/>
    </row>
    <row r="90">
      <c r="V90" s="196"/>
      <c r="W90" s="196"/>
      <c r="X90" s="196"/>
      <c r="Y90" s="196"/>
      <c r="Z90" s="196"/>
      <c r="AA90" s="196"/>
      <c r="AB90" s="196"/>
      <c r="AC90" s="196"/>
      <c r="AD90" s="196"/>
      <c r="AE90" s="196"/>
      <c r="AF90" s="196"/>
      <c r="AG90" s="196"/>
      <c r="AH90" s="196"/>
    </row>
    <row r="91"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</row>
    <row r="92">
      <c r="V92" s="196"/>
      <c r="W92" s="196"/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</row>
    <row r="93">
      <c r="V93" s="196"/>
      <c r="W93" s="196"/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</row>
    <row r="94">
      <c r="V94" s="196"/>
      <c r="W94" s="196"/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</row>
    <row r="95"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</row>
    <row r="96"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</row>
    <row r="97">
      <c r="V97" s="196"/>
      <c r="W97" s="196"/>
      <c r="X97" s="196"/>
      <c r="Y97" s="196"/>
      <c r="Z97" s="196"/>
      <c r="AA97" s="196"/>
      <c r="AB97" s="196"/>
      <c r="AC97" s="196"/>
      <c r="AD97" s="196"/>
      <c r="AE97" s="196"/>
      <c r="AF97" s="196"/>
      <c r="AG97" s="196"/>
      <c r="AH97" s="196"/>
    </row>
    <row r="98"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</row>
    <row r="99"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</row>
    <row r="100"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</row>
    <row r="101">
      <c r="V101" s="196"/>
      <c r="W101" s="196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</row>
    <row r="102">
      <c r="V102" s="196"/>
      <c r="W102" s="196"/>
      <c r="X102" s="196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</row>
    <row r="103">
      <c r="V103" s="196"/>
      <c r="W103" s="196"/>
      <c r="X103" s="196"/>
      <c r="Y103" s="196"/>
      <c r="Z103" s="196"/>
      <c r="AA103" s="196"/>
      <c r="AB103" s="196"/>
      <c r="AC103" s="196"/>
      <c r="AD103" s="196"/>
      <c r="AE103" s="196"/>
      <c r="AF103" s="196"/>
      <c r="AG103" s="196"/>
      <c r="AH103" s="196"/>
    </row>
    <row r="104">
      <c r="V104" s="196"/>
      <c r="W104" s="196"/>
      <c r="X104" s="196"/>
      <c r="Y104" s="196"/>
      <c r="Z104" s="196"/>
      <c r="AA104" s="196"/>
      <c r="AB104" s="196"/>
      <c r="AC104" s="196"/>
      <c r="AD104" s="196"/>
      <c r="AE104" s="196"/>
      <c r="AF104" s="196"/>
      <c r="AG104" s="196"/>
      <c r="AH104" s="196"/>
    </row>
    <row r="105">
      <c r="V105" s="196"/>
      <c r="W105" s="196"/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</row>
    <row r="106">
      <c r="V106" s="196"/>
      <c r="W106" s="196"/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</row>
    <row r="107">
      <c r="V107" s="196"/>
      <c r="W107" s="196"/>
      <c r="X107" s="196"/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6"/>
    </row>
    <row r="108">
      <c r="V108" s="196"/>
      <c r="W108" s="196"/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</row>
    <row r="109"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</row>
    <row r="110"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</row>
    <row r="111"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</row>
    <row r="112">
      <c r="V112" s="196"/>
      <c r="W112" s="196"/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</row>
    <row r="113">
      <c r="V113" s="196"/>
      <c r="W113" s="196"/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</row>
    <row r="114"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</row>
    <row r="115"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</row>
    <row r="116"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</row>
    <row r="117">
      <c r="V117" s="196"/>
      <c r="W117" s="196"/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</row>
    <row r="118"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</row>
    <row r="119"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</row>
    <row r="120"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</row>
    <row r="121">
      <c r="V121" s="196"/>
      <c r="W121" s="196"/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</row>
    <row r="122"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</row>
    <row r="123"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</row>
    <row r="124"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</row>
    <row r="125">
      <c r="V125" s="196"/>
      <c r="W125" s="196"/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</row>
    <row r="126"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</row>
    <row r="127">
      <c r="V127" s="196"/>
      <c r="W127" s="196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</row>
    <row r="128"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</row>
    <row r="129">
      <c r="V129" s="196"/>
      <c r="W129" s="196"/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</row>
    <row r="130">
      <c r="V130" s="196"/>
      <c r="W130" s="196"/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</row>
    <row r="131">
      <c r="V131" s="196"/>
      <c r="W131" s="196"/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96"/>
    </row>
    <row r="132"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</row>
    <row r="133">
      <c r="V133" s="196"/>
      <c r="W133" s="196"/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</row>
    <row r="134"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</row>
    <row r="135">
      <c r="V135" s="196"/>
      <c r="W135" s="196"/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</row>
    <row r="136"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</row>
    <row r="137"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</row>
    <row r="138"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</row>
    <row r="139">
      <c r="V139" s="196"/>
      <c r="W139" s="196"/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</row>
    <row r="140">
      <c r="V140" s="196"/>
      <c r="W140" s="196"/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</row>
    <row r="141"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</row>
    <row r="142">
      <c r="V142" s="196"/>
      <c r="W142" s="196"/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</row>
    <row r="143">
      <c r="V143" s="196"/>
      <c r="W143" s="196"/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</row>
    <row r="144">
      <c r="V144" s="196"/>
      <c r="W144" s="196"/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</row>
    <row r="145">
      <c r="V145" s="196"/>
      <c r="W145" s="196"/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</row>
    <row r="146">
      <c r="V146" s="196"/>
      <c r="W146" s="196"/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</row>
    <row r="147">
      <c r="V147" s="196"/>
      <c r="W147" s="196"/>
      <c r="X147" s="196"/>
      <c r="Y147" s="196"/>
      <c r="Z147" s="196"/>
      <c r="AA147" s="196"/>
      <c r="AB147" s="196"/>
      <c r="AC147" s="196"/>
      <c r="AD147" s="196"/>
      <c r="AE147" s="196"/>
      <c r="AF147" s="196"/>
      <c r="AG147" s="196"/>
      <c r="AH147" s="196"/>
    </row>
    <row r="148">
      <c r="V148" s="196"/>
      <c r="W148" s="196"/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</row>
    <row r="149"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</row>
    <row r="150"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</row>
    <row r="151"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</row>
    <row r="152"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</row>
    <row r="153"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</row>
    <row r="154"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</row>
    <row r="155"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</row>
    <row r="156"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</row>
    <row r="157"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</row>
    <row r="158"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</row>
    <row r="159">
      <c r="V159" s="196"/>
      <c r="W159" s="196"/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</row>
    <row r="160">
      <c r="V160" s="196"/>
      <c r="W160" s="196"/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</row>
    <row r="161">
      <c r="V161" s="196"/>
      <c r="W161" s="196"/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196"/>
      <c r="AH161" s="196"/>
    </row>
    <row r="162">
      <c r="V162" s="196"/>
      <c r="W162" s="196"/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196"/>
      <c r="AH162" s="196"/>
    </row>
    <row r="163">
      <c r="V163" s="196"/>
      <c r="W163" s="196"/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</row>
    <row r="164"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</row>
    <row r="165"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</row>
    <row r="166"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</row>
    <row r="167">
      <c r="V167" s="196"/>
      <c r="W167" s="196"/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</row>
    <row r="168">
      <c r="V168" s="196"/>
      <c r="W168" s="196"/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</row>
    <row r="169"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</row>
    <row r="170">
      <c r="V170" s="196"/>
      <c r="W170" s="196"/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</row>
    <row r="171">
      <c r="V171" s="196"/>
      <c r="W171" s="196"/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</row>
    <row r="172">
      <c r="V172" s="196"/>
      <c r="W172" s="196"/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</row>
    <row r="173">
      <c r="V173" s="196"/>
      <c r="W173" s="196"/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</row>
    <row r="174">
      <c r="V174" s="196"/>
      <c r="W174" s="196"/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</row>
    <row r="175">
      <c r="V175" s="196"/>
      <c r="W175" s="196"/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</row>
    <row r="176">
      <c r="V176" s="196"/>
      <c r="W176" s="196"/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</row>
    <row r="177">
      <c r="V177" s="196"/>
      <c r="W177" s="196"/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</row>
    <row r="178">
      <c r="V178" s="196"/>
      <c r="W178" s="196"/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</row>
    <row r="179"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</row>
    <row r="180"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</row>
    <row r="181"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</row>
    <row r="182"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</row>
    <row r="183">
      <c r="V183" s="196"/>
      <c r="W183" s="196"/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</row>
    <row r="184">
      <c r="V184" s="196"/>
      <c r="W184" s="196"/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</row>
    <row r="185">
      <c r="V185" s="196"/>
      <c r="W185" s="196"/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</row>
    <row r="186">
      <c r="V186" s="196"/>
      <c r="W186" s="196"/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</row>
    <row r="187">
      <c r="V187" s="196"/>
      <c r="W187" s="196"/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</row>
    <row r="188">
      <c r="V188" s="196"/>
      <c r="W188" s="196"/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</row>
    <row r="189">
      <c r="V189" s="196"/>
      <c r="W189" s="196"/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</row>
    <row r="190">
      <c r="V190" s="196"/>
      <c r="W190" s="196"/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</row>
    <row r="191">
      <c r="V191" s="196"/>
      <c r="W191" s="196"/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</row>
    <row r="192">
      <c r="V192" s="196"/>
      <c r="W192" s="196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</row>
    <row r="193">
      <c r="V193" s="196"/>
      <c r="W193" s="196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</row>
    <row r="194"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</row>
    <row r="195">
      <c r="V195" s="196"/>
      <c r="W195" s="196"/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</row>
    <row r="196"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</row>
    <row r="197">
      <c r="V197" s="196"/>
      <c r="W197" s="196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</row>
    <row r="198">
      <c r="V198" s="196"/>
      <c r="W198" s="196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</row>
    <row r="199">
      <c r="V199" s="196"/>
      <c r="W199" s="196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</row>
    <row r="200">
      <c r="V200" s="196"/>
      <c r="W200" s="196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</row>
    <row r="201">
      <c r="V201" s="196"/>
      <c r="W201" s="196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</row>
    <row r="202">
      <c r="V202" s="196"/>
      <c r="W202" s="196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</row>
    <row r="203">
      <c r="V203" s="196"/>
      <c r="W203" s="196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</row>
    <row r="204">
      <c r="V204" s="196"/>
      <c r="W204" s="196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</row>
    <row r="205">
      <c r="V205" s="196"/>
      <c r="W205" s="196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</row>
    <row r="206">
      <c r="V206" s="196"/>
      <c r="W206" s="196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</row>
    <row r="207">
      <c r="V207" s="196"/>
      <c r="W207" s="196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</row>
    <row r="208">
      <c r="V208" s="196"/>
      <c r="W208" s="196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</row>
    <row r="209">
      <c r="V209" s="196"/>
      <c r="W209" s="196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</row>
    <row r="210">
      <c r="V210" s="196"/>
      <c r="W210" s="196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</row>
    <row r="211">
      <c r="V211" s="196"/>
      <c r="W211" s="196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</row>
    <row r="212">
      <c r="V212" s="196"/>
      <c r="W212" s="196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</row>
    <row r="213">
      <c r="V213" s="196"/>
      <c r="W213" s="196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</row>
    <row r="214">
      <c r="V214" s="196"/>
      <c r="W214" s="196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</row>
    <row r="215">
      <c r="V215" s="196"/>
      <c r="W215" s="196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</row>
    <row r="216">
      <c r="V216" s="196"/>
      <c r="W216" s="196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</row>
    <row r="217">
      <c r="V217" s="196"/>
      <c r="W217" s="196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</row>
    <row r="218">
      <c r="V218" s="196"/>
      <c r="W218" s="196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</row>
    <row r="219">
      <c r="V219" s="196"/>
      <c r="W219" s="196"/>
      <c r="X219" s="196"/>
      <c r="Y219" s="196"/>
      <c r="Z219" s="196"/>
      <c r="AA219" s="196"/>
      <c r="AB219" s="196"/>
      <c r="AC219" s="196"/>
      <c r="AD219" s="196"/>
      <c r="AE219" s="196"/>
      <c r="AF219" s="196"/>
      <c r="AG219" s="196"/>
      <c r="AH219" s="196"/>
    </row>
    <row r="220">
      <c r="V220" s="196"/>
      <c r="W220" s="196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</row>
    <row r="221"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</row>
    <row r="222">
      <c r="V222" s="196"/>
      <c r="W222" s="196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</row>
    <row r="223">
      <c r="V223" s="196"/>
      <c r="W223" s="196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</row>
    <row r="224">
      <c r="V224" s="196"/>
      <c r="W224" s="196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</row>
    <row r="225">
      <c r="V225" s="196"/>
      <c r="W225" s="196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</row>
    <row r="226">
      <c r="V226" s="196"/>
      <c r="W226" s="196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</row>
    <row r="227">
      <c r="V227" s="196"/>
      <c r="W227" s="196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</row>
    <row r="228">
      <c r="V228" s="196"/>
      <c r="W228" s="196"/>
      <c r="X228" s="196"/>
      <c r="Y228" s="196"/>
      <c r="Z228" s="196"/>
      <c r="AA228" s="196"/>
      <c r="AB228" s="196"/>
      <c r="AC228" s="196"/>
      <c r="AD228" s="196"/>
      <c r="AE228" s="196"/>
      <c r="AF228" s="196"/>
      <c r="AG228" s="196"/>
      <c r="AH228" s="196"/>
    </row>
    <row r="229">
      <c r="V229" s="196"/>
      <c r="W229" s="196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/>
    </row>
    <row r="230">
      <c r="V230" s="196"/>
      <c r="W230" s="196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</row>
    <row r="231"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</row>
    <row r="232">
      <c r="V232" s="196"/>
      <c r="W232" s="196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6"/>
    </row>
    <row r="233">
      <c r="V233" s="196"/>
      <c r="W233" s="196"/>
      <c r="X233" s="196"/>
      <c r="Y233" s="196"/>
      <c r="Z233" s="196"/>
      <c r="AA233" s="196"/>
      <c r="AB233" s="196"/>
      <c r="AC233" s="196"/>
      <c r="AD233" s="196"/>
      <c r="AE233" s="196"/>
      <c r="AF233" s="196"/>
      <c r="AG233" s="196"/>
      <c r="AH233" s="196"/>
    </row>
    <row r="234">
      <c r="V234" s="196"/>
      <c r="W234" s="196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</row>
    <row r="235">
      <c r="V235" s="196"/>
      <c r="W235" s="196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</row>
    <row r="236">
      <c r="V236" s="196"/>
      <c r="W236" s="196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</row>
    <row r="237">
      <c r="V237" s="196"/>
      <c r="W237" s="196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</row>
    <row r="238">
      <c r="V238" s="196"/>
      <c r="W238" s="196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</row>
    <row r="239">
      <c r="V239" s="196"/>
      <c r="W239" s="196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</row>
    <row r="240">
      <c r="V240" s="196"/>
      <c r="W240" s="196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</row>
    <row r="241">
      <c r="V241" s="196"/>
      <c r="W241" s="196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</row>
    <row r="242">
      <c r="V242" s="196"/>
      <c r="W242" s="196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</row>
    <row r="243">
      <c r="V243" s="196"/>
      <c r="W243" s="196"/>
      <c r="X243" s="196"/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</row>
    <row r="244">
      <c r="V244" s="196"/>
      <c r="W244" s="196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</row>
    <row r="245">
      <c r="V245" s="196"/>
      <c r="W245" s="196"/>
      <c r="X245" s="196"/>
      <c r="Y245" s="196"/>
      <c r="Z245" s="196"/>
      <c r="AA245" s="196"/>
      <c r="AB245" s="196"/>
      <c r="AC245" s="196"/>
      <c r="AD245" s="196"/>
      <c r="AE245" s="196"/>
      <c r="AF245" s="196"/>
      <c r="AG245" s="196"/>
      <c r="AH245" s="196"/>
    </row>
    <row r="246">
      <c r="V246" s="196"/>
      <c r="W246" s="196"/>
      <c r="X246" s="196"/>
      <c r="Y246" s="196"/>
      <c r="Z246" s="196"/>
      <c r="AA246" s="196"/>
      <c r="AB246" s="196"/>
      <c r="AC246" s="196"/>
      <c r="AD246" s="196"/>
      <c r="AE246" s="196"/>
      <c r="AF246" s="196"/>
      <c r="AG246" s="196"/>
      <c r="AH246" s="196"/>
    </row>
    <row r="247">
      <c r="V247" s="196"/>
      <c r="W247" s="196"/>
      <c r="X247" s="196"/>
      <c r="Y247" s="196"/>
      <c r="Z247" s="196"/>
      <c r="AA247" s="196"/>
      <c r="AB247" s="196"/>
      <c r="AC247" s="196"/>
      <c r="AD247" s="196"/>
      <c r="AE247" s="196"/>
      <c r="AF247" s="196"/>
      <c r="AG247" s="196"/>
      <c r="AH247" s="196"/>
    </row>
    <row r="248">
      <c r="V248" s="196"/>
      <c r="W248" s="196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</row>
    <row r="249">
      <c r="V249" s="196"/>
      <c r="W249" s="196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</row>
    <row r="250">
      <c r="V250" s="196"/>
      <c r="W250" s="196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</row>
    <row r="251">
      <c r="V251" s="196"/>
      <c r="W251" s="196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</row>
    <row r="252">
      <c r="V252" s="196"/>
      <c r="W252" s="196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</row>
    <row r="253">
      <c r="V253" s="196"/>
      <c r="W253" s="196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</row>
    <row r="254">
      <c r="V254" s="196"/>
      <c r="W254" s="196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</row>
    <row r="255">
      <c r="V255" s="196"/>
      <c r="W255" s="196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</row>
    <row r="256">
      <c r="V256" s="196"/>
      <c r="W256" s="196"/>
      <c r="X256" s="196"/>
      <c r="Y256" s="196"/>
      <c r="Z256" s="196"/>
      <c r="AA256" s="196"/>
      <c r="AB256" s="196"/>
      <c r="AC256" s="196"/>
      <c r="AD256" s="196"/>
      <c r="AE256" s="196"/>
      <c r="AF256" s="196"/>
      <c r="AG256" s="196"/>
      <c r="AH256" s="196"/>
    </row>
    <row r="257">
      <c r="V257" s="196"/>
      <c r="W257" s="196"/>
      <c r="X257" s="196"/>
      <c r="Y257" s="196"/>
      <c r="Z257" s="196"/>
      <c r="AA257" s="196"/>
      <c r="AB257" s="196"/>
      <c r="AC257" s="196"/>
      <c r="AD257" s="196"/>
      <c r="AE257" s="196"/>
      <c r="AF257" s="196"/>
      <c r="AG257" s="196"/>
      <c r="AH257" s="196"/>
    </row>
    <row r="258">
      <c r="V258" s="196"/>
      <c r="W258" s="196"/>
      <c r="X258" s="196"/>
      <c r="Y258" s="196"/>
      <c r="Z258" s="196"/>
      <c r="AA258" s="196"/>
      <c r="AB258" s="196"/>
      <c r="AC258" s="196"/>
      <c r="AD258" s="196"/>
      <c r="AE258" s="196"/>
      <c r="AF258" s="196"/>
      <c r="AG258" s="196"/>
      <c r="AH258" s="196"/>
    </row>
    <row r="259">
      <c r="V259" s="196"/>
      <c r="W259" s="196"/>
      <c r="X259" s="196"/>
      <c r="Y259" s="196"/>
      <c r="Z259" s="196"/>
      <c r="AA259" s="196"/>
      <c r="AB259" s="196"/>
      <c r="AC259" s="196"/>
      <c r="AD259" s="196"/>
      <c r="AE259" s="196"/>
      <c r="AF259" s="196"/>
      <c r="AG259" s="196"/>
      <c r="AH259" s="196"/>
    </row>
    <row r="260">
      <c r="V260" s="196"/>
      <c r="W260" s="196"/>
      <c r="X260" s="196"/>
      <c r="Y260" s="196"/>
      <c r="Z260" s="196"/>
      <c r="AA260" s="196"/>
      <c r="AB260" s="196"/>
      <c r="AC260" s="196"/>
      <c r="AD260" s="196"/>
      <c r="AE260" s="196"/>
      <c r="AF260" s="196"/>
      <c r="AG260" s="196"/>
      <c r="AH260" s="196"/>
    </row>
    <row r="261">
      <c r="V261" s="196"/>
      <c r="W261" s="196"/>
      <c r="X261" s="196"/>
      <c r="Y261" s="196"/>
      <c r="Z261" s="196"/>
      <c r="AA261" s="196"/>
      <c r="AB261" s="196"/>
      <c r="AC261" s="196"/>
      <c r="AD261" s="196"/>
      <c r="AE261" s="196"/>
      <c r="AF261" s="196"/>
      <c r="AG261" s="196"/>
      <c r="AH261" s="196"/>
    </row>
    <row r="262">
      <c r="V262" s="196"/>
      <c r="W262" s="196"/>
      <c r="X262" s="196"/>
      <c r="Y262" s="196"/>
      <c r="Z262" s="196"/>
      <c r="AA262" s="196"/>
      <c r="AB262" s="196"/>
      <c r="AC262" s="196"/>
      <c r="AD262" s="196"/>
      <c r="AE262" s="196"/>
      <c r="AF262" s="196"/>
      <c r="AG262" s="196"/>
      <c r="AH262" s="196"/>
    </row>
    <row r="263">
      <c r="V263" s="196"/>
      <c r="W263" s="196"/>
      <c r="X263" s="196"/>
      <c r="Y263" s="196"/>
      <c r="Z263" s="196"/>
      <c r="AA263" s="196"/>
      <c r="AB263" s="196"/>
      <c r="AC263" s="196"/>
      <c r="AD263" s="196"/>
      <c r="AE263" s="196"/>
      <c r="AF263" s="196"/>
      <c r="AG263" s="196"/>
      <c r="AH263" s="196"/>
    </row>
    <row r="264">
      <c r="V264" s="196"/>
      <c r="W264" s="196"/>
      <c r="X264" s="196"/>
      <c r="Y264" s="196"/>
      <c r="Z264" s="196"/>
      <c r="AA264" s="196"/>
      <c r="AB264" s="196"/>
      <c r="AC264" s="196"/>
      <c r="AD264" s="196"/>
      <c r="AE264" s="196"/>
      <c r="AF264" s="196"/>
      <c r="AG264" s="196"/>
      <c r="AH264" s="196"/>
    </row>
    <row r="265">
      <c r="V265" s="196"/>
      <c r="W265" s="196"/>
      <c r="X265" s="196"/>
      <c r="Y265" s="196"/>
      <c r="Z265" s="196"/>
      <c r="AA265" s="196"/>
      <c r="AB265" s="196"/>
      <c r="AC265" s="196"/>
      <c r="AD265" s="196"/>
      <c r="AE265" s="196"/>
      <c r="AF265" s="196"/>
      <c r="AG265" s="196"/>
      <c r="AH265" s="196"/>
    </row>
    <row r="266">
      <c r="V266" s="196"/>
      <c r="W266" s="196"/>
      <c r="X266" s="196"/>
      <c r="Y266" s="196"/>
      <c r="Z266" s="196"/>
      <c r="AA266" s="196"/>
      <c r="AB266" s="196"/>
      <c r="AC266" s="196"/>
      <c r="AD266" s="196"/>
      <c r="AE266" s="196"/>
      <c r="AF266" s="196"/>
      <c r="AG266" s="196"/>
      <c r="AH266" s="196"/>
    </row>
    <row r="267">
      <c r="V267" s="196"/>
      <c r="W267" s="196"/>
      <c r="X267" s="196"/>
      <c r="Y267" s="196"/>
      <c r="Z267" s="196"/>
      <c r="AA267" s="196"/>
      <c r="AB267" s="196"/>
      <c r="AC267" s="196"/>
      <c r="AD267" s="196"/>
      <c r="AE267" s="196"/>
      <c r="AF267" s="196"/>
      <c r="AG267" s="196"/>
      <c r="AH267" s="196"/>
    </row>
    <row r="268">
      <c r="V268" s="196"/>
      <c r="W268" s="196"/>
      <c r="X268" s="196"/>
      <c r="Y268" s="196"/>
      <c r="Z268" s="196"/>
      <c r="AA268" s="196"/>
      <c r="AB268" s="196"/>
      <c r="AC268" s="196"/>
      <c r="AD268" s="196"/>
      <c r="AE268" s="196"/>
      <c r="AF268" s="196"/>
      <c r="AG268" s="196"/>
      <c r="AH268" s="196"/>
    </row>
    <row r="269">
      <c r="V269" s="196"/>
      <c r="W269" s="196"/>
      <c r="X269" s="196"/>
      <c r="Y269" s="196"/>
      <c r="Z269" s="196"/>
      <c r="AA269" s="196"/>
      <c r="AB269" s="196"/>
      <c r="AC269" s="196"/>
      <c r="AD269" s="196"/>
      <c r="AE269" s="196"/>
      <c r="AF269" s="196"/>
      <c r="AG269" s="196"/>
      <c r="AH269" s="196"/>
    </row>
    <row r="270">
      <c r="V270" s="196"/>
      <c r="W270" s="196"/>
      <c r="X270" s="196"/>
      <c r="Y270" s="196"/>
      <c r="Z270" s="196"/>
      <c r="AA270" s="196"/>
      <c r="AB270" s="196"/>
      <c r="AC270" s="196"/>
      <c r="AD270" s="196"/>
      <c r="AE270" s="196"/>
      <c r="AF270" s="196"/>
      <c r="AG270" s="196"/>
      <c r="AH270" s="196"/>
    </row>
    <row r="271">
      <c r="V271" s="196"/>
      <c r="W271" s="196"/>
      <c r="X271" s="196"/>
      <c r="Y271" s="196"/>
      <c r="Z271" s="196"/>
      <c r="AA271" s="196"/>
      <c r="AB271" s="196"/>
      <c r="AC271" s="196"/>
      <c r="AD271" s="196"/>
      <c r="AE271" s="196"/>
      <c r="AF271" s="196"/>
      <c r="AG271" s="196"/>
      <c r="AH271" s="196"/>
    </row>
    <row r="272">
      <c r="V272" s="196"/>
      <c r="W272" s="196"/>
      <c r="X272" s="196"/>
      <c r="Y272" s="196"/>
      <c r="Z272" s="196"/>
      <c r="AA272" s="196"/>
      <c r="AB272" s="196"/>
      <c r="AC272" s="196"/>
      <c r="AD272" s="196"/>
      <c r="AE272" s="196"/>
      <c r="AF272" s="196"/>
      <c r="AG272" s="196"/>
      <c r="AH272" s="196"/>
    </row>
    <row r="273">
      <c r="V273" s="196"/>
      <c r="W273" s="196"/>
      <c r="X273" s="196"/>
      <c r="Y273" s="196"/>
      <c r="Z273" s="196"/>
      <c r="AA273" s="196"/>
      <c r="AB273" s="196"/>
      <c r="AC273" s="196"/>
      <c r="AD273" s="196"/>
      <c r="AE273" s="196"/>
      <c r="AF273" s="196"/>
      <c r="AG273" s="196"/>
      <c r="AH273" s="196"/>
    </row>
    <row r="274">
      <c r="V274" s="196"/>
      <c r="W274" s="196"/>
      <c r="X274" s="196"/>
      <c r="Y274" s="196"/>
      <c r="Z274" s="196"/>
      <c r="AA274" s="196"/>
      <c r="AB274" s="196"/>
      <c r="AC274" s="196"/>
      <c r="AD274" s="196"/>
      <c r="AE274" s="196"/>
      <c r="AF274" s="196"/>
      <c r="AG274" s="196"/>
      <c r="AH274" s="196"/>
    </row>
    <row r="275">
      <c r="V275" s="196"/>
      <c r="W275" s="196"/>
      <c r="X275" s="196"/>
      <c r="Y275" s="196"/>
      <c r="Z275" s="196"/>
      <c r="AA275" s="196"/>
      <c r="AB275" s="196"/>
      <c r="AC275" s="196"/>
      <c r="AD275" s="196"/>
      <c r="AE275" s="196"/>
      <c r="AF275" s="196"/>
      <c r="AG275" s="196"/>
      <c r="AH275" s="196"/>
    </row>
    <row r="276">
      <c r="V276" s="196"/>
      <c r="W276" s="196"/>
      <c r="X276" s="196"/>
      <c r="Y276" s="196"/>
      <c r="Z276" s="196"/>
      <c r="AA276" s="196"/>
      <c r="AB276" s="196"/>
      <c r="AC276" s="196"/>
      <c r="AD276" s="196"/>
      <c r="AE276" s="196"/>
      <c r="AF276" s="196"/>
      <c r="AG276" s="196"/>
      <c r="AH276" s="196"/>
    </row>
    <row r="277">
      <c r="V277" s="196"/>
      <c r="W277" s="196"/>
      <c r="X277" s="196"/>
      <c r="Y277" s="196"/>
      <c r="Z277" s="196"/>
      <c r="AA277" s="196"/>
      <c r="AB277" s="196"/>
      <c r="AC277" s="196"/>
      <c r="AD277" s="196"/>
      <c r="AE277" s="196"/>
      <c r="AF277" s="196"/>
      <c r="AG277" s="196"/>
      <c r="AH277" s="196"/>
    </row>
    <row r="278">
      <c r="V278" s="196"/>
      <c r="W278" s="196"/>
      <c r="X278" s="196"/>
      <c r="Y278" s="196"/>
      <c r="Z278" s="196"/>
      <c r="AA278" s="196"/>
      <c r="AB278" s="196"/>
      <c r="AC278" s="196"/>
      <c r="AD278" s="196"/>
      <c r="AE278" s="196"/>
      <c r="AF278" s="196"/>
      <c r="AG278" s="196"/>
      <c r="AH278" s="196"/>
    </row>
    <row r="279">
      <c r="V279" s="196"/>
      <c r="W279" s="196"/>
      <c r="X279" s="196"/>
      <c r="Y279" s="196"/>
      <c r="Z279" s="196"/>
      <c r="AA279" s="196"/>
      <c r="AB279" s="196"/>
      <c r="AC279" s="196"/>
      <c r="AD279" s="196"/>
      <c r="AE279" s="196"/>
      <c r="AF279" s="196"/>
      <c r="AG279" s="196"/>
      <c r="AH279" s="196"/>
    </row>
    <row r="280">
      <c r="V280" s="196"/>
      <c r="W280" s="196"/>
      <c r="X280" s="196"/>
      <c r="Y280" s="196"/>
      <c r="Z280" s="196"/>
      <c r="AA280" s="196"/>
      <c r="AB280" s="196"/>
      <c r="AC280" s="196"/>
      <c r="AD280" s="196"/>
      <c r="AE280" s="196"/>
      <c r="AF280" s="196"/>
      <c r="AG280" s="196"/>
      <c r="AH280" s="196"/>
    </row>
    <row r="281">
      <c r="V281" s="196"/>
      <c r="W281" s="196"/>
      <c r="X281" s="196"/>
      <c r="Y281" s="196"/>
      <c r="Z281" s="196"/>
      <c r="AA281" s="196"/>
      <c r="AB281" s="196"/>
      <c r="AC281" s="196"/>
      <c r="AD281" s="196"/>
      <c r="AE281" s="196"/>
      <c r="AF281" s="196"/>
      <c r="AG281" s="196"/>
      <c r="AH281" s="196"/>
    </row>
    <row r="282">
      <c r="V282" s="196"/>
      <c r="W282" s="196"/>
      <c r="X282" s="196"/>
      <c r="Y282" s="196"/>
      <c r="Z282" s="196"/>
      <c r="AA282" s="196"/>
      <c r="AB282" s="196"/>
      <c r="AC282" s="196"/>
      <c r="AD282" s="196"/>
      <c r="AE282" s="196"/>
      <c r="AF282" s="196"/>
      <c r="AG282" s="196"/>
      <c r="AH282" s="196"/>
    </row>
    <row r="283">
      <c r="V283" s="196"/>
      <c r="W283" s="196"/>
      <c r="X283" s="196"/>
      <c r="Y283" s="196"/>
      <c r="Z283" s="196"/>
      <c r="AA283" s="196"/>
      <c r="AB283" s="196"/>
      <c r="AC283" s="196"/>
      <c r="AD283" s="196"/>
      <c r="AE283" s="196"/>
      <c r="AF283" s="196"/>
      <c r="AG283" s="196"/>
      <c r="AH283" s="196"/>
    </row>
    <row r="284">
      <c r="V284" s="196"/>
      <c r="W284" s="196"/>
      <c r="X284" s="196"/>
      <c r="Y284" s="196"/>
      <c r="Z284" s="196"/>
      <c r="AA284" s="196"/>
      <c r="AB284" s="196"/>
      <c r="AC284" s="196"/>
      <c r="AD284" s="196"/>
      <c r="AE284" s="196"/>
      <c r="AF284" s="196"/>
      <c r="AG284" s="196"/>
      <c r="AH284" s="196"/>
    </row>
    <row r="285">
      <c r="V285" s="196"/>
      <c r="W285" s="196"/>
      <c r="X285" s="196"/>
      <c r="Y285" s="196"/>
      <c r="Z285" s="196"/>
      <c r="AA285" s="196"/>
      <c r="AB285" s="196"/>
      <c r="AC285" s="196"/>
      <c r="AD285" s="196"/>
      <c r="AE285" s="196"/>
      <c r="AF285" s="196"/>
      <c r="AG285" s="196"/>
      <c r="AH285" s="196"/>
    </row>
    <row r="286">
      <c r="V286" s="196"/>
      <c r="W286" s="196"/>
      <c r="X286" s="196"/>
      <c r="Y286" s="196"/>
      <c r="Z286" s="196"/>
      <c r="AA286" s="196"/>
      <c r="AB286" s="196"/>
      <c r="AC286" s="196"/>
      <c r="AD286" s="196"/>
      <c r="AE286" s="196"/>
      <c r="AF286" s="196"/>
      <c r="AG286" s="196"/>
      <c r="AH286" s="196"/>
    </row>
    <row r="287">
      <c r="V287" s="196"/>
      <c r="W287" s="196"/>
      <c r="X287" s="196"/>
      <c r="Y287" s="196"/>
      <c r="Z287" s="196"/>
      <c r="AA287" s="196"/>
      <c r="AB287" s="196"/>
      <c r="AC287" s="196"/>
      <c r="AD287" s="196"/>
      <c r="AE287" s="196"/>
      <c r="AF287" s="196"/>
      <c r="AG287" s="196"/>
      <c r="AH287" s="196"/>
    </row>
    <row r="288">
      <c r="V288" s="196"/>
      <c r="W288" s="196"/>
      <c r="X288" s="196"/>
      <c r="Y288" s="196"/>
      <c r="Z288" s="196"/>
      <c r="AA288" s="196"/>
      <c r="AB288" s="196"/>
      <c r="AC288" s="196"/>
      <c r="AD288" s="196"/>
      <c r="AE288" s="196"/>
      <c r="AF288" s="196"/>
      <c r="AG288" s="196"/>
      <c r="AH288" s="196"/>
    </row>
    <row r="289">
      <c r="V289" s="196"/>
      <c r="W289" s="196"/>
      <c r="X289" s="196"/>
      <c r="Y289" s="196"/>
      <c r="Z289" s="196"/>
      <c r="AA289" s="196"/>
      <c r="AB289" s="196"/>
      <c r="AC289" s="196"/>
      <c r="AD289" s="196"/>
      <c r="AE289" s="196"/>
      <c r="AF289" s="196"/>
      <c r="AG289" s="196"/>
      <c r="AH289" s="196"/>
    </row>
    <row r="290">
      <c r="V290" s="196"/>
      <c r="W290" s="196"/>
      <c r="X290" s="196"/>
      <c r="Y290" s="196"/>
      <c r="Z290" s="196"/>
      <c r="AA290" s="196"/>
      <c r="AB290" s="196"/>
      <c r="AC290" s="196"/>
      <c r="AD290" s="196"/>
      <c r="AE290" s="196"/>
      <c r="AF290" s="196"/>
      <c r="AG290" s="196"/>
      <c r="AH290" s="196"/>
    </row>
    <row r="291">
      <c r="V291" s="196"/>
      <c r="W291" s="196"/>
      <c r="X291" s="196"/>
      <c r="Y291" s="196"/>
      <c r="Z291" s="196"/>
      <c r="AA291" s="196"/>
      <c r="AB291" s="196"/>
      <c r="AC291" s="196"/>
      <c r="AD291" s="196"/>
      <c r="AE291" s="196"/>
      <c r="AF291" s="196"/>
      <c r="AG291" s="196"/>
      <c r="AH291" s="196"/>
    </row>
    <row r="292">
      <c r="V292" s="196"/>
      <c r="W292" s="196"/>
      <c r="X292" s="196"/>
      <c r="Y292" s="196"/>
      <c r="Z292" s="196"/>
      <c r="AA292" s="196"/>
      <c r="AB292" s="196"/>
      <c r="AC292" s="196"/>
      <c r="AD292" s="196"/>
      <c r="AE292" s="196"/>
      <c r="AF292" s="196"/>
      <c r="AG292" s="196"/>
      <c r="AH292" s="196"/>
    </row>
    <row r="293">
      <c r="V293" s="196"/>
      <c r="W293" s="196"/>
      <c r="X293" s="196"/>
      <c r="Y293" s="196"/>
      <c r="Z293" s="196"/>
      <c r="AA293" s="196"/>
      <c r="AB293" s="196"/>
      <c r="AC293" s="196"/>
      <c r="AD293" s="196"/>
      <c r="AE293" s="196"/>
      <c r="AF293" s="196"/>
      <c r="AG293" s="196"/>
      <c r="AH293" s="196"/>
    </row>
    <row r="294">
      <c r="V294" s="196"/>
      <c r="W294" s="196"/>
      <c r="X294" s="196"/>
      <c r="Y294" s="196"/>
      <c r="Z294" s="196"/>
      <c r="AA294" s="196"/>
      <c r="AB294" s="196"/>
      <c r="AC294" s="196"/>
      <c r="AD294" s="196"/>
      <c r="AE294" s="196"/>
      <c r="AF294" s="196"/>
      <c r="AG294" s="196"/>
      <c r="AH294" s="196"/>
    </row>
    <row r="295">
      <c r="V295" s="196"/>
      <c r="W295" s="196"/>
      <c r="X295" s="196"/>
      <c r="Y295" s="196"/>
      <c r="Z295" s="196"/>
      <c r="AA295" s="196"/>
      <c r="AB295" s="196"/>
      <c r="AC295" s="196"/>
      <c r="AD295" s="196"/>
      <c r="AE295" s="196"/>
      <c r="AF295" s="196"/>
      <c r="AG295" s="196"/>
      <c r="AH295" s="196"/>
    </row>
    <row r="296">
      <c r="V296" s="196"/>
      <c r="W296" s="196"/>
      <c r="X296" s="196"/>
      <c r="Y296" s="196"/>
      <c r="Z296" s="196"/>
      <c r="AA296" s="196"/>
      <c r="AB296" s="196"/>
      <c r="AC296" s="196"/>
      <c r="AD296" s="196"/>
      <c r="AE296" s="196"/>
      <c r="AF296" s="196"/>
      <c r="AG296" s="196"/>
      <c r="AH296" s="196"/>
    </row>
    <row r="297">
      <c r="V297" s="196"/>
      <c r="W297" s="196"/>
      <c r="X297" s="196"/>
      <c r="Y297" s="196"/>
      <c r="Z297" s="196"/>
      <c r="AA297" s="196"/>
      <c r="AB297" s="196"/>
      <c r="AC297" s="196"/>
      <c r="AD297" s="196"/>
      <c r="AE297" s="196"/>
      <c r="AF297" s="196"/>
      <c r="AG297" s="196"/>
      <c r="AH297" s="196"/>
    </row>
    <row r="298">
      <c r="V298" s="196"/>
      <c r="W298" s="196"/>
      <c r="X298" s="196"/>
      <c r="Y298" s="196"/>
      <c r="Z298" s="196"/>
      <c r="AA298" s="196"/>
      <c r="AB298" s="196"/>
      <c r="AC298" s="196"/>
      <c r="AD298" s="196"/>
      <c r="AE298" s="196"/>
      <c r="AF298" s="196"/>
      <c r="AG298" s="196"/>
      <c r="AH298" s="196"/>
    </row>
    <row r="299">
      <c r="V299" s="196"/>
      <c r="W299" s="196"/>
      <c r="X299" s="196"/>
      <c r="Y299" s="196"/>
      <c r="Z299" s="196"/>
      <c r="AA299" s="196"/>
      <c r="AB299" s="196"/>
      <c r="AC299" s="196"/>
      <c r="AD299" s="196"/>
      <c r="AE299" s="196"/>
      <c r="AF299" s="196"/>
      <c r="AG299" s="196"/>
      <c r="AH299" s="196"/>
    </row>
    <row r="300">
      <c r="V300" s="196"/>
      <c r="W300" s="196"/>
      <c r="X300" s="196"/>
      <c r="Y300" s="196"/>
      <c r="Z300" s="196"/>
      <c r="AA300" s="196"/>
      <c r="AB300" s="196"/>
      <c r="AC300" s="196"/>
      <c r="AD300" s="196"/>
      <c r="AE300" s="196"/>
      <c r="AF300" s="196"/>
      <c r="AG300" s="196"/>
      <c r="AH300" s="196"/>
    </row>
    <row r="301">
      <c r="V301" s="196"/>
      <c r="W301" s="196"/>
      <c r="X301" s="196"/>
      <c r="Y301" s="196"/>
      <c r="Z301" s="196"/>
      <c r="AA301" s="196"/>
      <c r="AB301" s="196"/>
      <c r="AC301" s="196"/>
      <c r="AD301" s="196"/>
      <c r="AE301" s="196"/>
      <c r="AF301" s="196"/>
      <c r="AG301" s="196"/>
      <c r="AH301" s="196"/>
    </row>
    <row r="302">
      <c r="V302" s="196"/>
      <c r="W302" s="196"/>
      <c r="X302" s="196"/>
      <c r="Y302" s="196"/>
      <c r="Z302" s="196"/>
      <c r="AA302" s="196"/>
      <c r="AB302" s="196"/>
      <c r="AC302" s="196"/>
      <c r="AD302" s="196"/>
      <c r="AE302" s="196"/>
      <c r="AF302" s="196"/>
      <c r="AG302" s="196"/>
      <c r="AH302" s="196"/>
    </row>
    <row r="303">
      <c r="V303" s="196"/>
      <c r="W303" s="196"/>
      <c r="X303" s="196"/>
      <c r="Y303" s="196"/>
      <c r="Z303" s="196"/>
      <c r="AA303" s="196"/>
      <c r="AB303" s="196"/>
      <c r="AC303" s="196"/>
      <c r="AD303" s="196"/>
      <c r="AE303" s="196"/>
      <c r="AF303" s="196"/>
      <c r="AG303" s="196"/>
      <c r="AH303" s="196"/>
    </row>
    <row r="304">
      <c r="V304" s="196"/>
      <c r="W304" s="196"/>
      <c r="X304" s="196"/>
      <c r="Y304" s="196"/>
      <c r="Z304" s="196"/>
      <c r="AA304" s="196"/>
      <c r="AB304" s="196"/>
      <c r="AC304" s="196"/>
      <c r="AD304" s="196"/>
      <c r="AE304" s="196"/>
      <c r="AF304" s="196"/>
      <c r="AG304" s="196"/>
      <c r="AH304" s="196"/>
    </row>
    <row r="305">
      <c r="V305" s="196"/>
      <c r="W305" s="196"/>
      <c r="X305" s="196"/>
      <c r="Y305" s="196"/>
      <c r="Z305" s="196"/>
      <c r="AA305" s="196"/>
      <c r="AB305" s="196"/>
      <c r="AC305" s="196"/>
      <c r="AD305" s="196"/>
      <c r="AE305" s="196"/>
      <c r="AF305" s="196"/>
      <c r="AG305" s="196"/>
      <c r="AH305" s="196"/>
    </row>
    <row r="306">
      <c r="V306" s="196"/>
      <c r="W306" s="196"/>
      <c r="X306" s="196"/>
      <c r="Y306" s="196"/>
      <c r="Z306" s="196"/>
      <c r="AA306" s="196"/>
      <c r="AB306" s="196"/>
      <c r="AC306" s="196"/>
      <c r="AD306" s="196"/>
      <c r="AE306" s="196"/>
      <c r="AF306" s="196"/>
      <c r="AG306" s="196"/>
      <c r="AH306" s="196"/>
    </row>
    <row r="307">
      <c r="V307" s="196"/>
      <c r="W307" s="196"/>
      <c r="X307" s="196"/>
      <c r="Y307" s="196"/>
      <c r="Z307" s="196"/>
      <c r="AA307" s="196"/>
      <c r="AB307" s="196"/>
      <c r="AC307" s="196"/>
      <c r="AD307" s="196"/>
      <c r="AE307" s="196"/>
      <c r="AF307" s="196"/>
      <c r="AG307" s="196"/>
      <c r="AH307" s="196"/>
    </row>
    <row r="308">
      <c r="V308" s="196"/>
      <c r="W308" s="196"/>
      <c r="X308" s="196"/>
      <c r="Y308" s="196"/>
      <c r="Z308" s="196"/>
      <c r="AA308" s="196"/>
      <c r="AB308" s="196"/>
      <c r="AC308" s="196"/>
      <c r="AD308" s="196"/>
      <c r="AE308" s="196"/>
      <c r="AF308" s="196"/>
      <c r="AG308" s="196"/>
      <c r="AH308" s="196"/>
    </row>
    <row r="309">
      <c r="V309" s="196"/>
      <c r="W309" s="196"/>
      <c r="X309" s="196"/>
      <c r="Y309" s="196"/>
      <c r="Z309" s="196"/>
      <c r="AA309" s="196"/>
      <c r="AB309" s="196"/>
      <c r="AC309" s="196"/>
      <c r="AD309" s="196"/>
      <c r="AE309" s="196"/>
      <c r="AF309" s="196"/>
      <c r="AG309" s="196"/>
      <c r="AH309" s="196"/>
    </row>
    <row r="310">
      <c r="V310" s="196"/>
      <c r="W310" s="196"/>
      <c r="X310" s="196"/>
      <c r="Y310" s="196"/>
      <c r="Z310" s="196"/>
      <c r="AA310" s="196"/>
      <c r="AB310" s="196"/>
      <c r="AC310" s="196"/>
      <c r="AD310" s="196"/>
      <c r="AE310" s="196"/>
      <c r="AF310" s="196"/>
      <c r="AG310" s="196"/>
      <c r="AH310" s="196"/>
    </row>
    <row r="311">
      <c r="V311" s="196"/>
      <c r="W311" s="196"/>
      <c r="X311" s="196"/>
      <c r="Y311" s="196"/>
      <c r="Z311" s="196"/>
      <c r="AA311" s="196"/>
      <c r="AB311" s="196"/>
      <c r="AC311" s="196"/>
      <c r="AD311" s="196"/>
      <c r="AE311" s="196"/>
      <c r="AF311" s="196"/>
      <c r="AG311" s="196"/>
      <c r="AH311" s="196"/>
    </row>
    <row r="312">
      <c r="V312" s="196"/>
      <c r="W312" s="196"/>
      <c r="X312" s="196"/>
      <c r="Y312" s="196"/>
      <c r="Z312" s="196"/>
      <c r="AA312" s="196"/>
      <c r="AB312" s="196"/>
      <c r="AC312" s="196"/>
      <c r="AD312" s="196"/>
      <c r="AE312" s="196"/>
      <c r="AF312" s="196"/>
      <c r="AG312" s="196"/>
      <c r="AH312" s="196"/>
    </row>
    <row r="313">
      <c r="V313" s="196"/>
      <c r="W313" s="196"/>
      <c r="X313" s="196"/>
      <c r="Y313" s="196"/>
      <c r="Z313" s="196"/>
      <c r="AA313" s="196"/>
      <c r="AB313" s="196"/>
      <c r="AC313" s="196"/>
      <c r="AD313" s="196"/>
      <c r="AE313" s="196"/>
      <c r="AF313" s="196"/>
      <c r="AG313" s="196"/>
      <c r="AH313" s="196"/>
    </row>
    <row r="314">
      <c r="V314" s="196"/>
      <c r="W314" s="196"/>
      <c r="X314" s="196"/>
      <c r="Y314" s="196"/>
      <c r="Z314" s="196"/>
      <c r="AA314" s="196"/>
      <c r="AB314" s="196"/>
      <c r="AC314" s="196"/>
      <c r="AD314" s="196"/>
      <c r="AE314" s="196"/>
      <c r="AF314" s="196"/>
      <c r="AG314" s="196"/>
      <c r="AH314" s="196"/>
    </row>
    <row r="315">
      <c r="V315" s="196"/>
      <c r="W315" s="196"/>
      <c r="X315" s="196"/>
      <c r="Y315" s="196"/>
      <c r="Z315" s="196"/>
      <c r="AA315" s="196"/>
      <c r="AB315" s="196"/>
      <c r="AC315" s="196"/>
      <c r="AD315" s="196"/>
      <c r="AE315" s="196"/>
      <c r="AF315" s="196"/>
      <c r="AG315" s="196"/>
      <c r="AH315" s="196"/>
    </row>
    <row r="316">
      <c r="V316" s="196"/>
      <c r="W316" s="196"/>
      <c r="X316" s="196"/>
      <c r="Y316" s="196"/>
      <c r="Z316" s="196"/>
      <c r="AA316" s="196"/>
      <c r="AB316" s="196"/>
      <c r="AC316" s="196"/>
      <c r="AD316" s="196"/>
      <c r="AE316" s="196"/>
      <c r="AF316" s="196"/>
      <c r="AG316" s="196"/>
      <c r="AH316" s="196"/>
    </row>
    <row r="317">
      <c r="V317" s="196"/>
      <c r="W317" s="196"/>
      <c r="X317" s="196"/>
      <c r="Y317" s="196"/>
      <c r="Z317" s="196"/>
      <c r="AA317" s="196"/>
      <c r="AB317" s="196"/>
      <c r="AC317" s="196"/>
      <c r="AD317" s="196"/>
      <c r="AE317" s="196"/>
      <c r="AF317" s="196"/>
      <c r="AG317" s="196"/>
      <c r="AH317" s="196"/>
    </row>
    <row r="318">
      <c r="V318" s="196"/>
      <c r="W318" s="196"/>
      <c r="X318" s="196"/>
      <c r="Y318" s="196"/>
      <c r="Z318" s="196"/>
      <c r="AA318" s="196"/>
      <c r="AB318" s="196"/>
      <c r="AC318" s="196"/>
      <c r="AD318" s="196"/>
      <c r="AE318" s="196"/>
      <c r="AF318" s="196"/>
      <c r="AG318" s="196"/>
      <c r="AH318" s="196"/>
    </row>
    <row r="319">
      <c r="V319" s="196"/>
      <c r="W319" s="196"/>
      <c r="X319" s="196"/>
      <c r="Y319" s="196"/>
      <c r="Z319" s="196"/>
      <c r="AA319" s="196"/>
      <c r="AB319" s="196"/>
      <c r="AC319" s="196"/>
      <c r="AD319" s="196"/>
      <c r="AE319" s="196"/>
      <c r="AF319" s="196"/>
      <c r="AG319" s="196"/>
      <c r="AH319" s="196"/>
    </row>
    <row r="320">
      <c r="V320" s="196"/>
      <c r="W320" s="196"/>
      <c r="X320" s="196"/>
      <c r="Y320" s="196"/>
      <c r="Z320" s="196"/>
      <c r="AA320" s="196"/>
      <c r="AB320" s="196"/>
      <c r="AC320" s="196"/>
      <c r="AD320" s="196"/>
      <c r="AE320" s="196"/>
      <c r="AF320" s="196"/>
      <c r="AG320" s="196"/>
      <c r="AH320" s="196"/>
    </row>
    <row r="321">
      <c r="V321" s="196"/>
      <c r="W321" s="196"/>
      <c r="X321" s="196"/>
      <c r="Y321" s="196"/>
      <c r="Z321" s="196"/>
      <c r="AA321" s="196"/>
      <c r="AB321" s="196"/>
      <c r="AC321" s="196"/>
      <c r="AD321" s="196"/>
      <c r="AE321" s="196"/>
      <c r="AF321" s="196"/>
      <c r="AG321" s="196"/>
      <c r="AH321" s="196"/>
    </row>
    <row r="322">
      <c r="V322" s="196"/>
      <c r="W322" s="196"/>
      <c r="X322" s="196"/>
      <c r="Y322" s="196"/>
      <c r="Z322" s="196"/>
      <c r="AA322" s="196"/>
      <c r="AB322" s="196"/>
      <c r="AC322" s="196"/>
      <c r="AD322" s="196"/>
      <c r="AE322" s="196"/>
      <c r="AF322" s="196"/>
      <c r="AG322" s="196"/>
      <c r="AH322" s="196"/>
    </row>
    <row r="323">
      <c r="V323" s="196"/>
      <c r="W323" s="196"/>
      <c r="X323" s="196"/>
      <c r="Y323" s="196"/>
      <c r="Z323" s="196"/>
      <c r="AA323" s="196"/>
      <c r="AB323" s="196"/>
      <c r="AC323" s="196"/>
      <c r="AD323" s="196"/>
      <c r="AE323" s="196"/>
      <c r="AF323" s="196"/>
      <c r="AG323" s="196"/>
      <c r="AH323" s="196"/>
    </row>
    <row r="324">
      <c r="V324" s="196"/>
      <c r="W324" s="196"/>
      <c r="X324" s="196"/>
      <c r="Y324" s="196"/>
      <c r="Z324" s="196"/>
      <c r="AA324" s="196"/>
      <c r="AB324" s="196"/>
      <c r="AC324" s="196"/>
      <c r="AD324" s="196"/>
      <c r="AE324" s="196"/>
      <c r="AF324" s="196"/>
      <c r="AG324" s="196"/>
      <c r="AH324" s="196"/>
    </row>
    <row r="325">
      <c r="V325" s="196"/>
      <c r="W325" s="196"/>
      <c r="X325" s="196"/>
      <c r="Y325" s="196"/>
      <c r="Z325" s="196"/>
      <c r="AA325" s="196"/>
      <c r="AB325" s="196"/>
      <c r="AC325" s="196"/>
      <c r="AD325" s="196"/>
      <c r="AE325" s="196"/>
      <c r="AF325" s="196"/>
      <c r="AG325" s="196"/>
      <c r="AH325" s="196"/>
    </row>
    <row r="326">
      <c r="V326" s="196"/>
      <c r="W326" s="196"/>
      <c r="X326" s="196"/>
      <c r="Y326" s="196"/>
      <c r="Z326" s="196"/>
      <c r="AA326" s="196"/>
      <c r="AB326" s="196"/>
      <c r="AC326" s="196"/>
      <c r="AD326" s="196"/>
      <c r="AE326" s="196"/>
      <c r="AF326" s="196"/>
      <c r="AG326" s="196"/>
      <c r="AH326" s="196"/>
    </row>
    <row r="327">
      <c r="V327" s="196"/>
      <c r="W327" s="196"/>
      <c r="X327" s="196"/>
      <c r="Y327" s="196"/>
      <c r="Z327" s="196"/>
      <c r="AA327" s="196"/>
      <c r="AB327" s="196"/>
      <c r="AC327" s="196"/>
      <c r="AD327" s="196"/>
      <c r="AE327" s="196"/>
      <c r="AF327" s="196"/>
      <c r="AG327" s="196"/>
      <c r="AH327" s="196"/>
    </row>
    <row r="328">
      <c r="V328" s="196"/>
      <c r="W328" s="196"/>
      <c r="X328" s="196"/>
      <c r="Y328" s="196"/>
      <c r="Z328" s="196"/>
      <c r="AA328" s="196"/>
      <c r="AB328" s="196"/>
      <c r="AC328" s="196"/>
      <c r="AD328" s="196"/>
      <c r="AE328" s="196"/>
      <c r="AF328" s="196"/>
      <c r="AG328" s="196"/>
      <c r="AH328" s="196"/>
    </row>
    <row r="329">
      <c r="V329" s="196"/>
      <c r="W329" s="196"/>
      <c r="X329" s="196"/>
      <c r="Y329" s="196"/>
      <c r="Z329" s="196"/>
      <c r="AA329" s="196"/>
      <c r="AB329" s="196"/>
      <c r="AC329" s="196"/>
      <c r="AD329" s="196"/>
      <c r="AE329" s="196"/>
      <c r="AF329" s="196"/>
      <c r="AG329" s="196"/>
      <c r="AH329" s="196"/>
    </row>
    <row r="330">
      <c r="V330" s="196"/>
      <c r="W330" s="196"/>
      <c r="X330" s="196"/>
      <c r="Y330" s="196"/>
      <c r="Z330" s="196"/>
      <c r="AA330" s="196"/>
      <c r="AB330" s="196"/>
      <c r="AC330" s="196"/>
      <c r="AD330" s="196"/>
      <c r="AE330" s="196"/>
      <c r="AF330" s="196"/>
      <c r="AG330" s="196"/>
      <c r="AH330" s="196"/>
    </row>
    <row r="331">
      <c r="V331" s="196"/>
      <c r="W331" s="196"/>
      <c r="X331" s="196"/>
      <c r="Y331" s="196"/>
      <c r="Z331" s="196"/>
      <c r="AA331" s="196"/>
      <c r="AB331" s="196"/>
      <c r="AC331" s="196"/>
      <c r="AD331" s="196"/>
      <c r="AE331" s="196"/>
      <c r="AF331" s="196"/>
      <c r="AG331" s="196"/>
      <c r="AH331" s="196"/>
    </row>
    <row r="332">
      <c r="V332" s="196"/>
      <c r="W332" s="196"/>
      <c r="X332" s="196"/>
      <c r="Y332" s="196"/>
      <c r="Z332" s="196"/>
      <c r="AA332" s="196"/>
      <c r="AB332" s="196"/>
      <c r="AC332" s="196"/>
      <c r="AD332" s="196"/>
      <c r="AE332" s="196"/>
      <c r="AF332" s="196"/>
      <c r="AG332" s="196"/>
      <c r="AH332" s="196"/>
    </row>
    <row r="333">
      <c r="V333" s="196"/>
      <c r="W333" s="196"/>
      <c r="X333" s="196"/>
      <c r="Y333" s="196"/>
      <c r="Z333" s="196"/>
      <c r="AA333" s="196"/>
      <c r="AB333" s="196"/>
      <c r="AC333" s="196"/>
      <c r="AD333" s="196"/>
      <c r="AE333" s="196"/>
      <c r="AF333" s="196"/>
      <c r="AG333" s="196"/>
      <c r="AH333" s="196"/>
    </row>
    <row r="334">
      <c r="V334" s="196"/>
      <c r="W334" s="196"/>
      <c r="X334" s="196"/>
      <c r="Y334" s="196"/>
      <c r="Z334" s="196"/>
      <c r="AA334" s="196"/>
      <c r="AB334" s="196"/>
      <c r="AC334" s="196"/>
      <c r="AD334" s="196"/>
      <c r="AE334" s="196"/>
      <c r="AF334" s="196"/>
      <c r="AG334" s="196"/>
      <c r="AH334" s="196"/>
    </row>
    <row r="335">
      <c r="V335" s="196"/>
      <c r="W335" s="196"/>
      <c r="X335" s="196"/>
      <c r="Y335" s="196"/>
      <c r="Z335" s="196"/>
      <c r="AA335" s="196"/>
      <c r="AB335" s="196"/>
      <c r="AC335" s="196"/>
      <c r="AD335" s="196"/>
      <c r="AE335" s="196"/>
      <c r="AF335" s="196"/>
      <c r="AG335" s="196"/>
      <c r="AH335" s="196"/>
    </row>
    <row r="336">
      <c r="V336" s="196"/>
      <c r="W336" s="196"/>
      <c r="X336" s="196"/>
      <c r="Y336" s="196"/>
      <c r="Z336" s="196"/>
      <c r="AA336" s="196"/>
      <c r="AB336" s="196"/>
      <c r="AC336" s="196"/>
      <c r="AD336" s="196"/>
      <c r="AE336" s="196"/>
      <c r="AF336" s="196"/>
      <c r="AG336" s="196"/>
      <c r="AH336" s="196"/>
    </row>
    <row r="337">
      <c r="V337" s="196"/>
      <c r="W337" s="196"/>
      <c r="X337" s="196"/>
      <c r="Y337" s="196"/>
      <c r="Z337" s="196"/>
      <c r="AA337" s="196"/>
      <c r="AB337" s="196"/>
      <c r="AC337" s="196"/>
      <c r="AD337" s="196"/>
      <c r="AE337" s="196"/>
      <c r="AF337" s="196"/>
      <c r="AG337" s="196"/>
      <c r="AH337" s="196"/>
    </row>
    <row r="338">
      <c r="V338" s="196"/>
      <c r="W338" s="196"/>
      <c r="X338" s="196"/>
      <c r="Y338" s="196"/>
      <c r="Z338" s="196"/>
      <c r="AA338" s="196"/>
      <c r="AB338" s="196"/>
      <c r="AC338" s="196"/>
      <c r="AD338" s="196"/>
      <c r="AE338" s="196"/>
      <c r="AF338" s="196"/>
      <c r="AG338" s="196"/>
      <c r="AH338" s="196"/>
    </row>
    <row r="339">
      <c r="V339" s="196"/>
      <c r="W339" s="196"/>
      <c r="X339" s="196"/>
      <c r="Y339" s="196"/>
      <c r="Z339" s="196"/>
      <c r="AA339" s="196"/>
      <c r="AB339" s="196"/>
      <c r="AC339" s="196"/>
      <c r="AD339" s="196"/>
      <c r="AE339" s="196"/>
      <c r="AF339" s="196"/>
      <c r="AG339" s="196"/>
      <c r="AH339" s="196"/>
    </row>
    <row r="340">
      <c r="V340" s="196"/>
      <c r="W340" s="196"/>
      <c r="X340" s="196"/>
      <c r="Y340" s="196"/>
      <c r="Z340" s="196"/>
      <c r="AA340" s="196"/>
      <c r="AB340" s="196"/>
      <c r="AC340" s="196"/>
      <c r="AD340" s="196"/>
      <c r="AE340" s="196"/>
      <c r="AF340" s="196"/>
      <c r="AG340" s="196"/>
      <c r="AH340" s="196"/>
    </row>
    <row r="341">
      <c r="V341" s="196"/>
      <c r="W341" s="196"/>
      <c r="X341" s="196"/>
      <c r="Y341" s="196"/>
      <c r="Z341" s="196"/>
      <c r="AA341" s="196"/>
      <c r="AB341" s="196"/>
      <c r="AC341" s="196"/>
      <c r="AD341" s="196"/>
      <c r="AE341" s="196"/>
      <c r="AF341" s="196"/>
      <c r="AG341" s="196"/>
      <c r="AH341" s="196"/>
    </row>
    <row r="342">
      <c r="V342" s="196"/>
      <c r="W342" s="196"/>
      <c r="X342" s="196"/>
      <c r="Y342" s="196"/>
      <c r="Z342" s="196"/>
      <c r="AA342" s="196"/>
      <c r="AB342" s="196"/>
      <c r="AC342" s="196"/>
      <c r="AD342" s="196"/>
      <c r="AE342" s="196"/>
      <c r="AF342" s="196"/>
      <c r="AG342" s="196"/>
      <c r="AH342" s="196"/>
    </row>
    <row r="343">
      <c r="V343" s="196"/>
      <c r="W343" s="196"/>
      <c r="X343" s="196"/>
      <c r="Y343" s="196"/>
      <c r="Z343" s="196"/>
      <c r="AA343" s="196"/>
      <c r="AB343" s="196"/>
      <c r="AC343" s="196"/>
      <c r="AD343" s="196"/>
      <c r="AE343" s="196"/>
      <c r="AF343" s="196"/>
      <c r="AG343" s="196"/>
      <c r="AH343" s="196"/>
    </row>
    <row r="344">
      <c r="V344" s="196"/>
      <c r="W344" s="196"/>
      <c r="X344" s="196"/>
      <c r="Y344" s="196"/>
      <c r="Z344" s="196"/>
      <c r="AA344" s="196"/>
      <c r="AB344" s="196"/>
      <c r="AC344" s="196"/>
      <c r="AD344" s="196"/>
      <c r="AE344" s="196"/>
      <c r="AF344" s="196"/>
      <c r="AG344" s="196"/>
      <c r="AH344" s="196"/>
    </row>
    <row r="345">
      <c r="V345" s="196"/>
      <c r="W345" s="196"/>
      <c r="X345" s="196"/>
      <c r="Y345" s="196"/>
      <c r="Z345" s="196"/>
      <c r="AA345" s="196"/>
      <c r="AB345" s="196"/>
      <c r="AC345" s="196"/>
      <c r="AD345" s="196"/>
      <c r="AE345" s="196"/>
      <c r="AF345" s="196"/>
      <c r="AG345" s="196"/>
      <c r="AH345" s="196"/>
    </row>
    <row r="346">
      <c r="V346" s="196"/>
      <c r="W346" s="196"/>
      <c r="X346" s="196"/>
      <c r="Y346" s="196"/>
      <c r="Z346" s="196"/>
      <c r="AA346" s="196"/>
      <c r="AB346" s="196"/>
      <c r="AC346" s="196"/>
      <c r="AD346" s="196"/>
      <c r="AE346" s="196"/>
      <c r="AF346" s="196"/>
      <c r="AG346" s="196"/>
      <c r="AH346" s="196"/>
    </row>
    <row r="347">
      <c r="V347" s="196"/>
      <c r="W347" s="196"/>
      <c r="X347" s="196"/>
      <c r="Y347" s="196"/>
      <c r="Z347" s="196"/>
      <c r="AA347" s="196"/>
      <c r="AB347" s="196"/>
      <c r="AC347" s="196"/>
      <c r="AD347" s="196"/>
      <c r="AE347" s="196"/>
      <c r="AF347" s="196"/>
      <c r="AG347" s="196"/>
      <c r="AH347" s="196"/>
    </row>
    <row r="348">
      <c r="V348" s="196"/>
      <c r="W348" s="196"/>
      <c r="X348" s="196"/>
      <c r="Y348" s="196"/>
      <c r="Z348" s="196"/>
      <c r="AA348" s="196"/>
      <c r="AB348" s="196"/>
      <c r="AC348" s="196"/>
      <c r="AD348" s="196"/>
      <c r="AE348" s="196"/>
      <c r="AF348" s="196"/>
      <c r="AG348" s="196"/>
      <c r="AH348" s="196"/>
    </row>
    <row r="349">
      <c r="V349" s="196"/>
      <c r="W349" s="196"/>
      <c r="X349" s="196"/>
      <c r="Y349" s="196"/>
      <c r="Z349" s="196"/>
      <c r="AA349" s="196"/>
      <c r="AB349" s="196"/>
      <c r="AC349" s="196"/>
      <c r="AD349" s="196"/>
      <c r="AE349" s="196"/>
      <c r="AF349" s="196"/>
      <c r="AG349" s="196"/>
      <c r="AH349" s="196"/>
    </row>
    <row r="350">
      <c r="V350" s="196"/>
      <c r="W350" s="196"/>
      <c r="X350" s="196"/>
      <c r="Y350" s="196"/>
      <c r="Z350" s="196"/>
      <c r="AA350" s="196"/>
      <c r="AB350" s="196"/>
      <c r="AC350" s="196"/>
      <c r="AD350" s="196"/>
      <c r="AE350" s="196"/>
      <c r="AF350" s="196"/>
      <c r="AG350" s="196"/>
      <c r="AH350" s="196"/>
    </row>
    <row r="351">
      <c r="V351" s="196"/>
      <c r="W351" s="196"/>
      <c r="X351" s="196"/>
      <c r="Y351" s="196"/>
      <c r="Z351" s="196"/>
      <c r="AA351" s="196"/>
      <c r="AB351" s="196"/>
      <c r="AC351" s="196"/>
      <c r="AD351" s="196"/>
      <c r="AE351" s="196"/>
      <c r="AF351" s="196"/>
      <c r="AG351" s="196"/>
      <c r="AH351" s="196"/>
    </row>
    <row r="352">
      <c r="V352" s="196"/>
      <c r="W352" s="196"/>
      <c r="X352" s="196"/>
      <c r="Y352" s="196"/>
      <c r="Z352" s="196"/>
      <c r="AA352" s="196"/>
      <c r="AB352" s="196"/>
      <c r="AC352" s="196"/>
      <c r="AD352" s="196"/>
      <c r="AE352" s="196"/>
      <c r="AF352" s="196"/>
      <c r="AG352" s="196"/>
      <c r="AH352" s="196"/>
    </row>
    <row r="353">
      <c r="V353" s="196"/>
      <c r="W353" s="196"/>
      <c r="X353" s="196"/>
      <c r="Y353" s="196"/>
      <c r="Z353" s="196"/>
      <c r="AA353" s="196"/>
      <c r="AB353" s="196"/>
      <c r="AC353" s="196"/>
      <c r="AD353" s="196"/>
      <c r="AE353" s="196"/>
      <c r="AF353" s="196"/>
      <c r="AG353" s="196"/>
      <c r="AH353" s="196"/>
    </row>
    <row r="354">
      <c r="V354" s="196"/>
      <c r="W354" s="196"/>
      <c r="X354" s="196"/>
      <c r="Y354" s="196"/>
      <c r="Z354" s="196"/>
      <c r="AA354" s="196"/>
      <c r="AB354" s="196"/>
      <c r="AC354" s="196"/>
      <c r="AD354" s="196"/>
      <c r="AE354" s="196"/>
      <c r="AF354" s="196"/>
      <c r="AG354" s="196"/>
      <c r="AH354" s="196"/>
    </row>
    <row r="355">
      <c r="V355" s="196"/>
      <c r="W355" s="196"/>
      <c r="X355" s="196"/>
      <c r="Y355" s="196"/>
      <c r="Z355" s="196"/>
      <c r="AA355" s="196"/>
      <c r="AB355" s="196"/>
      <c r="AC355" s="196"/>
      <c r="AD355" s="196"/>
      <c r="AE355" s="196"/>
      <c r="AF355" s="196"/>
      <c r="AG355" s="196"/>
      <c r="AH355" s="196"/>
    </row>
    <row r="356">
      <c r="V356" s="196"/>
      <c r="W356" s="196"/>
      <c r="X356" s="196"/>
      <c r="Y356" s="196"/>
      <c r="Z356" s="196"/>
      <c r="AA356" s="196"/>
      <c r="AB356" s="196"/>
      <c r="AC356" s="196"/>
      <c r="AD356" s="196"/>
      <c r="AE356" s="196"/>
      <c r="AF356" s="196"/>
      <c r="AG356" s="196"/>
      <c r="AH356" s="196"/>
    </row>
    <row r="357">
      <c r="V357" s="196"/>
      <c r="W357" s="196"/>
      <c r="X357" s="196"/>
      <c r="Y357" s="196"/>
      <c r="Z357" s="196"/>
      <c r="AA357" s="196"/>
      <c r="AB357" s="196"/>
      <c r="AC357" s="196"/>
      <c r="AD357" s="196"/>
      <c r="AE357" s="196"/>
      <c r="AF357" s="196"/>
      <c r="AG357" s="196"/>
      <c r="AH357" s="196"/>
    </row>
    <row r="358">
      <c r="V358" s="196"/>
      <c r="W358" s="196"/>
      <c r="X358" s="196"/>
      <c r="Y358" s="196"/>
      <c r="Z358" s="196"/>
      <c r="AA358" s="196"/>
      <c r="AB358" s="196"/>
      <c r="AC358" s="196"/>
      <c r="AD358" s="196"/>
      <c r="AE358" s="196"/>
      <c r="AF358" s="196"/>
      <c r="AG358" s="196"/>
      <c r="AH358" s="196"/>
    </row>
    <row r="359">
      <c r="V359" s="196"/>
      <c r="W359" s="196"/>
      <c r="X359" s="196"/>
      <c r="Y359" s="196"/>
      <c r="Z359" s="196"/>
      <c r="AA359" s="196"/>
      <c r="AB359" s="196"/>
      <c r="AC359" s="196"/>
      <c r="AD359" s="196"/>
      <c r="AE359" s="196"/>
      <c r="AF359" s="196"/>
      <c r="AG359" s="196"/>
      <c r="AH359" s="196"/>
    </row>
    <row r="360">
      <c r="V360" s="196"/>
      <c r="W360" s="196"/>
      <c r="X360" s="196"/>
      <c r="Y360" s="196"/>
      <c r="Z360" s="196"/>
      <c r="AA360" s="196"/>
      <c r="AB360" s="196"/>
      <c r="AC360" s="196"/>
      <c r="AD360" s="196"/>
      <c r="AE360" s="196"/>
      <c r="AF360" s="196"/>
      <c r="AG360" s="196"/>
      <c r="AH360" s="196"/>
    </row>
    <row r="361">
      <c r="V361" s="196"/>
      <c r="W361" s="196"/>
      <c r="X361" s="196"/>
      <c r="Y361" s="196"/>
      <c r="Z361" s="196"/>
      <c r="AA361" s="196"/>
      <c r="AB361" s="196"/>
      <c r="AC361" s="196"/>
      <c r="AD361" s="196"/>
      <c r="AE361" s="196"/>
      <c r="AF361" s="196"/>
      <c r="AG361" s="196"/>
      <c r="AH361" s="196"/>
    </row>
    <row r="362">
      <c r="V362" s="196"/>
      <c r="W362" s="196"/>
      <c r="X362" s="196"/>
      <c r="Y362" s="196"/>
      <c r="Z362" s="196"/>
      <c r="AA362" s="196"/>
      <c r="AB362" s="196"/>
      <c r="AC362" s="196"/>
      <c r="AD362" s="196"/>
      <c r="AE362" s="196"/>
      <c r="AF362" s="196"/>
      <c r="AG362" s="196"/>
      <c r="AH362" s="196"/>
    </row>
    <row r="363">
      <c r="V363" s="196"/>
      <c r="W363" s="196"/>
      <c r="X363" s="196"/>
      <c r="Y363" s="196"/>
      <c r="Z363" s="196"/>
      <c r="AA363" s="196"/>
      <c r="AB363" s="196"/>
      <c r="AC363" s="196"/>
      <c r="AD363" s="196"/>
      <c r="AE363" s="196"/>
      <c r="AF363" s="196"/>
      <c r="AG363" s="196"/>
      <c r="AH363" s="196"/>
    </row>
    <row r="364">
      <c r="V364" s="196"/>
      <c r="W364" s="196"/>
      <c r="X364" s="196"/>
      <c r="Y364" s="196"/>
      <c r="Z364" s="196"/>
      <c r="AA364" s="196"/>
      <c r="AB364" s="196"/>
      <c r="AC364" s="196"/>
      <c r="AD364" s="196"/>
      <c r="AE364" s="196"/>
      <c r="AF364" s="196"/>
      <c r="AG364" s="196"/>
      <c r="AH364" s="196"/>
    </row>
    <row r="365">
      <c r="V365" s="196"/>
      <c r="W365" s="196"/>
      <c r="X365" s="196"/>
      <c r="Y365" s="196"/>
      <c r="Z365" s="196"/>
      <c r="AA365" s="196"/>
      <c r="AB365" s="196"/>
      <c r="AC365" s="196"/>
      <c r="AD365" s="196"/>
      <c r="AE365" s="196"/>
      <c r="AF365" s="196"/>
      <c r="AG365" s="196"/>
      <c r="AH365" s="196"/>
    </row>
    <row r="366">
      <c r="V366" s="196"/>
      <c r="W366" s="196"/>
      <c r="X366" s="196"/>
      <c r="Y366" s="196"/>
      <c r="Z366" s="196"/>
      <c r="AA366" s="196"/>
      <c r="AB366" s="196"/>
      <c r="AC366" s="196"/>
      <c r="AD366" s="196"/>
      <c r="AE366" s="196"/>
      <c r="AF366" s="196"/>
      <c r="AG366" s="196"/>
      <c r="AH366" s="196"/>
    </row>
    <row r="367">
      <c r="V367" s="196"/>
      <c r="W367" s="196"/>
      <c r="X367" s="196"/>
      <c r="Y367" s="196"/>
      <c r="Z367" s="196"/>
      <c r="AA367" s="196"/>
      <c r="AB367" s="196"/>
      <c r="AC367" s="196"/>
      <c r="AD367" s="196"/>
      <c r="AE367" s="196"/>
      <c r="AF367" s="196"/>
      <c r="AG367" s="196"/>
      <c r="AH367" s="196"/>
    </row>
    <row r="368">
      <c r="V368" s="196"/>
      <c r="W368" s="196"/>
      <c r="X368" s="196"/>
      <c r="Y368" s="196"/>
      <c r="Z368" s="196"/>
      <c r="AA368" s="196"/>
      <c r="AB368" s="196"/>
      <c r="AC368" s="196"/>
      <c r="AD368" s="196"/>
      <c r="AE368" s="196"/>
      <c r="AF368" s="196"/>
      <c r="AG368" s="196"/>
      <c r="AH368" s="196"/>
    </row>
    <row r="369">
      <c r="V369" s="196"/>
      <c r="W369" s="196"/>
      <c r="X369" s="196"/>
      <c r="Y369" s="196"/>
      <c r="Z369" s="196"/>
      <c r="AA369" s="196"/>
      <c r="AB369" s="196"/>
      <c r="AC369" s="196"/>
      <c r="AD369" s="196"/>
      <c r="AE369" s="196"/>
      <c r="AF369" s="196"/>
      <c r="AG369" s="196"/>
      <c r="AH369" s="196"/>
    </row>
    <row r="370">
      <c r="V370" s="196"/>
      <c r="W370" s="196"/>
      <c r="X370" s="196"/>
      <c r="Y370" s="196"/>
      <c r="Z370" s="196"/>
      <c r="AA370" s="196"/>
      <c r="AB370" s="196"/>
      <c r="AC370" s="196"/>
      <c r="AD370" s="196"/>
      <c r="AE370" s="196"/>
      <c r="AF370" s="196"/>
      <c r="AG370" s="196"/>
      <c r="AH370" s="196"/>
    </row>
    <row r="371">
      <c r="V371" s="196"/>
      <c r="W371" s="196"/>
      <c r="X371" s="196"/>
      <c r="Y371" s="196"/>
      <c r="Z371" s="196"/>
      <c r="AA371" s="196"/>
      <c r="AB371" s="196"/>
      <c r="AC371" s="196"/>
      <c r="AD371" s="196"/>
      <c r="AE371" s="196"/>
      <c r="AF371" s="196"/>
      <c r="AG371" s="196"/>
      <c r="AH371" s="196"/>
    </row>
    <row r="372">
      <c r="V372" s="196"/>
      <c r="W372" s="196"/>
      <c r="X372" s="196"/>
      <c r="Y372" s="196"/>
      <c r="Z372" s="196"/>
      <c r="AA372" s="196"/>
      <c r="AB372" s="196"/>
      <c r="AC372" s="196"/>
      <c r="AD372" s="196"/>
      <c r="AE372" s="196"/>
      <c r="AF372" s="196"/>
      <c r="AG372" s="196"/>
      <c r="AH372" s="196"/>
    </row>
    <row r="373">
      <c r="V373" s="196"/>
      <c r="W373" s="196"/>
      <c r="X373" s="196"/>
      <c r="Y373" s="196"/>
      <c r="Z373" s="196"/>
      <c r="AA373" s="196"/>
      <c r="AB373" s="196"/>
      <c r="AC373" s="196"/>
      <c r="AD373" s="196"/>
      <c r="AE373" s="196"/>
      <c r="AF373" s="196"/>
      <c r="AG373" s="196"/>
      <c r="AH373" s="196"/>
    </row>
    <row r="374">
      <c r="V374" s="196"/>
      <c r="W374" s="196"/>
      <c r="X374" s="196"/>
      <c r="Y374" s="196"/>
      <c r="Z374" s="196"/>
      <c r="AA374" s="196"/>
      <c r="AB374" s="196"/>
      <c r="AC374" s="196"/>
      <c r="AD374" s="196"/>
      <c r="AE374" s="196"/>
      <c r="AF374" s="196"/>
      <c r="AG374" s="196"/>
      <c r="AH374" s="196"/>
    </row>
    <row r="375">
      <c r="V375" s="196"/>
      <c r="W375" s="196"/>
      <c r="X375" s="196"/>
      <c r="Y375" s="196"/>
      <c r="Z375" s="196"/>
      <c r="AA375" s="196"/>
      <c r="AB375" s="196"/>
      <c r="AC375" s="196"/>
      <c r="AD375" s="196"/>
      <c r="AE375" s="196"/>
      <c r="AF375" s="196"/>
      <c r="AG375" s="196"/>
      <c r="AH375" s="196"/>
    </row>
    <row r="376">
      <c r="V376" s="196"/>
      <c r="W376" s="196"/>
      <c r="X376" s="196"/>
      <c r="Y376" s="196"/>
      <c r="Z376" s="196"/>
      <c r="AA376" s="196"/>
      <c r="AB376" s="196"/>
      <c r="AC376" s="196"/>
      <c r="AD376" s="196"/>
      <c r="AE376" s="196"/>
      <c r="AF376" s="196"/>
      <c r="AG376" s="196"/>
      <c r="AH376" s="196"/>
    </row>
    <row r="377">
      <c r="V377" s="196"/>
      <c r="W377" s="196"/>
      <c r="X377" s="196"/>
      <c r="Y377" s="196"/>
      <c r="Z377" s="196"/>
      <c r="AA377" s="196"/>
      <c r="AB377" s="196"/>
      <c r="AC377" s="196"/>
      <c r="AD377" s="196"/>
      <c r="AE377" s="196"/>
      <c r="AF377" s="196"/>
      <c r="AG377" s="196"/>
      <c r="AH377" s="196"/>
    </row>
    <row r="378">
      <c r="V378" s="196"/>
      <c r="W378" s="196"/>
      <c r="X378" s="196"/>
      <c r="Y378" s="196"/>
      <c r="Z378" s="196"/>
      <c r="AA378" s="196"/>
      <c r="AB378" s="196"/>
      <c r="AC378" s="196"/>
      <c r="AD378" s="196"/>
      <c r="AE378" s="196"/>
      <c r="AF378" s="196"/>
      <c r="AG378" s="196"/>
      <c r="AH378" s="196"/>
    </row>
    <row r="379">
      <c r="V379" s="196"/>
      <c r="W379" s="196"/>
      <c r="X379" s="196"/>
      <c r="Y379" s="196"/>
      <c r="Z379" s="196"/>
      <c r="AA379" s="196"/>
      <c r="AB379" s="196"/>
      <c r="AC379" s="196"/>
      <c r="AD379" s="196"/>
      <c r="AE379" s="196"/>
      <c r="AF379" s="196"/>
      <c r="AG379" s="196"/>
      <c r="AH379" s="196"/>
    </row>
    <row r="380">
      <c r="V380" s="196"/>
      <c r="W380" s="196"/>
      <c r="X380" s="196"/>
      <c r="Y380" s="196"/>
      <c r="Z380" s="196"/>
      <c r="AA380" s="196"/>
      <c r="AB380" s="196"/>
      <c r="AC380" s="196"/>
      <c r="AD380" s="196"/>
      <c r="AE380" s="196"/>
      <c r="AF380" s="196"/>
      <c r="AG380" s="196"/>
      <c r="AH380" s="196"/>
    </row>
    <row r="381">
      <c r="V381" s="196"/>
      <c r="W381" s="196"/>
      <c r="X381" s="196"/>
      <c r="Y381" s="196"/>
      <c r="Z381" s="196"/>
      <c r="AA381" s="196"/>
      <c r="AB381" s="196"/>
      <c r="AC381" s="196"/>
      <c r="AD381" s="196"/>
      <c r="AE381" s="196"/>
      <c r="AF381" s="196"/>
      <c r="AG381" s="196"/>
      <c r="AH381" s="196"/>
    </row>
    <row r="382">
      <c r="V382" s="196"/>
      <c r="W382" s="196"/>
      <c r="X382" s="196"/>
      <c r="Y382" s="196"/>
      <c r="Z382" s="196"/>
      <c r="AA382" s="196"/>
      <c r="AB382" s="196"/>
      <c r="AC382" s="196"/>
      <c r="AD382" s="196"/>
      <c r="AE382" s="196"/>
      <c r="AF382" s="196"/>
      <c r="AG382" s="196"/>
      <c r="AH382" s="196"/>
    </row>
    <row r="383">
      <c r="V383" s="196"/>
      <c r="W383" s="196"/>
      <c r="X383" s="196"/>
      <c r="Y383" s="196"/>
      <c r="Z383" s="196"/>
      <c r="AA383" s="196"/>
      <c r="AB383" s="196"/>
      <c r="AC383" s="196"/>
      <c r="AD383" s="196"/>
      <c r="AE383" s="196"/>
      <c r="AF383" s="196"/>
      <c r="AG383" s="196"/>
      <c r="AH383" s="196"/>
    </row>
    <row r="384">
      <c r="V384" s="196"/>
      <c r="W384" s="196"/>
      <c r="X384" s="196"/>
      <c r="Y384" s="196"/>
      <c r="Z384" s="196"/>
      <c r="AA384" s="196"/>
      <c r="AB384" s="196"/>
      <c r="AC384" s="196"/>
      <c r="AD384" s="196"/>
      <c r="AE384" s="196"/>
      <c r="AF384" s="196"/>
      <c r="AG384" s="196"/>
      <c r="AH384" s="196"/>
    </row>
    <row r="385">
      <c r="V385" s="196"/>
      <c r="W385" s="196"/>
      <c r="X385" s="196"/>
      <c r="Y385" s="196"/>
      <c r="Z385" s="196"/>
      <c r="AA385" s="196"/>
      <c r="AB385" s="196"/>
      <c r="AC385" s="196"/>
      <c r="AD385" s="196"/>
      <c r="AE385" s="196"/>
      <c r="AF385" s="196"/>
      <c r="AG385" s="196"/>
      <c r="AH385" s="196"/>
    </row>
    <row r="386">
      <c r="V386" s="196"/>
      <c r="W386" s="196"/>
      <c r="X386" s="196"/>
      <c r="Y386" s="196"/>
      <c r="Z386" s="196"/>
      <c r="AA386" s="196"/>
      <c r="AB386" s="196"/>
      <c r="AC386" s="196"/>
      <c r="AD386" s="196"/>
      <c r="AE386" s="196"/>
      <c r="AF386" s="196"/>
      <c r="AG386" s="196"/>
      <c r="AH386" s="196"/>
    </row>
    <row r="387">
      <c r="V387" s="196"/>
      <c r="W387" s="196"/>
      <c r="X387" s="196"/>
      <c r="Y387" s="196"/>
      <c r="Z387" s="196"/>
      <c r="AA387" s="196"/>
      <c r="AB387" s="196"/>
      <c r="AC387" s="196"/>
      <c r="AD387" s="196"/>
      <c r="AE387" s="196"/>
      <c r="AF387" s="196"/>
      <c r="AG387" s="196"/>
      <c r="AH387" s="196"/>
    </row>
    <row r="388">
      <c r="V388" s="196"/>
      <c r="W388" s="196"/>
      <c r="X388" s="196"/>
      <c r="Y388" s="196"/>
      <c r="Z388" s="196"/>
      <c r="AA388" s="196"/>
      <c r="AB388" s="196"/>
      <c r="AC388" s="196"/>
      <c r="AD388" s="196"/>
      <c r="AE388" s="196"/>
      <c r="AF388" s="196"/>
      <c r="AG388" s="196"/>
      <c r="AH388" s="196"/>
    </row>
    <row r="389">
      <c r="V389" s="196"/>
      <c r="W389" s="196"/>
      <c r="X389" s="196"/>
      <c r="Y389" s="196"/>
      <c r="Z389" s="196"/>
      <c r="AA389" s="196"/>
      <c r="AB389" s="196"/>
      <c r="AC389" s="196"/>
      <c r="AD389" s="196"/>
      <c r="AE389" s="196"/>
      <c r="AF389" s="196"/>
      <c r="AG389" s="196"/>
      <c r="AH389" s="196"/>
    </row>
    <row r="390">
      <c r="V390" s="196"/>
      <c r="W390" s="196"/>
      <c r="X390" s="196"/>
      <c r="Y390" s="196"/>
      <c r="Z390" s="196"/>
      <c r="AA390" s="196"/>
      <c r="AB390" s="196"/>
      <c r="AC390" s="196"/>
      <c r="AD390" s="196"/>
      <c r="AE390" s="196"/>
      <c r="AF390" s="196"/>
      <c r="AG390" s="196"/>
      <c r="AH390" s="196"/>
    </row>
    <row r="391">
      <c r="V391" s="196"/>
      <c r="W391" s="196"/>
      <c r="X391" s="196"/>
      <c r="Y391" s="196"/>
      <c r="Z391" s="196"/>
      <c r="AA391" s="196"/>
      <c r="AB391" s="196"/>
      <c r="AC391" s="196"/>
      <c r="AD391" s="196"/>
      <c r="AE391" s="196"/>
      <c r="AF391" s="196"/>
      <c r="AG391" s="196"/>
      <c r="AH391" s="196"/>
    </row>
    <row r="392">
      <c r="V392" s="196"/>
      <c r="W392" s="196"/>
      <c r="X392" s="196"/>
      <c r="Y392" s="196"/>
      <c r="Z392" s="196"/>
      <c r="AA392" s="196"/>
      <c r="AB392" s="196"/>
      <c r="AC392" s="196"/>
      <c r="AD392" s="196"/>
      <c r="AE392" s="196"/>
      <c r="AF392" s="196"/>
      <c r="AG392" s="196"/>
      <c r="AH392" s="196"/>
    </row>
    <row r="393">
      <c r="V393" s="196"/>
      <c r="W393" s="196"/>
      <c r="X393" s="196"/>
      <c r="Y393" s="196"/>
      <c r="Z393" s="196"/>
      <c r="AA393" s="196"/>
      <c r="AB393" s="196"/>
      <c r="AC393" s="196"/>
      <c r="AD393" s="196"/>
      <c r="AE393" s="196"/>
      <c r="AF393" s="196"/>
      <c r="AG393" s="196"/>
      <c r="AH393" s="196"/>
    </row>
    <row r="394">
      <c r="V394" s="196"/>
      <c r="W394" s="196"/>
      <c r="X394" s="196"/>
      <c r="Y394" s="196"/>
      <c r="Z394" s="196"/>
      <c r="AA394" s="196"/>
      <c r="AB394" s="196"/>
      <c r="AC394" s="196"/>
      <c r="AD394" s="196"/>
      <c r="AE394" s="196"/>
      <c r="AF394" s="196"/>
      <c r="AG394" s="196"/>
      <c r="AH394" s="196"/>
    </row>
    <row r="395">
      <c r="V395" s="196"/>
      <c r="W395" s="196"/>
      <c r="X395" s="196"/>
      <c r="Y395" s="196"/>
      <c r="Z395" s="196"/>
      <c r="AA395" s="196"/>
      <c r="AB395" s="196"/>
      <c r="AC395" s="196"/>
      <c r="AD395" s="196"/>
      <c r="AE395" s="196"/>
      <c r="AF395" s="196"/>
      <c r="AG395" s="196"/>
      <c r="AH395" s="196"/>
    </row>
    <row r="396">
      <c r="V396" s="196"/>
      <c r="W396" s="196"/>
      <c r="X396" s="196"/>
      <c r="Y396" s="196"/>
      <c r="Z396" s="196"/>
      <c r="AA396" s="196"/>
      <c r="AB396" s="196"/>
      <c r="AC396" s="196"/>
      <c r="AD396" s="196"/>
      <c r="AE396" s="196"/>
      <c r="AF396" s="196"/>
      <c r="AG396" s="196"/>
      <c r="AH396" s="196"/>
    </row>
    <row r="397">
      <c r="V397" s="196"/>
      <c r="W397" s="196"/>
      <c r="X397" s="196"/>
      <c r="Y397" s="196"/>
      <c r="Z397" s="196"/>
      <c r="AA397" s="196"/>
      <c r="AB397" s="196"/>
      <c r="AC397" s="196"/>
      <c r="AD397" s="196"/>
      <c r="AE397" s="196"/>
      <c r="AF397" s="196"/>
      <c r="AG397" s="196"/>
      <c r="AH397" s="196"/>
    </row>
    <row r="398">
      <c r="V398" s="196"/>
      <c r="W398" s="196"/>
      <c r="X398" s="196"/>
      <c r="Y398" s="196"/>
      <c r="Z398" s="196"/>
      <c r="AA398" s="196"/>
      <c r="AB398" s="196"/>
      <c r="AC398" s="196"/>
      <c r="AD398" s="196"/>
      <c r="AE398" s="196"/>
      <c r="AF398" s="196"/>
      <c r="AG398" s="196"/>
      <c r="AH398" s="196"/>
    </row>
    <row r="399">
      <c r="V399" s="196"/>
      <c r="W399" s="196"/>
      <c r="X399" s="196"/>
      <c r="Y399" s="196"/>
      <c r="Z399" s="196"/>
      <c r="AA399" s="196"/>
      <c r="AB399" s="196"/>
      <c r="AC399" s="196"/>
      <c r="AD399" s="196"/>
      <c r="AE399" s="196"/>
      <c r="AF399" s="196"/>
      <c r="AG399" s="196"/>
      <c r="AH399" s="196"/>
    </row>
    <row r="400">
      <c r="V400" s="196"/>
      <c r="W400" s="196"/>
      <c r="X400" s="196"/>
      <c r="Y400" s="196"/>
      <c r="Z400" s="196"/>
      <c r="AA400" s="196"/>
      <c r="AB400" s="196"/>
      <c r="AC400" s="196"/>
      <c r="AD400" s="196"/>
      <c r="AE400" s="196"/>
      <c r="AF400" s="196"/>
      <c r="AG400" s="196"/>
      <c r="AH400" s="196"/>
    </row>
    <row r="401">
      <c r="V401" s="196"/>
      <c r="W401" s="196"/>
      <c r="X401" s="196"/>
      <c r="Y401" s="196"/>
      <c r="Z401" s="196"/>
      <c r="AA401" s="196"/>
      <c r="AB401" s="196"/>
      <c r="AC401" s="196"/>
      <c r="AD401" s="196"/>
      <c r="AE401" s="196"/>
      <c r="AF401" s="196"/>
      <c r="AG401" s="196"/>
      <c r="AH401" s="196"/>
    </row>
    <row r="402">
      <c r="V402" s="196"/>
      <c r="W402" s="196"/>
      <c r="X402" s="196"/>
      <c r="Y402" s="196"/>
      <c r="Z402" s="196"/>
      <c r="AA402" s="196"/>
      <c r="AB402" s="196"/>
      <c r="AC402" s="196"/>
      <c r="AD402" s="196"/>
      <c r="AE402" s="196"/>
      <c r="AF402" s="196"/>
      <c r="AG402" s="196"/>
      <c r="AH402" s="196"/>
    </row>
    <row r="403">
      <c r="V403" s="196"/>
      <c r="W403" s="196"/>
      <c r="X403" s="196"/>
      <c r="Y403" s="196"/>
      <c r="Z403" s="196"/>
      <c r="AA403" s="196"/>
      <c r="AB403" s="196"/>
      <c r="AC403" s="196"/>
      <c r="AD403" s="196"/>
      <c r="AE403" s="196"/>
      <c r="AF403" s="196"/>
      <c r="AG403" s="196"/>
      <c r="AH403" s="196"/>
    </row>
    <row r="404">
      <c r="V404" s="196"/>
      <c r="W404" s="196"/>
      <c r="X404" s="196"/>
      <c r="Y404" s="196"/>
      <c r="Z404" s="196"/>
      <c r="AA404" s="196"/>
      <c r="AB404" s="196"/>
      <c r="AC404" s="196"/>
      <c r="AD404" s="196"/>
      <c r="AE404" s="196"/>
      <c r="AF404" s="196"/>
      <c r="AG404" s="196"/>
      <c r="AH404" s="196"/>
    </row>
    <row r="405">
      <c r="V405" s="196"/>
      <c r="W405" s="196"/>
      <c r="X405" s="196"/>
      <c r="Y405" s="196"/>
      <c r="Z405" s="196"/>
      <c r="AA405" s="196"/>
      <c r="AB405" s="196"/>
      <c r="AC405" s="196"/>
      <c r="AD405" s="196"/>
      <c r="AE405" s="196"/>
      <c r="AF405" s="196"/>
      <c r="AG405" s="196"/>
      <c r="AH405" s="196"/>
    </row>
    <row r="406">
      <c r="V406" s="196"/>
      <c r="W406" s="196"/>
      <c r="X406" s="196"/>
      <c r="Y406" s="196"/>
      <c r="Z406" s="196"/>
      <c r="AA406" s="196"/>
      <c r="AB406" s="196"/>
      <c r="AC406" s="196"/>
      <c r="AD406" s="196"/>
      <c r="AE406" s="196"/>
      <c r="AF406" s="196"/>
      <c r="AG406" s="196"/>
      <c r="AH406" s="196"/>
    </row>
    <row r="407">
      <c r="V407" s="196"/>
      <c r="W407" s="196"/>
      <c r="X407" s="196"/>
      <c r="Y407" s="196"/>
      <c r="Z407" s="196"/>
      <c r="AA407" s="196"/>
      <c r="AB407" s="196"/>
      <c r="AC407" s="196"/>
      <c r="AD407" s="196"/>
      <c r="AE407" s="196"/>
      <c r="AF407" s="196"/>
      <c r="AG407" s="196"/>
      <c r="AH407" s="196"/>
    </row>
    <row r="408">
      <c r="V408" s="196"/>
      <c r="W408" s="196"/>
      <c r="X408" s="196"/>
      <c r="Y408" s="196"/>
      <c r="Z408" s="196"/>
      <c r="AA408" s="196"/>
      <c r="AB408" s="196"/>
      <c r="AC408" s="196"/>
      <c r="AD408" s="196"/>
      <c r="AE408" s="196"/>
      <c r="AF408" s="196"/>
      <c r="AG408" s="196"/>
      <c r="AH408" s="196"/>
    </row>
    <row r="409">
      <c r="V409" s="196"/>
      <c r="W409" s="196"/>
      <c r="X409" s="196"/>
      <c r="Y409" s="196"/>
      <c r="Z409" s="196"/>
      <c r="AA409" s="196"/>
      <c r="AB409" s="196"/>
      <c r="AC409" s="196"/>
      <c r="AD409" s="196"/>
      <c r="AE409" s="196"/>
      <c r="AF409" s="196"/>
      <c r="AG409" s="196"/>
      <c r="AH409" s="196"/>
    </row>
    <row r="410">
      <c r="V410" s="196"/>
      <c r="W410" s="196"/>
      <c r="X410" s="196"/>
      <c r="Y410" s="196"/>
      <c r="Z410" s="196"/>
      <c r="AA410" s="196"/>
      <c r="AB410" s="196"/>
      <c r="AC410" s="196"/>
      <c r="AD410" s="196"/>
      <c r="AE410" s="196"/>
      <c r="AF410" s="196"/>
      <c r="AG410" s="196"/>
      <c r="AH410" s="196"/>
    </row>
    <row r="411">
      <c r="V411" s="196"/>
      <c r="W411" s="196"/>
      <c r="X411" s="196"/>
      <c r="Y411" s="196"/>
      <c r="Z411" s="196"/>
      <c r="AA411" s="196"/>
      <c r="AB411" s="196"/>
      <c r="AC411" s="196"/>
      <c r="AD411" s="196"/>
      <c r="AE411" s="196"/>
      <c r="AF411" s="196"/>
      <c r="AG411" s="196"/>
      <c r="AH411" s="196"/>
    </row>
    <row r="412">
      <c r="V412" s="196"/>
      <c r="W412" s="196"/>
      <c r="X412" s="196"/>
      <c r="Y412" s="196"/>
      <c r="Z412" s="196"/>
      <c r="AA412" s="196"/>
      <c r="AB412" s="196"/>
      <c r="AC412" s="196"/>
      <c r="AD412" s="196"/>
      <c r="AE412" s="196"/>
      <c r="AF412" s="196"/>
      <c r="AG412" s="196"/>
      <c r="AH412" s="196"/>
    </row>
    <row r="413">
      <c r="V413" s="196"/>
      <c r="W413" s="196"/>
      <c r="X413" s="196"/>
      <c r="Y413" s="196"/>
      <c r="Z413" s="196"/>
      <c r="AA413" s="196"/>
      <c r="AB413" s="196"/>
      <c r="AC413" s="196"/>
      <c r="AD413" s="196"/>
      <c r="AE413" s="196"/>
      <c r="AF413" s="196"/>
      <c r="AG413" s="196"/>
      <c r="AH413" s="196"/>
    </row>
    <row r="414">
      <c r="V414" s="196"/>
      <c r="W414" s="196"/>
      <c r="X414" s="196"/>
      <c r="Y414" s="196"/>
      <c r="Z414" s="196"/>
      <c r="AA414" s="196"/>
      <c r="AB414" s="196"/>
      <c r="AC414" s="196"/>
      <c r="AD414" s="196"/>
      <c r="AE414" s="196"/>
      <c r="AF414" s="196"/>
      <c r="AG414" s="196"/>
      <c r="AH414" s="196"/>
    </row>
    <row r="415">
      <c r="V415" s="196"/>
      <c r="W415" s="196"/>
      <c r="X415" s="196"/>
      <c r="Y415" s="196"/>
      <c r="Z415" s="196"/>
      <c r="AA415" s="196"/>
      <c r="AB415" s="196"/>
      <c r="AC415" s="196"/>
      <c r="AD415" s="196"/>
      <c r="AE415" s="196"/>
      <c r="AF415" s="196"/>
      <c r="AG415" s="196"/>
      <c r="AH415" s="196"/>
    </row>
    <row r="416">
      <c r="V416" s="196"/>
      <c r="W416" s="196"/>
      <c r="X416" s="196"/>
      <c r="Y416" s="196"/>
      <c r="Z416" s="196"/>
      <c r="AA416" s="196"/>
      <c r="AB416" s="196"/>
      <c r="AC416" s="196"/>
      <c r="AD416" s="196"/>
      <c r="AE416" s="196"/>
      <c r="AF416" s="196"/>
      <c r="AG416" s="196"/>
      <c r="AH416" s="196"/>
    </row>
    <row r="417">
      <c r="V417" s="196"/>
      <c r="W417" s="196"/>
      <c r="X417" s="196"/>
      <c r="Y417" s="196"/>
      <c r="Z417" s="196"/>
      <c r="AA417" s="196"/>
      <c r="AB417" s="196"/>
      <c r="AC417" s="196"/>
      <c r="AD417" s="196"/>
      <c r="AE417" s="196"/>
      <c r="AF417" s="196"/>
      <c r="AG417" s="196"/>
      <c r="AH417" s="196"/>
    </row>
    <row r="418">
      <c r="V418" s="196"/>
      <c r="W418" s="196"/>
      <c r="X418" s="196"/>
      <c r="Y418" s="196"/>
      <c r="Z418" s="196"/>
      <c r="AA418" s="196"/>
      <c r="AB418" s="196"/>
      <c r="AC418" s="196"/>
      <c r="AD418" s="196"/>
      <c r="AE418" s="196"/>
      <c r="AF418" s="196"/>
      <c r="AG418" s="196"/>
      <c r="AH418" s="196"/>
    </row>
    <row r="419">
      <c r="V419" s="196"/>
      <c r="W419" s="196"/>
      <c r="X419" s="196"/>
      <c r="Y419" s="196"/>
      <c r="Z419" s="196"/>
      <c r="AA419" s="196"/>
      <c r="AB419" s="196"/>
      <c r="AC419" s="196"/>
      <c r="AD419" s="196"/>
      <c r="AE419" s="196"/>
      <c r="AF419" s="196"/>
      <c r="AG419" s="196"/>
      <c r="AH419" s="196"/>
    </row>
    <row r="420">
      <c r="V420" s="196"/>
      <c r="W420" s="196"/>
      <c r="X420" s="196"/>
      <c r="Y420" s="196"/>
      <c r="Z420" s="196"/>
      <c r="AA420" s="196"/>
      <c r="AB420" s="196"/>
      <c r="AC420" s="196"/>
      <c r="AD420" s="196"/>
      <c r="AE420" s="196"/>
      <c r="AF420" s="196"/>
      <c r="AG420" s="196"/>
      <c r="AH420" s="196"/>
    </row>
    <row r="421">
      <c r="V421" s="196"/>
      <c r="W421" s="196"/>
      <c r="X421" s="196"/>
      <c r="Y421" s="196"/>
      <c r="Z421" s="196"/>
      <c r="AA421" s="196"/>
      <c r="AB421" s="196"/>
      <c r="AC421" s="196"/>
      <c r="AD421" s="196"/>
      <c r="AE421" s="196"/>
      <c r="AF421" s="196"/>
      <c r="AG421" s="196"/>
      <c r="AH421" s="196"/>
    </row>
    <row r="422">
      <c r="V422" s="196"/>
      <c r="W422" s="196"/>
      <c r="X422" s="196"/>
      <c r="Y422" s="196"/>
      <c r="Z422" s="196"/>
      <c r="AA422" s="196"/>
      <c r="AB422" s="196"/>
      <c r="AC422" s="196"/>
      <c r="AD422" s="196"/>
      <c r="AE422" s="196"/>
      <c r="AF422" s="196"/>
      <c r="AG422" s="196"/>
      <c r="AH422" s="196"/>
    </row>
    <row r="423">
      <c r="V423" s="196"/>
      <c r="W423" s="196"/>
      <c r="X423" s="196"/>
      <c r="Y423" s="196"/>
      <c r="Z423" s="196"/>
      <c r="AA423" s="196"/>
      <c r="AB423" s="196"/>
      <c r="AC423" s="196"/>
      <c r="AD423" s="196"/>
      <c r="AE423" s="196"/>
      <c r="AF423" s="196"/>
      <c r="AG423" s="196"/>
      <c r="AH423" s="196"/>
    </row>
    <row r="424">
      <c r="V424" s="196"/>
      <c r="W424" s="196"/>
      <c r="X424" s="196"/>
      <c r="Y424" s="196"/>
      <c r="Z424" s="196"/>
      <c r="AA424" s="196"/>
      <c r="AB424" s="196"/>
      <c r="AC424" s="196"/>
      <c r="AD424" s="196"/>
      <c r="AE424" s="196"/>
      <c r="AF424" s="196"/>
      <c r="AG424" s="196"/>
      <c r="AH424" s="196"/>
    </row>
    <row r="425">
      <c r="V425" s="196"/>
      <c r="W425" s="196"/>
      <c r="X425" s="196"/>
      <c r="Y425" s="196"/>
      <c r="Z425" s="196"/>
      <c r="AA425" s="196"/>
      <c r="AB425" s="196"/>
      <c r="AC425" s="196"/>
      <c r="AD425" s="196"/>
      <c r="AE425" s="196"/>
      <c r="AF425" s="196"/>
      <c r="AG425" s="196"/>
      <c r="AH425" s="196"/>
    </row>
    <row r="426">
      <c r="V426" s="196"/>
      <c r="W426" s="196"/>
      <c r="X426" s="196"/>
      <c r="Y426" s="196"/>
      <c r="Z426" s="196"/>
      <c r="AA426" s="196"/>
      <c r="AB426" s="196"/>
      <c r="AC426" s="196"/>
      <c r="AD426" s="196"/>
      <c r="AE426" s="196"/>
      <c r="AF426" s="196"/>
      <c r="AG426" s="196"/>
      <c r="AH426" s="196"/>
    </row>
    <row r="427">
      <c r="V427" s="196"/>
      <c r="W427" s="196"/>
      <c r="X427" s="196"/>
      <c r="Y427" s="196"/>
      <c r="Z427" s="196"/>
      <c r="AA427" s="196"/>
      <c r="AB427" s="196"/>
      <c r="AC427" s="196"/>
      <c r="AD427" s="196"/>
      <c r="AE427" s="196"/>
      <c r="AF427" s="196"/>
      <c r="AG427" s="196"/>
      <c r="AH427" s="196"/>
    </row>
    <row r="428">
      <c r="V428" s="196"/>
      <c r="W428" s="196"/>
      <c r="X428" s="196"/>
      <c r="Y428" s="196"/>
      <c r="Z428" s="196"/>
      <c r="AA428" s="196"/>
      <c r="AB428" s="196"/>
      <c r="AC428" s="196"/>
      <c r="AD428" s="196"/>
      <c r="AE428" s="196"/>
      <c r="AF428" s="196"/>
      <c r="AG428" s="196"/>
      <c r="AH428" s="196"/>
    </row>
    <row r="429">
      <c r="V429" s="196"/>
      <c r="W429" s="196"/>
      <c r="X429" s="196"/>
      <c r="Y429" s="196"/>
      <c r="Z429" s="196"/>
      <c r="AA429" s="196"/>
      <c r="AB429" s="196"/>
      <c r="AC429" s="196"/>
      <c r="AD429" s="196"/>
      <c r="AE429" s="196"/>
      <c r="AF429" s="196"/>
      <c r="AG429" s="196"/>
      <c r="AH429" s="196"/>
    </row>
    <row r="430">
      <c r="V430" s="196"/>
      <c r="W430" s="196"/>
      <c r="X430" s="196"/>
      <c r="Y430" s="196"/>
      <c r="Z430" s="196"/>
      <c r="AA430" s="196"/>
      <c r="AB430" s="196"/>
      <c r="AC430" s="196"/>
      <c r="AD430" s="196"/>
      <c r="AE430" s="196"/>
      <c r="AF430" s="196"/>
      <c r="AG430" s="196"/>
      <c r="AH430" s="196"/>
    </row>
    <row r="431">
      <c r="V431" s="196"/>
      <c r="W431" s="196"/>
      <c r="X431" s="196"/>
      <c r="Y431" s="196"/>
      <c r="Z431" s="196"/>
      <c r="AA431" s="196"/>
      <c r="AB431" s="196"/>
      <c r="AC431" s="196"/>
      <c r="AD431" s="196"/>
      <c r="AE431" s="196"/>
      <c r="AF431" s="196"/>
      <c r="AG431" s="196"/>
      <c r="AH431" s="196"/>
    </row>
    <row r="432">
      <c r="V432" s="196"/>
      <c r="W432" s="196"/>
      <c r="X432" s="196"/>
      <c r="Y432" s="196"/>
      <c r="Z432" s="196"/>
      <c r="AA432" s="196"/>
      <c r="AB432" s="196"/>
      <c r="AC432" s="196"/>
      <c r="AD432" s="196"/>
      <c r="AE432" s="196"/>
      <c r="AF432" s="196"/>
      <c r="AG432" s="196"/>
      <c r="AH432" s="196"/>
    </row>
    <row r="433">
      <c r="V433" s="196"/>
      <c r="W433" s="196"/>
      <c r="X433" s="196"/>
      <c r="Y433" s="196"/>
      <c r="Z433" s="196"/>
      <c r="AA433" s="196"/>
      <c r="AB433" s="196"/>
      <c r="AC433" s="196"/>
      <c r="AD433" s="196"/>
      <c r="AE433" s="196"/>
      <c r="AF433" s="196"/>
      <c r="AG433" s="196"/>
      <c r="AH433" s="196"/>
    </row>
    <row r="434">
      <c r="V434" s="196"/>
      <c r="W434" s="196"/>
      <c r="X434" s="196"/>
      <c r="Y434" s="196"/>
      <c r="Z434" s="196"/>
      <c r="AA434" s="196"/>
      <c r="AB434" s="196"/>
      <c r="AC434" s="196"/>
      <c r="AD434" s="196"/>
      <c r="AE434" s="196"/>
      <c r="AF434" s="196"/>
      <c r="AG434" s="196"/>
      <c r="AH434" s="196"/>
    </row>
    <row r="435">
      <c r="V435" s="196"/>
      <c r="W435" s="196"/>
      <c r="X435" s="196"/>
      <c r="Y435" s="196"/>
      <c r="Z435" s="196"/>
      <c r="AA435" s="196"/>
      <c r="AB435" s="196"/>
      <c r="AC435" s="196"/>
      <c r="AD435" s="196"/>
      <c r="AE435" s="196"/>
      <c r="AF435" s="196"/>
      <c r="AG435" s="196"/>
      <c r="AH435" s="196"/>
    </row>
    <row r="436">
      <c r="V436" s="196"/>
      <c r="W436" s="196"/>
      <c r="X436" s="196"/>
      <c r="Y436" s="196"/>
      <c r="Z436" s="196"/>
      <c r="AA436" s="196"/>
      <c r="AB436" s="196"/>
      <c r="AC436" s="196"/>
      <c r="AD436" s="196"/>
      <c r="AE436" s="196"/>
      <c r="AF436" s="196"/>
      <c r="AG436" s="196"/>
      <c r="AH436" s="196"/>
    </row>
    <row r="437">
      <c r="V437" s="196"/>
      <c r="W437" s="196"/>
      <c r="X437" s="196"/>
      <c r="Y437" s="196"/>
      <c r="Z437" s="196"/>
      <c r="AA437" s="196"/>
      <c r="AB437" s="196"/>
      <c r="AC437" s="196"/>
      <c r="AD437" s="196"/>
      <c r="AE437" s="196"/>
      <c r="AF437" s="196"/>
      <c r="AG437" s="196"/>
      <c r="AH437" s="196"/>
    </row>
    <row r="438">
      <c r="V438" s="196"/>
      <c r="W438" s="196"/>
      <c r="X438" s="196"/>
      <c r="Y438" s="196"/>
      <c r="Z438" s="196"/>
      <c r="AA438" s="196"/>
      <c r="AB438" s="196"/>
      <c r="AC438" s="196"/>
      <c r="AD438" s="196"/>
      <c r="AE438" s="196"/>
      <c r="AF438" s="196"/>
      <c r="AG438" s="196"/>
      <c r="AH438" s="196"/>
    </row>
    <row r="439">
      <c r="V439" s="196"/>
      <c r="W439" s="196"/>
      <c r="X439" s="196"/>
      <c r="Y439" s="196"/>
      <c r="Z439" s="196"/>
      <c r="AA439" s="196"/>
      <c r="AB439" s="196"/>
      <c r="AC439" s="196"/>
      <c r="AD439" s="196"/>
      <c r="AE439" s="196"/>
      <c r="AF439" s="196"/>
      <c r="AG439" s="196"/>
      <c r="AH439" s="196"/>
    </row>
    <row r="440">
      <c r="V440" s="196"/>
      <c r="W440" s="196"/>
      <c r="X440" s="196"/>
      <c r="Y440" s="196"/>
      <c r="Z440" s="196"/>
      <c r="AA440" s="196"/>
      <c r="AB440" s="196"/>
      <c r="AC440" s="196"/>
      <c r="AD440" s="196"/>
      <c r="AE440" s="196"/>
      <c r="AF440" s="196"/>
      <c r="AG440" s="196"/>
      <c r="AH440" s="196"/>
    </row>
    <row r="441">
      <c r="V441" s="196"/>
      <c r="W441" s="196"/>
      <c r="X441" s="196"/>
      <c r="Y441" s="196"/>
      <c r="Z441" s="196"/>
      <c r="AA441" s="196"/>
      <c r="AB441" s="196"/>
      <c r="AC441" s="196"/>
      <c r="AD441" s="196"/>
      <c r="AE441" s="196"/>
      <c r="AF441" s="196"/>
      <c r="AG441" s="196"/>
      <c r="AH441" s="196"/>
    </row>
    <row r="442">
      <c r="V442" s="196"/>
      <c r="W442" s="196"/>
      <c r="X442" s="196"/>
      <c r="Y442" s="196"/>
      <c r="Z442" s="196"/>
      <c r="AA442" s="196"/>
      <c r="AB442" s="196"/>
      <c r="AC442" s="196"/>
      <c r="AD442" s="196"/>
      <c r="AE442" s="196"/>
      <c r="AF442" s="196"/>
      <c r="AG442" s="196"/>
      <c r="AH442" s="196"/>
    </row>
    <row r="443">
      <c r="V443" s="196"/>
      <c r="W443" s="196"/>
      <c r="X443" s="196"/>
      <c r="Y443" s="196"/>
      <c r="Z443" s="196"/>
      <c r="AA443" s="196"/>
      <c r="AB443" s="196"/>
      <c r="AC443" s="196"/>
      <c r="AD443" s="196"/>
      <c r="AE443" s="196"/>
      <c r="AF443" s="196"/>
      <c r="AG443" s="196"/>
      <c r="AH443" s="196"/>
    </row>
    <row r="444">
      <c r="V444" s="196"/>
      <c r="W444" s="196"/>
      <c r="X444" s="196"/>
      <c r="Y444" s="196"/>
      <c r="Z444" s="196"/>
      <c r="AA444" s="196"/>
      <c r="AB444" s="196"/>
      <c r="AC444" s="196"/>
      <c r="AD444" s="196"/>
      <c r="AE444" s="196"/>
      <c r="AF444" s="196"/>
      <c r="AG444" s="196"/>
      <c r="AH444" s="196"/>
    </row>
    <row r="445">
      <c r="V445" s="196"/>
      <c r="W445" s="196"/>
      <c r="X445" s="196"/>
      <c r="Y445" s="196"/>
      <c r="Z445" s="196"/>
      <c r="AA445" s="196"/>
      <c r="AB445" s="196"/>
      <c r="AC445" s="196"/>
      <c r="AD445" s="196"/>
      <c r="AE445" s="196"/>
      <c r="AF445" s="196"/>
      <c r="AG445" s="196"/>
      <c r="AH445" s="196"/>
    </row>
    <row r="446">
      <c r="V446" s="196"/>
      <c r="W446" s="196"/>
      <c r="X446" s="196"/>
      <c r="Y446" s="196"/>
      <c r="Z446" s="196"/>
      <c r="AA446" s="196"/>
      <c r="AB446" s="196"/>
      <c r="AC446" s="196"/>
      <c r="AD446" s="196"/>
      <c r="AE446" s="196"/>
      <c r="AF446" s="196"/>
      <c r="AG446" s="196"/>
      <c r="AH446" s="196"/>
    </row>
    <row r="447">
      <c r="V447" s="196"/>
      <c r="W447" s="196"/>
      <c r="X447" s="196"/>
      <c r="Y447" s="196"/>
      <c r="Z447" s="196"/>
      <c r="AA447" s="196"/>
      <c r="AB447" s="196"/>
      <c r="AC447" s="196"/>
      <c r="AD447" s="196"/>
      <c r="AE447" s="196"/>
      <c r="AF447" s="196"/>
      <c r="AG447" s="196"/>
      <c r="AH447" s="196"/>
    </row>
    <row r="448">
      <c r="V448" s="196"/>
      <c r="W448" s="196"/>
      <c r="X448" s="196"/>
      <c r="Y448" s="196"/>
      <c r="Z448" s="196"/>
      <c r="AA448" s="196"/>
      <c r="AB448" s="196"/>
      <c r="AC448" s="196"/>
      <c r="AD448" s="196"/>
      <c r="AE448" s="196"/>
      <c r="AF448" s="196"/>
      <c r="AG448" s="196"/>
      <c r="AH448" s="196"/>
    </row>
    <row r="449">
      <c r="V449" s="196"/>
      <c r="W449" s="196"/>
      <c r="X449" s="196"/>
      <c r="Y449" s="196"/>
      <c r="Z449" s="196"/>
      <c r="AA449" s="196"/>
      <c r="AB449" s="196"/>
      <c r="AC449" s="196"/>
      <c r="AD449" s="196"/>
      <c r="AE449" s="196"/>
      <c r="AF449" s="196"/>
      <c r="AG449" s="196"/>
      <c r="AH449" s="196"/>
    </row>
    <row r="450">
      <c r="V450" s="196"/>
      <c r="W450" s="196"/>
      <c r="X450" s="196"/>
      <c r="Y450" s="196"/>
      <c r="Z450" s="196"/>
      <c r="AA450" s="196"/>
      <c r="AB450" s="196"/>
      <c r="AC450" s="196"/>
      <c r="AD450" s="196"/>
      <c r="AE450" s="196"/>
      <c r="AF450" s="196"/>
      <c r="AG450" s="196"/>
      <c r="AH450" s="196"/>
    </row>
    <row r="451">
      <c r="V451" s="196"/>
      <c r="W451" s="196"/>
      <c r="X451" s="196"/>
      <c r="Y451" s="196"/>
      <c r="Z451" s="196"/>
      <c r="AA451" s="196"/>
      <c r="AB451" s="196"/>
      <c r="AC451" s="196"/>
      <c r="AD451" s="196"/>
      <c r="AE451" s="196"/>
      <c r="AF451" s="196"/>
      <c r="AG451" s="196"/>
      <c r="AH451" s="196"/>
    </row>
    <row r="452">
      <c r="V452" s="196"/>
      <c r="W452" s="196"/>
      <c r="X452" s="196"/>
      <c r="Y452" s="196"/>
      <c r="Z452" s="196"/>
      <c r="AA452" s="196"/>
      <c r="AB452" s="196"/>
      <c r="AC452" s="196"/>
      <c r="AD452" s="196"/>
      <c r="AE452" s="196"/>
      <c r="AF452" s="196"/>
      <c r="AG452" s="196"/>
      <c r="AH452" s="196"/>
    </row>
    <row r="453">
      <c r="V453" s="196"/>
      <c r="W453" s="196"/>
      <c r="X453" s="196"/>
      <c r="Y453" s="196"/>
      <c r="Z453" s="196"/>
      <c r="AA453" s="196"/>
      <c r="AB453" s="196"/>
      <c r="AC453" s="196"/>
      <c r="AD453" s="196"/>
      <c r="AE453" s="196"/>
      <c r="AF453" s="196"/>
      <c r="AG453" s="196"/>
      <c r="AH453" s="196"/>
    </row>
    <row r="454">
      <c r="V454" s="196"/>
      <c r="W454" s="196"/>
      <c r="X454" s="196"/>
      <c r="Y454" s="196"/>
      <c r="Z454" s="196"/>
      <c r="AA454" s="196"/>
      <c r="AB454" s="196"/>
      <c r="AC454" s="196"/>
      <c r="AD454" s="196"/>
      <c r="AE454" s="196"/>
      <c r="AF454" s="196"/>
      <c r="AG454" s="196"/>
      <c r="AH454" s="196"/>
    </row>
    <row r="455">
      <c r="V455" s="196"/>
      <c r="W455" s="196"/>
      <c r="X455" s="196"/>
      <c r="Y455" s="196"/>
      <c r="Z455" s="196"/>
      <c r="AA455" s="196"/>
      <c r="AB455" s="196"/>
      <c r="AC455" s="196"/>
      <c r="AD455" s="196"/>
      <c r="AE455" s="196"/>
      <c r="AF455" s="196"/>
      <c r="AG455" s="196"/>
      <c r="AH455" s="196"/>
    </row>
    <row r="456">
      <c r="V456" s="196"/>
      <c r="W456" s="196"/>
      <c r="X456" s="196"/>
      <c r="Y456" s="196"/>
      <c r="Z456" s="196"/>
      <c r="AA456" s="196"/>
      <c r="AB456" s="196"/>
      <c r="AC456" s="196"/>
      <c r="AD456" s="196"/>
      <c r="AE456" s="196"/>
      <c r="AF456" s="196"/>
      <c r="AG456" s="196"/>
      <c r="AH456" s="196"/>
    </row>
    <row r="457">
      <c r="V457" s="196"/>
      <c r="W457" s="196"/>
      <c r="X457" s="196"/>
      <c r="Y457" s="196"/>
      <c r="Z457" s="196"/>
      <c r="AA457" s="196"/>
      <c r="AB457" s="196"/>
      <c r="AC457" s="196"/>
      <c r="AD457" s="196"/>
      <c r="AE457" s="196"/>
      <c r="AF457" s="196"/>
      <c r="AG457" s="196"/>
      <c r="AH457" s="196"/>
    </row>
    <row r="458">
      <c r="V458" s="196"/>
      <c r="W458" s="196"/>
      <c r="X458" s="196"/>
      <c r="Y458" s="196"/>
      <c r="Z458" s="196"/>
      <c r="AA458" s="196"/>
      <c r="AB458" s="196"/>
      <c r="AC458" s="196"/>
      <c r="AD458" s="196"/>
      <c r="AE458" s="196"/>
      <c r="AF458" s="196"/>
      <c r="AG458" s="196"/>
      <c r="AH458" s="196"/>
    </row>
    <row r="459">
      <c r="V459" s="196"/>
      <c r="W459" s="196"/>
      <c r="X459" s="196"/>
      <c r="Y459" s="196"/>
      <c r="Z459" s="196"/>
      <c r="AA459" s="196"/>
      <c r="AB459" s="196"/>
      <c r="AC459" s="196"/>
      <c r="AD459" s="196"/>
      <c r="AE459" s="196"/>
      <c r="AF459" s="196"/>
      <c r="AG459" s="196"/>
      <c r="AH459" s="196"/>
    </row>
    <row r="460">
      <c r="V460" s="196"/>
      <c r="W460" s="196"/>
      <c r="X460" s="196"/>
      <c r="Y460" s="196"/>
      <c r="Z460" s="196"/>
      <c r="AA460" s="196"/>
      <c r="AB460" s="196"/>
      <c r="AC460" s="196"/>
      <c r="AD460" s="196"/>
      <c r="AE460" s="196"/>
      <c r="AF460" s="196"/>
      <c r="AG460" s="196"/>
      <c r="AH460" s="196"/>
    </row>
    <row r="461">
      <c r="V461" s="196"/>
      <c r="W461" s="196"/>
      <c r="X461" s="196"/>
      <c r="Y461" s="196"/>
      <c r="Z461" s="196"/>
      <c r="AA461" s="196"/>
      <c r="AB461" s="196"/>
      <c r="AC461" s="196"/>
      <c r="AD461" s="196"/>
      <c r="AE461" s="196"/>
      <c r="AF461" s="196"/>
      <c r="AG461" s="196"/>
      <c r="AH461" s="196"/>
    </row>
    <row r="462">
      <c r="V462" s="196"/>
      <c r="W462" s="196"/>
      <c r="X462" s="196"/>
      <c r="Y462" s="196"/>
      <c r="Z462" s="196"/>
      <c r="AA462" s="196"/>
      <c r="AB462" s="196"/>
      <c r="AC462" s="196"/>
      <c r="AD462" s="196"/>
      <c r="AE462" s="196"/>
      <c r="AF462" s="196"/>
      <c r="AG462" s="196"/>
      <c r="AH462" s="196"/>
    </row>
    <row r="463">
      <c r="V463" s="196"/>
      <c r="W463" s="196"/>
      <c r="X463" s="196"/>
      <c r="Y463" s="196"/>
      <c r="Z463" s="196"/>
      <c r="AA463" s="196"/>
      <c r="AB463" s="196"/>
      <c r="AC463" s="196"/>
      <c r="AD463" s="196"/>
      <c r="AE463" s="196"/>
      <c r="AF463" s="196"/>
      <c r="AG463" s="196"/>
      <c r="AH463" s="196"/>
    </row>
    <row r="464">
      <c r="V464" s="196"/>
      <c r="W464" s="196"/>
      <c r="X464" s="196"/>
      <c r="Y464" s="196"/>
      <c r="Z464" s="196"/>
      <c r="AA464" s="196"/>
      <c r="AB464" s="196"/>
      <c r="AC464" s="196"/>
      <c r="AD464" s="196"/>
      <c r="AE464" s="196"/>
      <c r="AF464" s="196"/>
      <c r="AG464" s="196"/>
      <c r="AH464" s="196"/>
    </row>
    <row r="465">
      <c r="V465" s="196"/>
      <c r="W465" s="196"/>
      <c r="X465" s="196"/>
      <c r="Y465" s="196"/>
      <c r="Z465" s="196"/>
      <c r="AA465" s="196"/>
      <c r="AB465" s="196"/>
      <c r="AC465" s="196"/>
      <c r="AD465" s="196"/>
      <c r="AE465" s="196"/>
      <c r="AF465" s="196"/>
      <c r="AG465" s="196"/>
      <c r="AH465" s="196"/>
    </row>
    <row r="466">
      <c r="V466" s="196"/>
      <c r="W466" s="196"/>
      <c r="X466" s="196"/>
      <c r="Y466" s="196"/>
      <c r="Z466" s="196"/>
      <c r="AA466" s="196"/>
      <c r="AB466" s="196"/>
      <c r="AC466" s="196"/>
      <c r="AD466" s="196"/>
      <c r="AE466" s="196"/>
      <c r="AF466" s="196"/>
      <c r="AG466" s="196"/>
      <c r="AH466" s="196"/>
    </row>
    <row r="467">
      <c r="V467" s="196"/>
      <c r="W467" s="196"/>
      <c r="X467" s="196"/>
      <c r="Y467" s="196"/>
      <c r="Z467" s="196"/>
      <c r="AA467" s="196"/>
      <c r="AB467" s="196"/>
      <c r="AC467" s="196"/>
      <c r="AD467" s="196"/>
      <c r="AE467" s="196"/>
      <c r="AF467" s="196"/>
      <c r="AG467" s="196"/>
      <c r="AH467" s="196"/>
    </row>
    <row r="468">
      <c r="V468" s="196"/>
      <c r="W468" s="196"/>
      <c r="X468" s="196"/>
      <c r="Y468" s="196"/>
      <c r="Z468" s="196"/>
      <c r="AA468" s="196"/>
      <c r="AB468" s="196"/>
      <c r="AC468" s="196"/>
      <c r="AD468" s="196"/>
      <c r="AE468" s="196"/>
      <c r="AF468" s="196"/>
      <c r="AG468" s="196"/>
      <c r="AH468" s="196"/>
    </row>
    <row r="469">
      <c r="V469" s="196"/>
      <c r="W469" s="196"/>
      <c r="X469" s="196"/>
      <c r="Y469" s="196"/>
      <c r="Z469" s="196"/>
      <c r="AA469" s="196"/>
      <c r="AB469" s="196"/>
      <c r="AC469" s="196"/>
      <c r="AD469" s="196"/>
      <c r="AE469" s="196"/>
      <c r="AF469" s="196"/>
      <c r="AG469" s="196"/>
      <c r="AH469" s="196"/>
    </row>
    <row r="470">
      <c r="V470" s="196"/>
      <c r="W470" s="196"/>
      <c r="X470" s="196"/>
      <c r="Y470" s="196"/>
      <c r="Z470" s="196"/>
      <c r="AA470" s="196"/>
      <c r="AB470" s="196"/>
      <c r="AC470" s="196"/>
      <c r="AD470" s="196"/>
      <c r="AE470" s="196"/>
      <c r="AF470" s="196"/>
      <c r="AG470" s="196"/>
      <c r="AH470" s="196"/>
    </row>
    <row r="471">
      <c r="V471" s="196"/>
      <c r="W471" s="196"/>
      <c r="X471" s="196"/>
      <c r="Y471" s="196"/>
      <c r="Z471" s="196"/>
      <c r="AA471" s="196"/>
      <c r="AB471" s="196"/>
      <c r="AC471" s="196"/>
      <c r="AD471" s="196"/>
      <c r="AE471" s="196"/>
      <c r="AF471" s="196"/>
      <c r="AG471" s="196"/>
      <c r="AH471" s="196"/>
    </row>
    <row r="472">
      <c r="V472" s="196"/>
      <c r="W472" s="196"/>
      <c r="X472" s="196"/>
      <c r="Y472" s="196"/>
      <c r="Z472" s="196"/>
      <c r="AA472" s="196"/>
      <c r="AB472" s="196"/>
      <c r="AC472" s="196"/>
      <c r="AD472" s="196"/>
      <c r="AE472" s="196"/>
      <c r="AF472" s="196"/>
      <c r="AG472" s="196"/>
      <c r="AH472" s="196"/>
    </row>
    <row r="473">
      <c r="V473" s="196"/>
      <c r="W473" s="196"/>
      <c r="X473" s="196"/>
      <c r="Y473" s="196"/>
      <c r="Z473" s="196"/>
      <c r="AA473" s="196"/>
      <c r="AB473" s="196"/>
      <c r="AC473" s="196"/>
      <c r="AD473" s="196"/>
      <c r="AE473" s="196"/>
      <c r="AF473" s="196"/>
      <c r="AG473" s="196"/>
      <c r="AH473" s="196"/>
    </row>
    <row r="474">
      <c r="V474" s="196"/>
      <c r="W474" s="196"/>
      <c r="X474" s="196"/>
      <c r="Y474" s="196"/>
      <c r="Z474" s="196"/>
      <c r="AA474" s="196"/>
      <c r="AB474" s="196"/>
      <c r="AC474" s="196"/>
      <c r="AD474" s="196"/>
      <c r="AE474" s="196"/>
      <c r="AF474" s="196"/>
      <c r="AG474" s="196"/>
      <c r="AH474" s="196"/>
    </row>
    <row r="475">
      <c r="V475" s="196"/>
      <c r="W475" s="196"/>
      <c r="X475" s="196"/>
      <c r="Y475" s="196"/>
      <c r="Z475" s="196"/>
      <c r="AA475" s="196"/>
      <c r="AB475" s="196"/>
      <c r="AC475" s="196"/>
      <c r="AD475" s="196"/>
      <c r="AE475" s="196"/>
      <c r="AF475" s="196"/>
      <c r="AG475" s="196"/>
      <c r="AH475" s="196"/>
    </row>
    <row r="476">
      <c r="V476" s="196"/>
      <c r="W476" s="196"/>
      <c r="X476" s="196"/>
      <c r="Y476" s="196"/>
      <c r="Z476" s="196"/>
      <c r="AA476" s="196"/>
      <c r="AB476" s="196"/>
      <c r="AC476" s="196"/>
      <c r="AD476" s="196"/>
      <c r="AE476" s="196"/>
      <c r="AF476" s="196"/>
      <c r="AG476" s="196"/>
      <c r="AH476" s="196"/>
    </row>
    <row r="477">
      <c r="V477" s="196"/>
      <c r="W477" s="196"/>
      <c r="X477" s="196"/>
      <c r="Y477" s="196"/>
      <c r="Z477" s="196"/>
      <c r="AA477" s="196"/>
      <c r="AB477" s="196"/>
      <c r="AC477" s="196"/>
      <c r="AD477" s="196"/>
      <c r="AE477" s="196"/>
      <c r="AF477" s="196"/>
      <c r="AG477" s="196"/>
      <c r="AH477" s="196"/>
    </row>
    <row r="478">
      <c r="V478" s="196"/>
      <c r="W478" s="196"/>
      <c r="X478" s="196"/>
      <c r="Y478" s="196"/>
      <c r="Z478" s="196"/>
      <c r="AA478" s="196"/>
      <c r="AB478" s="196"/>
      <c r="AC478" s="196"/>
      <c r="AD478" s="196"/>
      <c r="AE478" s="196"/>
      <c r="AF478" s="196"/>
      <c r="AG478" s="196"/>
      <c r="AH478" s="196"/>
    </row>
    <row r="479">
      <c r="V479" s="196"/>
      <c r="W479" s="196"/>
      <c r="X479" s="196"/>
      <c r="Y479" s="196"/>
      <c r="Z479" s="196"/>
      <c r="AA479" s="196"/>
      <c r="AB479" s="196"/>
      <c r="AC479" s="196"/>
      <c r="AD479" s="196"/>
      <c r="AE479" s="196"/>
      <c r="AF479" s="196"/>
      <c r="AG479" s="196"/>
      <c r="AH479" s="196"/>
    </row>
    <row r="480">
      <c r="V480" s="196"/>
      <c r="W480" s="196"/>
      <c r="X480" s="196"/>
      <c r="Y480" s="196"/>
      <c r="Z480" s="196"/>
      <c r="AA480" s="196"/>
      <c r="AB480" s="196"/>
      <c r="AC480" s="196"/>
      <c r="AD480" s="196"/>
      <c r="AE480" s="196"/>
      <c r="AF480" s="196"/>
      <c r="AG480" s="196"/>
      <c r="AH480" s="196"/>
    </row>
    <row r="481">
      <c r="V481" s="196"/>
      <c r="W481" s="196"/>
      <c r="X481" s="196"/>
      <c r="Y481" s="196"/>
      <c r="Z481" s="196"/>
      <c r="AA481" s="196"/>
      <c r="AB481" s="196"/>
      <c r="AC481" s="196"/>
      <c r="AD481" s="196"/>
      <c r="AE481" s="196"/>
      <c r="AF481" s="196"/>
      <c r="AG481" s="196"/>
      <c r="AH481" s="196"/>
    </row>
    <row r="482">
      <c r="V482" s="196"/>
      <c r="W482" s="196"/>
      <c r="X482" s="196"/>
      <c r="Y482" s="196"/>
      <c r="Z482" s="196"/>
      <c r="AA482" s="196"/>
      <c r="AB482" s="196"/>
      <c r="AC482" s="196"/>
      <c r="AD482" s="196"/>
      <c r="AE482" s="196"/>
      <c r="AF482" s="196"/>
      <c r="AG482" s="196"/>
      <c r="AH482" s="196"/>
    </row>
    <row r="483">
      <c r="V483" s="196"/>
      <c r="W483" s="196"/>
      <c r="X483" s="196"/>
      <c r="Y483" s="196"/>
      <c r="Z483" s="196"/>
      <c r="AA483" s="196"/>
      <c r="AB483" s="196"/>
      <c r="AC483" s="196"/>
      <c r="AD483" s="196"/>
      <c r="AE483" s="196"/>
      <c r="AF483" s="196"/>
      <c r="AG483" s="196"/>
      <c r="AH483" s="196"/>
    </row>
    <row r="484">
      <c r="V484" s="196"/>
      <c r="W484" s="196"/>
      <c r="X484" s="196"/>
      <c r="Y484" s="196"/>
      <c r="Z484" s="196"/>
      <c r="AA484" s="196"/>
      <c r="AB484" s="196"/>
      <c r="AC484" s="196"/>
      <c r="AD484" s="196"/>
      <c r="AE484" s="196"/>
      <c r="AF484" s="196"/>
      <c r="AG484" s="196"/>
      <c r="AH484" s="196"/>
    </row>
    <row r="485">
      <c r="V485" s="196"/>
      <c r="W485" s="196"/>
      <c r="X485" s="196"/>
      <c r="Y485" s="196"/>
      <c r="Z485" s="196"/>
      <c r="AA485" s="196"/>
      <c r="AB485" s="196"/>
      <c r="AC485" s="196"/>
      <c r="AD485" s="196"/>
      <c r="AE485" s="196"/>
      <c r="AF485" s="196"/>
      <c r="AG485" s="196"/>
      <c r="AH485" s="196"/>
    </row>
    <row r="486">
      <c r="V486" s="196"/>
      <c r="W486" s="196"/>
      <c r="X486" s="196"/>
      <c r="Y486" s="196"/>
      <c r="Z486" s="196"/>
      <c r="AA486" s="196"/>
      <c r="AB486" s="196"/>
      <c r="AC486" s="196"/>
      <c r="AD486" s="196"/>
      <c r="AE486" s="196"/>
      <c r="AF486" s="196"/>
      <c r="AG486" s="196"/>
      <c r="AH486" s="196"/>
    </row>
    <row r="487">
      <c r="V487" s="196"/>
      <c r="W487" s="196"/>
      <c r="X487" s="196"/>
      <c r="Y487" s="196"/>
      <c r="Z487" s="196"/>
      <c r="AA487" s="196"/>
      <c r="AB487" s="196"/>
      <c r="AC487" s="196"/>
      <c r="AD487" s="196"/>
      <c r="AE487" s="196"/>
      <c r="AF487" s="196"/>
      <c r="AG487" s="196"/>
      <c r="AH487" s="196"/>
    </row>
    <row r="488">
      <c r="V488" s="196"/>
      <c r="W488" s="196"/>
      <c r="X488" s="196"/>
      <c r="Y488" s="196"/>
      <c r="Z488" s="196"/>
      <c r="AA488" s="196"/>
      <c r="AB488" s="196"/>
      <c r="AC488" s="196"/>
      <c r="AD488" s="196"/>
      <c r="AE488" s="196"/>
      <c r="AF488" s="196"/>
      <c r="AG488" s="196"/>
      <c r="AH488" s="196"/>
    </row>
    <row r="489">
      <c r="V489" s="196"/>
      <c r="W489" s="196"/>
      <c r="X489" s="196"/>
      <c r="Y489" s="196"/>
      <c r="Z489" s="196"/>
      <c r="AA489" s="196"/>
      <c r="AB489" s="196"/>
      <c r="AC489" s="196"/>
      <c r="AD489" s="196"/>
      <c r="AE489" s="196"/>
      <c r="AF489" s="196"/>
      <c r="AG489" s="196"/>
      <c r="AH489" s="196"/>
    </row>
    <row r="490">
      <c r="V490" s="196"/>
      <c r="W490" s="196"/>
      <c r="X490" s="196"/>
      <c r="Y490" s="196"/>
      <c r="Z490" s="196"/>
      <c r="AA490" s="196"/>
      <c r="AB490" s="196"/>
      <c r="AC490" s="196"/>
      <c r="AD490" s="196"/>
      <c r="AE490" s="196"/>
      <c r="AF490" s="196"/>
      <c r="AG490" s="196"/>
      <c r="AH490" s="196"/>
    </row>
    <row r="491">
      <c r="V491" s="196"/>
      <c r="W491" s="196"/>
      <c r="X491" s="196"/>
      <c r="Y491" s="196"/>
      <c r="Z491" s="196"/>
      <c r="AA491" s="196"/>
      <c r="AB491" s="196"/>
      <c r="AC491" s="196"/>
      <c r="AD491" s="196"/>
      <c r="AE491" s="196"/>
      <c r="AF491" s="196"/>
      <c r="AG491" s="196"/>
      <c r="AH491" s="196"/>
    </row>
    <row r="492">
      <c r="V492" s="196"/>
      <c r="W492" s="196"/>
      <c r="X492" s="196"/>
      <c r="Y492" s="196"/>
      <c r="Z492" s="196"/>
      <c r="AA492" s="196"/>
      <c r="AB492" s="196"/>
      <c r="AC492" s="196"/>
      <c r="AD492" s="196"/>
      <c r="AE492" s="196"/>
      <c r="AF492" s="196"/>
      <c r="AG492" s="196"/>
      <c r="AH492" s="196"/>
    </row>
    <row r="493">
      <c r="V493" s="196"/>
      <c r="W493" s="196"/>
      <c r="X493" s="196"/>
      <c r="Y493" s="196"/>
      <c r="Z493" s="196"/>
      <c r="AA493" s="196"/>
      <c r="AB493" s="196"/>
      <c r="AC493" s="196"/>
      <c r="AD493" s="196"/>
      <c r="AE493" s="196"/>
      <c r="AF493" s="196"/>
      <c r="AG493" s="196"/>
      <c r="AH493" s="196"/>
    </row>
    <row r="494">
      <c r="V494" s="196"/>
      <c r="W494" s="196"/>
      <c r="X494" s="196"/>
      <c r="Y494" s="196"/>
      <c r="Z494" s="196"/>
      <c r="AA494" s="196"/>
      <c r="AB494" s="196"/>
      <c r="AC494" s="196"/>
      <c r="AD494" s="196"/>
      <c r="AE494" s="196"/>
      <c r="AF494" s="196"/>
      <c r="AG494" s="196"/>
      <c r="AH494" s="196"/>
    </row>
    <row r="495">
      <c r="V495" s="196"/>
      <c r="W495" s="196"/>
      <c r="X495" s="196"/>
      <c r="Y495" s="196"/>
      <c r="Z495" s="196"/>
      <c r="AA495" s="196"/>
      <c r="AB495" s="196"/>
      <c r="AC495" s="196"/>
      <c r="AD495" s="196"/>
      <c r="AE495" s="196"/>
      <c r="AF495" s="196"/>
      <c r="AG495" s="196"/>
      <c r="AH495" s="196"/>
    </row>
    <row r="496">
      <c r="V496" s="196"/>
      <c r="W496" s="196"/>
      <c r="X496" s="196"/>
      <c r="Y496" s="196"/>
      <c r="Z496" s="196"/>
      <c r="AA496" s="196"/>
      <c r="AB496" s="196"/>
      <c r="AC496" s="196"/>
      <c r="AD496" s="196"/>
      <c r="AE496" s="196"/>
      <c r="AF496" s="196"/>
      <c r="AG496" s="196"/>
      <c r="AH496" s="196"/>
    </row>
    <row r="497">
      <c r="V497" s="196"/>
      <c r="W497" s="196"/>
      <c r="X497" s="196"/>
      <c r="Y497" s="196"/>
      <c r="Z497" s="196"/>
      <c r="AA497" s="196"/>
      <c r="AB497" s="196"/>
      <c r="AC497" s="196"/>
      <c r="AD497" s="196"/>
      <c r="AE497" s="196"/>
      <c r="AF497" s="196"/>
      <c r="AG497" s="196"/>
      <c r="AH497" s="196"/>
    </row>
    <row r="498">
      <c r="V498" s="196"/>
      <c r="W498" s="196"/>
      <c r="X498" s="196"/>
      <c r="Y498" s="196"/>
      <c r="Z498" s="196"/>
      <c r="AA498" s="196"/>
      <c r="AB498" s="196"/>
      <c r="AC498" s="196"/>
      <c r="AD498" s="196"/>
      <c r="AE498" s="196"/>
      <c r="AF498" s="196"/>
      <c r="AG498" s="196"/>
      <c r="AH498" s="196"/>
    </row>
    <row r="499">
      <c r="V499" s="196"/>
      <c r="W499" s="196"/>
      <c r="X499" s="196"/>
      <c r="Y499" s="196"/>
      <c r="Z499" s="196"/>
      <c r="AA499" s="196"/>
      <c r="AB499" s="196"/>
      <c r="AC499" s="196"/>
      <c r="AD499" s="196"/>
      <c r="AE499" s="196"/>
      <c r="AF499" s="196"/>
      <c r="AG499" s="196"/>
      <c r="AH499" s="196"/>
    </row>
    <row r="500">
      <c r="V500" s="196"/>
      <c r="W500" s="196"/>
      <c r="X500" s="196"/>
      <c r="Y500" s="196"/>
      <c r="Z500" s="196"/>
      <c r="AA500" s="196"/>
      <c r="AB500" s="196"/>
      <c r="AC500" s="196"/>
      <c r="AD500" s="196"/>
      <c r="AE500" s="196"/>
      <c r="AF500" s="196"/>
      <c r="AG500" s="196"/>
      <c r="AH500" s="196"/>
    </row>
    <row r="501">
      <c r="V501" s="196"/>
      <c r="W501" s="196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</row>
    <row r="502">
      <c r="V502" s="196"/>
      <c r="W502" s="196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</row>
    <row r="503">
      <c r="V503" s="196"/>
      <c r="W503" s="196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</row>
    <row r="504">
      <c r="V504" s="196"/>
      <c r="W504" s="196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</row>
    <row r="505">
      <c r="V505" s="196"/>
      <c r="W505" s="196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</row>
    <row r="506">
      <c r="V506" s="196"/>
      <c r="W506" s="196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</row>
    <row r="507">
      <c r="V507" s="196"/>
      <c r="W507" s="196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</row>
    <row r="508">
      <c r="V508" s="196"/>
      <c r="W508" s="196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</row>
    <row r="509">
      <c r="V509" s="196"/>
      <c r="W509" s="196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</row>
    <row r="510">
      <c r="V510" s="196"/>
      <c r="W510" s="196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</row>
    <row r="511">
      <c r="V511" s="196"/>
      <c r="W511" s="196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</row>
    <row r="512">
      <c r="V512" s="196"/>
      <c r="W512" s="196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</row>
    <row r="513">
      <c r="V513" s="196"/>
      <c r="W513" s="196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</row>
    <row r="514">
      <c r="V514" s="196"/>
      <c r="W514" s="196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</row>
    <row r="515">
      <c r="V515" s="196"/>
      <c r="W515" s="196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</row>
    <row r="516">
      <c r="V516" s="196"/>
      <c r="W516" s="196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</row>
    <row r="517">
      <c r="V517" s="196"/>
      <c r="W517" s="196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</row>
    <row r="518">
      <c r="V518" s="196"/>
      <c r="W518" s="196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</row>
    <row r="519">
      <c r="V519" s="196"/>
      <c r="W519" s="196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</row>
    <row r="520">
      <c r="V520" s="196"/>
      <c r="W520" s="196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</row>
    <row r="521">
      <c r="V521" s="196"/>
      <c r="W521" s="196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</row>
    <row r="522">
      <c r="V522" s="196"/>
      <c r="W522" s="196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</row>
    <row r="523">
      <c r="V523" s="196"/>
      <c r="W523" s="196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</row>
    <row r="524">
      <c r="V524" s="196"/>
      <c r="W524" s="196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</row>
    <row r="525">
      <c r="V525" s="196"/>
      <c r="W525" s="196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</row>
    <row r="526">
      <c r="V526" s="196"/>
      <c r="W526" s="196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</row>
    <row r="527">
      <c r="V527" s="196"/>
      <c r="W527" s="196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</row>
    <row r="528">
      <c r="V528" s="196"/>
      <c r="W528" s="196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</row>
    <row r="529">
      <c r="V529" s="196"/>
      <c r="W529" s="196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</row>
    <row r="530">
      <c r="V530" s="196"/>
      <c r="W530" s="196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</row>
    <row r="531">
      <c r="V531" s="196"/>
      <c r="W531" s="196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</row>
    <row r="532">
      <c r="V532" s="196"/>
      <c r="W532" s="196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</row>
    <row r="533">
      <c r="V533" s="196"/>
      <c r="W533" s="196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</row>
    <row r="534">
      <c r="V534" s="196"/>
      <c r="W534" s="196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</row>
    <row r="535">
      <c r="V535" s="196"/>
      <c r="W535" s="196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</row>
    <row r="536">
      <c r="V536" s="196"/>
      <c r="W536" s="196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</row>
    <row r="537">
      <c r="V537" s="196"/>
      <c r="W537" s="196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</row>
    <row r="538">
      <c r="V538" s="196"/>
      <c r="W538" s="196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</row>
    <row r="539">
      <c r="V539" s="196"/>
      <c r="W539" s="196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</row>
    <row r="540">
      <c r="V540" s="196"/>
      <c r="W540" s="196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</row>
    <row r="541">
      <c r="V541" s="196"/>
      <c r="W541" s="196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</row>
    <row r="542">
      <c r="V542" s="196"/>
      <c r="W542" s="196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</row>
    <row r="543">
      <c r="V543" s="196"/>
      <c r="W543" s="196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</row>
    <row r="544">
      <c r="V544" s="196"/>
      <c r="W544" s="196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</row>
    <row r="545">
      <c r="V545" s="196"/>
      <c r="W545" s="196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</row>
    <row r="546">
      <c r="V546" s="196"/>
      <c r="W546" s="196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</row>
    <row r="547">
      <c r="V547" s="196"/>
      <c r="W547" s="196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</row>
    <row r="548">
      <c r="V548" s="196"/>
      <c r="W548" s="196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</row>
    <row r="549">
      <c r="V549" s="196"/>
      <c r="W549" s="196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</row>
    <row r="550">
      <c r="V550" s="196"/>
      <c r="W550" s="196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</row>
    <row r="551">
      <c r="V551" s="196"/>
      <c r="W551" s="196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</row>
    <row r="552">
      <c r="V552" s="196"/>
      <c r="W552" s="196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</row>
    <row r="553">
      <c r="V553" s="196"/>
      <c r="W553" s="196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</row>
    <row r="554">
      <c r="V554" s="196"/>
      <c r="W554" s="196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</row>
    <row r="555">
      <c r="V555" s="196"/>
      <c r="W555" s="196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</row>
    <row r="556">
      <c r="V556" s="196"/>
      <c r="W556" s="196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</row>
    <row r="557">
      <c r="V557" s="196"/>
      <c r="W557" s="196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</row>
    <row r="558">
      <c r="V558" s="196"/>
      <c r="W558" s="196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</row>
    <row r="559">
      <c r="V559" s="196"/>
      <c r="W559" s="196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</row>
    <row r="560">
      <c r="V560" s="196"/>
      <c r="W560" s="196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</row>
    <row r="561">
      <c r="V561" s="196"/>
      <c r="W561" s="196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</row>
    <row r="562">
      <c r="V562" s="196"/>
      <c r="W562" s="196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</row>
    <row r="563">
      <c r="V563" s="196"/>
      <c r="W563" s="196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</row>
    <row r="564">
      <c r="V564" s="196"/>
      <c r="W564" s="196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</row>
    <row r="565">
      <c r="V565" s="196"/>
      <c r="W565" s="196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</row>
    <row r="566">
      <c r="V566" s="196"/>
      <c r="W566" s="196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</row>
    <row r="567">
      <c r="V567" s="196"/>
      <c r="W567" s="196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</row>
    <row r="568">
      <c r="V568" s="196"/>
      <c r="W568" s="196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</row>
    <row r="569">
      <c r="V569" s="196"/>
      <c r="W569" s="196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</row>
    <row r="570">
      <c r="V570" s="196"/>
      <c r="W570" s="196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</row>
    <row r="571">
      <c r="V571" s="196"/>
      <c r="W571" s="196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</row>
    <row r="572">
      <c r="V572" s="196"/>
      <c r="W572" s="196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</row>
    <row r="573">
      <c r="V573" s="196"/>
      <c r="W573" s="196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</row>
    <row r="574">
      <c r="V574" s="196"/>
      <c r="W574" s="196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</row>
    <row r="575">
      <c r="V575" s="196"/>
      <c r="W575" s="196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</row>
    <row r="576">
      <c r="V576" s="196"/>
      <c r="W576" s="196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</row>
    <row r="577">
      <c r="V577" s="196"/>
      <c r="W577" s="196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</row>
    <row r="578">
      <c r="V578" s="196"/>
      <c r="W578" s="196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</row>
    <row r="579">
      <c r="V579" s="196"/>
      <c r="W579" s="196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</row>
    <row r="580">
      <c r="V580" s="196"/>
      <c r="W580" s="196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</row>
    <row r="581">
      <c r="V581" s="196"/>
      <c r="W581" s="196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</row>
    <row r="582">
      <c r="V582" s="196"/>
      <c r="W582" s="196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</row>
    <row r="583">
      <c r="V583" s="196"/>
      <c r="W583" s="196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</row>
    <row r="584">
      <c r="V584" s="196"/>
      <c r="W584" s="196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</row>
    <row r="585">
      <c r="V585" s="196"/>
      <c r="W585" s="196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</row>
    <row r="586">
      <c r="V586" s="196"/>
      <c r="W586" s="196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</row>
    <row r="587">
      <c r="V587" s="196"/>
      <c r="W587" s="196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</row>
    <row r="588">
      <c r="V588" s="196"/>
      <c r="W588" s="196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</row>
    <row r="589">
      <c r="V589" s="196"/>
      <c r="W589" s="196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</row>
    <row r="590">
      <c r="V590" s="196"/>
      <c r="W590" s="196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</row>
    <row r="591">
      <c r="V591" s="196"/>
      <c r="W591" s="196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</row>
    <row r="592">
      <c r="V592" s="196"/>
      <c r="W592" s="196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</row>
    <row r="593">
      <c r="V593" s="196"/>
      <c r="W593" s="196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</row>
    <row r="594">
      <c r="V594" s="196"/>
      <c r="W594" s="196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</row>
    <row r="595">
      <c r="V595" s="196"/>
      <c r="W595" s="196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</row>
    <row r="596">
      <c r="V596" s="196"/>
      <c r="W596" s="196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</row>
    <row r="597">
      <c r="V597" s="196"/>
      <c r="W597" s="196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</row>
    <row r="598">
      <c r="V598" s="196"/>
      <c r="W598" s="196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</row>
    <row r="599">
      <c r="V599" s="196"/>
      <c r="W599" s="196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</row>
    <row r="600">
      <c r="V600" s="196"/>
      <c r="W600" s="196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</row>
    <row r="601">
      <c r="V601" s="196"/>
      <c r="W601" s="196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</row>
    <row r="602">
      <c r="V602" s="196"/>
      <c r="W602" s="196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</row>
    <row r="603">
      <c r="V603" s="196"/>
      <c r="W603" s="196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</row>
    <row r="604">
      <c r="V604" s="196"/>
      <c r="W604" s="196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</row>
    <row r="605">
      <c r="V605" s="196"/>
      <c r="W605" s="196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</row>
    <row r="606">
      <c r="V606" s="196"/>
      <c r="W606" s="196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</row>
    <row r="607">
      <c r="V607" s="196"/>
      <c r="W607" s="196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</row>
    <row r="608">
      <c r="V608" s="196"/>
      <c r="W608" s="196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</row>
    <row r="609">
      <c r="V609" s="196"/>
      <c r="W609" s="196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</row>
    <row r="610">
      <c r="V610" s="196"/>
      <c r="W610" s="196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</row>
    <row r="611">
      <c r="V611" s="196"/>
      <c r="W611" s="196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</row>
    <row r="612">
      <c r="V612" s="196"/>
      <c r="W612" s="196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</row>
    <row r="613">
      <c r="V613" s="196"/>
      <c r="W613" s="196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</row>
    <row r="614">
      <c r="V614" s="196"/>
      <c r="W614" s="196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</row>
    <row r="615">
      <c r="V615" s="196"/>
      <c r="W615" s="196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</row>
    <row r="616">
      <c r="V616" s="196"/>
      <c r="W616" s="196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</row>
    <row r="617">
      <c r="V617" s="196"/>
      <c r="W617" s="196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</row>
    <row r="618">
      <c r="V618" s="196"/>
      <c r="W618" s="196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</row>
    <row r="619">
      <c r="V619" s="196"/>
      <c r="W619" s="196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</row>
    <row r="620">
      <c r="V620" s="196"/>
      <c r="W620" s="196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</row>
    <row r="621">
      <c r="V621" s="196"/>
      <c r="W621" s="196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</row>
    <row r="622">
      <c r="V622" s="196"/>
      <c r="W622" s="196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</row>
    <row r="623">
      <c r="V623" s="196"/>
      <c r="W623" s="196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</row>
    <row r="624">
      <c r="V624" s="196"/>
      <c r="W624" s="196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</row>
    <row r="625">
      <c r="V625" s="196"/>
      <c r="W625" s="196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</row>
    <row r="626">
      <c r="V626" s="196"/>
      <c r="W626" s="196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</row>
    <row r="627">
      <c r="V627" s="196"/>
      <c r="W627" s="196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</row>
    <row r="628">
      <c r="V628" s="196"/>
      <c r="W628" s="196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</row>
    <row r="629">
      <c r="V629" s="196"/>
      <c r="W629" s="196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</row>
    <row r="630">
      <c r="V630" s="196"/>
      <c r="W630" s="196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</row>
    <row r="631">
      <c r="V631" s="196"/>
      <c r="W631" s="196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</row>
    <row r="632">
      <c r="V632" s="196"/>
      <c r="W632" s="196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</row>
    <row r="633">
      <c r="V633" s="196"/>
      <c r="W633" s="196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</row>
    <row r="634">
      <c r="V634" s="196"/>
      <c r="W634" s="196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</row>
    <row r="635">
      <c r="V635" s="196"/>
      <c r="W635" s="196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</row>
    <row r="636">
      <c r="V636" s="196"/>
      <c r="W636" s="196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</row>
    <row r="637">
      <c r="V637" s="196"/>
      <c r="W637" s="196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</row>
    <row r="638">
      <c r="V638" s="196"/>
      <c r="W638" s="196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</row>
    <row r="639">
      <c r="V639" s="196"/>
      <c r="W639" s="196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</row>
    <row r="640">
      <c r="V640" s="196"/>
      <c r="W640" s="196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</row>
    <row r="641">
      <c r="V641" s="196"/>
      <c r="W641" s="196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</row>
    <row r="642">
      <c r="V642" s="196"/>
      <c r="W642" s="196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</row>
    <row r="643">
      <c r="V643" s="196"/>
      <c r="W643" s="196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</row>
    <row r="644">
      <c r="V644" s="196"/>
      <c r="W644" s="196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</row>
    <row r="645">
      <c r="V645" s="196"/>
      <c r="W645" s="196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</row>
    <row r="646">
      <c r="V646" s="196"/>
      <c r="W646" s="196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</row>
    <row r="647">
      <c r="V647" s="196"/>
      <c r="W647" s="196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</row>
    <row r="648">
      <c r="V648" s="196"/>
      <c r="W648" s="196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</row>
    <row r="649">
      <c r="V649" s="196"/>
      <c r="W649" s="196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</row>
    <row r="650">
      <c r="V650" s="196"/>
      <c r="W650" s="196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</row>
    <row r="651">
      <c r="V651" s="196"/>
      <c r="W651" s="196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</row>
    <row r="652">
      <c r="V652" s="196"/>
      <c r="W652" s="196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</row>
    <row r="653">
      <c r="V653" s="196"/>
      <c r="W653" s="196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</row>
    <row r="654">
      <c r="V654" s="196"/>
      <c r="W654" s="196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</row>
    <row r="655">
      <c r="V655" s="196"/>
      <c r="W655" s="196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</row>
    <row r="656">
      <c r="V656" s="196"/>
      <c r="W656" s="196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</row>
    <row r="657">
      <c r="V657" s="196"/>
      <c r="W657" s="196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</row>
    <row r="658">
      <c r="V658" s="196"/>
      <c r="W658" s="196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</row>
    <row r="659">
      <c r="V659" s="196"/>
      <c r="W659" s="196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</row>
    <row r="660">
      <c r="V660" s="196"/>
      <c r="W660" s="196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</row>
    <row r="661">
      <c r="V661" s="196"/>
      <c r="W661" s="196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</row>
    <row r="662">
      <c r="V662" s="196"/>
      <c r="W662" s="196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</row>
    <row r="663">
      <c r="V663" s="196"/>
      <c r="W663" s="196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</row>
    <row r="664">
      <c r="V664" s="196"/>
      <c r="W664" s="196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</row>
    <row r="665">
      <c r="V665" s="196"/>
      <c r="W665" s="196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</row>
    <row r="666">
      <c r="V666" s="196"/>
      <c r="W666" s="196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</row>
    <row r="667">
      <c r="V667" s="196"/>
      <c r="W667" s="196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</row>
    <row r="668">
      <c r="V668" s="196"/>
      <c r="W668" s="196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</row>
    <row r="669">
      <c r="V669" s="196"/>
      <c r="W669" s="196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</row>
    <row r="670">
      <c r="V670" s="196"/>
      <c r="W670" s="196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</row>
    <row r="671">
      <c r="V671" s="196"/>
      <c r="W671" s="196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</row>
    <row r="672">
      <c r="V672" s="196"/>
      <c r="W672" s="196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</row>
    <row r="673">
      <c r="V673" s="196"/>
      <c r="W673" s="196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</row>
    <row r="674">
      <c r="V674" s="196"/>
      <c r="W674" s="196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</row>
    <row r="675">
      <c r="V675" s="196"/>
      <c r="W675" s="196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</row>
    <row r="676">
      <c r="V676" s="196"/>
      <c r="W676" s="196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</row>
    <row r="677">
      <c r="V677" s="196"/>
      <c r="W677" s="196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</row>
    <row r="678">
      <c r="V678" s="196"/>
      <c r="W678" s="196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</row>
    <row r="679">
      <c r="V679" s="196"/>
      <c r="W679" s="196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</row>
    <row r="680">
      <c r="V680" s="196"/>
      <c r="W680" s="196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</row>
    <row r="681">
      <c r="V681" s="196"/>
      <c r="W681" s="196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</row>
    <row r="682">
      <c r="V682" s="196"/>
      <c r="W682" s="196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</row>
    <row r="683">
      <c r="V683" s="196"/>
      <c r="W683" s="196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</row>
    <row r="684">
      <c r="V684" s="196"/>
      <c r="W684" s="196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</row>
    <row r="685">
      <c r="V685" s="196"/>
      <c r="W685" s="196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</row>
    <row r="686">
      <c r="V686" s="196"/>
      <c r="W686" s="196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</row>
    <row r="687">
      <c r="V687" s="196"/>
      <c r="W687" s="196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</row>
    <row r="688">
      <c r="V688" s="196"/>
      <c r="W688" s="196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</row>
    <row r="689">
      <c r="V689" s="196"/>
      <c r="W689" s="196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</row>
    <row r="690">
      <c r="V690" s="196"/>
      <c r="W690" s="196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</row>
    <row r="691">
      <c r="V691" s="196"/>
      <c r="W691" s="196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</row>
    <row r="692">
      <c r="V692" s="196"/>
      <c r="W692" s="196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</row>
    <row r="693">
      <c r="V693" s="196"/>
      <c r="W693" s="196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</row>
    <row r="694">
      <c r="V694" s="196"/>
      <c r="W694" s="196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</row>
    <row r="695">
      <c r="V695" s="196"/>
      <c r="W695" s="196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</row>
    <row r="696">
      <c r="V696" s="196"/>
      <c r="W696" s="196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</row>
    <row r="697">
      <c r="V697" s="196"/>
      <c r="W697" s="196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</row>
    <row r="698">
      <c r="V698" s="196"/>
      <c r="W698" s="196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</row>
    <row r="699">
      <c r="V699" s="196"/>
      <c r="W699" s="196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</row>
    <row r="700">
      <c r="V700" s="196"/>
      <c r="W700" s="196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</row>
    <row r="701">
      <c r="V701" s="196"/>
      <c r="W701" s="196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</row>
    <row r="702">
      <c r="V702" s="196"/>
      <c r="W702" s="196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</row>
    <row r="703">
      <c r="V703" s="196"/>
      <c r="W703" s="196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</row>
    <row r="704">
      <c r="V704" s="196"/>
      <c r="W704" s="196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</row>
    <row r="705">
      <c r="V705" s="196"/>
      <c r="W705" s="196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</row>
    <row r="706">
      <c r="V706" s="196"/>
      <c r="W706" s="196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</row>
    <row r="707">
      <c r="V707" s="196"/>
      <c r="W707" s="196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</row>
    <row r="708">
      <c r="V708" s="196"/>
      <c r="W708" s="196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</row>
    <row r="709">
      <c r="V709" s="196"/>
      <c r="W709" s="196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</row>
    <row r="710">
      <c r="V710" s="196"/>
      <c r="W710" s="196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</row>
    <row r="711">
      <c r="V711" s="196"/>
      <c r="W711" s="196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</row>
    <row r="712">
      <c r="V712" s="196"/>
      <c r="W712" s="196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</row>
    <row r="713">
      <c r="V713" s="196"/>
      <c r="W713" s="196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</row>
    <row r="714">
      <c r="V714" s="196"/>
      <c r="W714" s="196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</row>
    <row r="715">
      <c r="V715" s="196"/>
      <c r="W715" s="196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</row>
    <row r="716">
      <c r="V716" s="196"/>
      <c r="W716" s="196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</row>
    <row r="717">
      <c r="V717" s="196"/>
      <c r="W717" s="196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</row>
    <row r="718">
      <c r="V718" s="196"/>
      <c r="W718" s="196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</row>
    <row r="719">
      <c r="V719" s="196"/>
      <c r="W719" s="196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</row>
    <row r="720">
      <c r="V720" s="196"/>
      <c r="W720" s="196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</row>
    <row r="721">
      <c r="V721" s="196"/>
      <c r="W721" s="196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</row>
    <row r="722">
      <c r="V722" s="196"/>
      <c r="W722" s="196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</row>
    <row r="723">
      <c r="V723" s="196"/>
      <c r="W723" s="196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</row>
    <row r="724">
      <c r="V724" s="196"/>
      <c r="W724" s="196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</row>
    <row r="725">
      <c r="V725" s="196"/>
      <c r="W725" s="196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</row>
    <row r="726">
      <c r="V726" s="196"/>
      <c r="W726" s="196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</row>
    <row r="727">
      <c r="V727" s="196"/>
      <c r="W727" s="196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</row>
    <row r="728">
      <c r="V728" s="196"/>
      <c r="W728" s="196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</row>
    <row r="729">
      <c r="V729" s="196"/>
      <c r="W729" s="196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</row>
    <row r="730">
      <c r="V730" s="196"/>
      <c r="W730" s="196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</row>
    <row r="731">
      <c r="V731" s="196"/>
      <c r="W731" s="196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</row>
    <row r="732">
      <c r="V732" s="196"/>
      <c r="W732" s="196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</row>
    <row r="733">
      <c r="V733" s="196"/>
      <c r="W733" s="196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</row>
    <row r="734">
      <c r="V734" s="196"/>
      <c r="W734" s="196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</row>
    <row r="735">
      <c r="V735" s="196"/>
      <c r="W735" s="196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</row>
    <row r="736">
      <c r="V736" s="196"/>
      <c r="W736" s="196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</row>
    <row r="737">
      <c r="V737" s="196"/>
      <c r="W737" s="196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</row>
    <row r="738">
      <c r="V738" s="196"/>
      <c r="W738" s="196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</row>
    <row r="739">
      <c r="V739" s="196"/>
      <c r="W739" s="196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</row>
    <row r="740">
      <c r="V740" s="196"/>
      <c r="W740" s="196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</row>
    <row r="741">
      <c r="V741" s="196"/>
      <c r="W741" s="196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</row>
    <row r="742">
      <c r="V742" s="196"/>
      <c r="W742" s="196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</row>
    <row r="743">
      <c r="V743" s="196"/>
      <c r="W743" s="196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</row>
    <row r="744">
      <c r="V744" s="196"/>
      <c r="W744" s="196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</row>
    <row r="745">
      <c r="V745" s="196"/>
      <c r="W745" s="196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</row>
    <row r="746">
      <c r="V746" s="196"/>
      <c r="W746" s="196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</row>
    <row r="747">
      <c r="V747" s="196"/>
      <c r="W747" s="196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</row>
    <row r="748">
      <c r="V748" s="196"/>
      <c r="W748" s="196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</row>
    <row r="749">
      <c r="V749" s="196"/>
      <c r="W749" s="196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</row>
    <row r="750">
      <c r="V750" s="196"/>
      <c r="W750" s="196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</row>
    <row r="751">
      <c r="V751" s="196"/>
      <c r="W751" s="196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</row>
    <row r="752">
      <c r="V752" s="196"/>
      <c r="W752" s="196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</row>
    <row r="753">
      <c r="V753" s="196"/>
      <c r="W753" s="196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</row>
    <row r="754">
      <c r="V754" s="196"/>
      <c r="W754" s="196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</row>
    <row r="755">
      <c r="V755" s="196"/>
      <c r="W755" s="196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</row>
    <row r="756">
      <c r="V756" s="196"/>
      <c r="W756" s="196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</row>
    <row r="757">
      <c r="V757" s="196"/>
      <c r="W757" s="196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</row>
    <row r="758">
      <c r="V758" s="196"/>
      <c r="W758" s="196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</row>
    <row r="759">
      <c r="V759" s="196"/>
      <c r="W759" s="196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</row>
    <row r="760">
      <c r="V760" s="196"/>
      <c r="W760" s="196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</row>
    <row r="761">
      <c r="V761" s="196"/>
      <c r="W761" s="196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</row>
    <row r="762">
      <c r="V762" s="196"/>
      <c r="W762" s="196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</row>
    <row r="763">
      <c r="V763" s="196"/>
      <c r="W763" s="196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</row>
    <row r="764">
      <c r="V764" s="196"/>
      <c r="W764" s="196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</row>
    <row r="765">
      <c r="V765" s="196"/>
      <c r="W765" s="196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</row>
    <row r="766">
      <c r="V766" s="196"/>
      <c r="W766" s="196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</row>
    <row r="767">
      <c r="V767" s="196"/>
      <c r="W767" s="196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</row>
    <row r="768">
      <c r="V768" s="196"/>
      <c r="W768" s="196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</row>
    <row r="769">
      <c r="V769" s="196"/>
      <c r="W769" s="196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</row>
    <row r="770">
      <c r="V770" s="196"/>
      <c r="W770" s="196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</row>
    <row r="771">
      <c r="V771" s="196"/>
      <c r="W771" s="196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</row>
    <row r="772">
      <c r="V772" s="196"/>
      <c r="W772" s="196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</row>
    <row r="773">
      <c r="V773" s="196"/>
      <c r="W773" s="196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</row>
    <row r="774">
      <c r="V774" s="196"/>
      <c r="W774" s="196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</row>
    <row r="775">
      <c r="V775" s="196"/>
      <c r="W775" s="196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</row>
    <row r="776">
      <c r="V776" s="196"/>
      <c r="W776" s="196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</row>
    <row r="777">
      <c r="V777" s="196"/>
      <c r="W777" s="196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</row>
    <row r="778">
      <c r="V778" s="196"/>
      <c r="W778" s="196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</row>
    <row r="779">
      <c r="V779" s="196"/>
      <c r="W779" s="196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</row>
    <row r="780">
      <c r="V780" s="196"/>
      <c r="W780" s="196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</row>
    <row r="781">
      <c r="V781" s="196"/>
      <c r="W781" s="196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</row>
    <row r="782">
      <c r="V782" s="196"/>
      <c r="W782" s="196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</row>
    <row r="783">
      <c r="V783" s="196"/>
      <c r="W783" s="196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</row>
    <row r="784">
      <c r="V784" s="196"/>
      <c r="W784" s="196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</row>
    <row r="785">
      <c r="V785" s="196"/>
      <c r="W785" s="196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</row>
    <row r="786">
      <c r="V786" s="196"/>
      <c r="W786" s="196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</row>
    <row r="787">
      <c r="V787" s="196"/>
      <c r="W787" s="196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</row>
    <row r="788">
      <c r="V788" s="196"/>
      <c r="W788" s="196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</row>
    <row r="789">
      <c r="V789" s="196"/>
      <c r="W789" s="196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</row>
    <row r="790">
      <c r="V790" s="196"/>
      <c r="W790" s="196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</row>
    <row r="791">
      <c r="V791" s="196"/>
      <c r="W791" s="196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</row>
    <row r="792">
      <c r="V792" s="196"/>
      <c r="W792" s="196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</row>
    <row r="793">
      <c r="V793" s="196"/>
      <c r="W793" s="196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</row>
    <row r="794">
      <c r="V794" s="196"/>
      <c r="W794" s="196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</row>
    <row r="795">
      <c r="V795" s="196"/>
      <c r="W795" s="196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</row>
    <row r="796">
      <c r="V796" s="196"/>
      <c r="W796" s="196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</row>
    <row r="797">
      <c r="V797" s="196"/>
      <c r="W797" s="196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</row>
    <row r="798">
      <c r="V798" s="196"/>
      <c r="W798" s="196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</row>
    <row r="799">
      <c r="V799" s="196"/>
      <c r="W799" s="196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</row>
    <row r="800">
      <c r="V800" s="196"/>
      <c r="W800" s="196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</row>
    <row r="801">
      <c r="V801" s="196"/>
      <c r="W801" s="196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</row>
    <row r="802">
      <c r="V802" s="196"/>
      <c r="W802" s="196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</row>
    <row r="803">
      <c r="V803" s="196"/>
      <c r="W803" s="196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</row>
    <row r="804">
      <c r="V804" s="196"/>
      <c r="W804" s="196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</row>
    <row r="805">
      <c r="V805" s="196"/>
      <c r="W805" s="196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</row>
    <row r="806">
      <c r="V806" s="196"/>
      <c r="W806" s="196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</row>
    <row r="807">
      <c r="V807" s="196"/>
      <c r="W807" s="196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</row>
    <row r="808">
      <c r="V808" s="196"/>
      <c r="W808" s="196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</row>
    <row r="809">
      <c r="V809" s="196"/>
      <c r="W809" s="196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</row>
    <row r="810">
      <c r="V810" s="196"/>
      <c r="W810" s="196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</row>
    <row r="811">
      <c r="V811" s="196"/>
      <c r="W811" s="196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</row>
    <row r="812">
      <c r="V812" s="196"/>
      <c r="W812" s="196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</row>
    <row r="813">
      <c r="V813" s="196"/>
      <c r="W813" s="196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</row>
    <row r="814">
      <c r="V814" s="196"/>
      <c r="W814" s="196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</row>
    <row r="815">
      <c r="V815" s="196"/>
      <c r="W815" s="196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</row>
    <row r="816">
      <c r="V816" s="196"/>
      <c r="W816" s="196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</row>
    <row r="817">
      <c r="V817" s="196"/>
      <c r="W817" s="196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</row>
    <row r="818">
      <c r="V818" s="196"/>
      <c r="W818" s="196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</row>
    <row r="819">
      <c r="V819" s="196"/>
      <c r="W819" s="196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</row>
    <row r="820">
      <c r="V820" s="196"/>
      <c r="W820" s="196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</row>
    <row r="821">
      <c r="V821" s="196"/>
      <c r="W821" s="196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</row>
    <row r="822">
      <c r="V822" s="196"/>
      <c r="W822" s="196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</row>
    <row r="823">
      <c r="V823" s="196"/>
      <c r="W823" s="196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</row>
    <row r="824">
      <c r="V824" s="196"/>
      <c r="W824" s="196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</row>
    <row r="825">
      <c r="V825" s="196"/>
      <c r="W825" s="196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</row>
    <row r="826">
      <c r="V826" s="196"/>
      <c r="W826" s="196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</row>
    <row r="827">
      <c r="V827" s="196"/>
      <c r="W827" s="196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</row>
    <row r="828">
      <c r="V828" s="196"/>
      <c r="W828" s="196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</row>
    <row r="829">
      <c r="V829" s="196"/>
      <c r="W829" s="196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</row>
    <row r="830">
      <c r="V830" s="196"/>
      <c r="W830" s="196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</row>
    <row r="831">
      <c r="V831" s="196"/>
      <c r="W831" s="196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</row>
    <row r="832">
      <c r="V832" s="196"/>
      <c r="W832" s="196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</row>
    <row r="833">
      <c r="V833" s="196"/>
      <c r="W833" s="196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</row>
    <row r="834">
      <c r="V834" s="196"/>
      <c r="W834" s="196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</row>
    <row r="835">
      <c r="V835" s="196"/>
      <c r="W835" s="196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</row>
    <row r="836">
      <c r="V836" s="196"/>
      <c r="W836" s="196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</row>
    <row r="837">
      <c r="V837" s="196"/>
      <c r="W837" s="196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</row>
    <row r="838">
      <c r="V838" s="196"/>
      <c r="W838" s="196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</row>
    <row r="839">
      <c r="V839" s="196"/>
      <c r="W839" s="196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</row>
    <row r="840">
      <c r="V840" s="196"/>
      <c r="W840" s="196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</row>
    <row r="841">
      <c r="V841" s="196"/>
      <c r="W841" s="196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</row>
    <row r="842">
      <c r="V842" s="196"/>
      <c r="W842" s="196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</row>
    <row r="843">
      <c r="V843" s="196"/>
      <c r="W843" s="196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</row>
    <row r="844">
      <c r="V844" s="196"/>
      <c r="W844" s="196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</row>
    <row r="845">
      <c r="V845" s="196"/>
      <c r="W845" s="196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</row>
    <row r="846">
      <c r="V846" s="196"/>
      <c r="W846" s="196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</row>
    <row r="847">
      <c r="V847" s="196"/>
      <c r="W847" s="196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</row>
    <row r="848">
      <c r="V848" s="196"/>
      <c r="W848" s="196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</row>
    <row r="849">
      <c r="V849" s="196"/>
      <c r="W849" s="196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</row>
    <row r="850">
      <c r="V850" s="196"/>
      <c r="W850" s="196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</row>
    <row r="851">
      <c r="V851" s="196"/>
      <c r="W851" s="196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</row>
    <row r="852">
      <c r="V852" s="196"/>
      <c r="W852" s="196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</row>
    <row r="853">
      <c r="V853" s="196"/>
      <c r="W853" s="196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</row>
    <row r="854">
      <c r="V854" s="196"/>
      <c r="W854" s="196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</row>
    <row r="855">
      <c r="V855" s="196"/>
      <c r="W855" s="196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</row>
    <row r="856">
      <c r="V856" s="196"/>
      <c r="W856" s="196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</row>
    <row r="857">
      <c r="V857" s="196"/>
      <c r="W857" s="196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</row>
    <row r="858">
      <c r="V858" s="196"/>
      <c r="W858" s="196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</row>
    <row r="859">
      <c r="V859" s="196"/>
      <c r="W859" s="196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</row>
    <row r="860">
      <c r="V860" s="196"/>
      <c r="W860" s="196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</row>
    <row r="861">
      <c r="V861" s="196"/>
      <c r="W861" s="196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</row>
    <row r="862">
      <c r="V862" s="196"/>
      <c r="W862" s="196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</row>
    <row r="863">
      <c r="V863" s="196"/>
      <c r="W863" s="196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</row>
    <row r="864">
      <c r="V864" s="196"/>
      <c r="W864" s="196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</row>
    <row r="865">
      <c r="V865" s="196"/>
      <c r="W865" s="196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</row>
    <row r="866">
      <c r="V866" s="196"/>
      <c r="W866" s="196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</row>
    <row r="867">
      <c r="V867" s="196"/>
      <c r="W867" s="196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</row>
    <row r="868">
      <c r="V868" s="196"/>
      <c r="W868" s="196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</row>
    <row r="869">
      <c r="V869" s="196"/>
      <c r="W869" s="196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</row>
    <row r="870">
      <c r="V870" s="196"/>
      <c r="W870" s="196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</row>
    <row r="871">
      <c r="V871" s="196"/>
      <c r="W871" s="196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</row>
    <row r="872">
      <c r="V872" s="196"/>
      <c r="W872" s="196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</row>
    <row r="873">
      <c r="V873" s="196"/>
      <c r="W873" s="196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</row>
    <row r="874">
      <c r="V874" s="196"/>
      <c r="W874" s="196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</row>
    <row r="875">
      <c r="V875" s="196"/>
      <c r="W875" s="196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</row>
    <row r="876">
      <c r="V876" s="196"/>
      <c r="W876" s="196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</row>
    <row r="877">
      <c r="V877" s="196"/>
      <c r="W877" s="196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</row>
    <row r="878">
      <c r="V878" s="196"/>
      <c r="W878" s="196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</row>
    <row r="879">
      <c r="V879" s="196"/>
      <c r="W879" s="196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</row>
    <row r="880">
      <c r="V880" s="196"/>
      <c r="W880" s="196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</row>
    <row r="881">
      <c r="V881" s="196"/>
      <c r="W881" s="196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</row>
    <row r="882">
      <c r="V882" s="196"/>
      <c r="W882" s="196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</row>
    <row r="883">
      <c r="V883" s="196"/>
      <c r="W883" s="196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</row>
    <row r="884">
      <c r="V884" s="196"/>
      <c r="W884" s="196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</row>
    <row r="885">
      <c r="V885" s="196"/>
      <c r="W885" s="196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</row>
    <row r="886">
      <c r="V886" s="196"/>
      <c r="W886" s="196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</row>
    <row r="887">
      <c r="V887" s="196"/>
      <c r="W887" s="196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</row>
    <row r="888">
      <c r="V888" s="196"/>
      <c r="W888" s="196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</row>
    <row r="889">
      <c r="V889" s="196"/>
      <c r="W889" s="196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</row>
    <row r="890">
      <c r="V890" s="196"/>
      <c r="W890" s="196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</row>
    <row r="891">
      <c r="V891" s="196"/>
      <c r="W891" s="196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</row>
    <row r="892">
      <c r="V892" s="196"/>
      <c r="W892" s="196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</row>
    <row r="893">
      <c r="V893" s="196"/>
      <c r="W893" s="196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</row>
    <row r="894">
      <c r="V894" s="196"/>
      <c r="W894" s="196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</row>
    <row r="895">
      <c r="V895" s="196"/>
      <c r="W895" s="196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</row>
    <row r="896">
      <c r="V896" s="196"/>
      <c r="W896" s="196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</row>
    <row r="897">
      <c r="V897" s="196"/>
      <c r="W897" s="196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</row>
    <row r="898">
      <c r="V898" s="196"/>
      <c r="W898" s="196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</row>
    <row r="899">
      <c r="V899" s="196"/>
      <c r="W899" s="196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</row>
    <row r="900">
      <c r="V900" s="196"/>
      <c r="W900" s="196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</row>
    <row r="901">
      <c r="V901" s="196"/>
      <c r="W901" s="196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</row>
    <row r="902">
      <c r="V902" s="196"/>
      <c r="W902" s="196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</row>
    <row r="903">
      <c r="V903" s="196"/>
      <c r="W903" s="196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</row>
    <row r="904">
      <c r="V904" s="196"/>
      <c r="W904" s="196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</row>
    <row r="905">
      <c r="V905" s="196"/>
      <c r="W905" s="196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</row>
    <row r="906">
      <c r="V906" s="196"/>
      <c r="W906" s="196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</row>
    <row r="907">
      <c r="V907" s="196"/>
      <c r="W907" s="196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</row>
    <row r="908">
      <c r="V908" s="196"/>
      <c r="W908" s="196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</row>
    <row r="909">
      <c r="V909" s="196"/>
      <c r="W909" s="196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</row>
    <row r="910">
      <c r="V910" s="196"/>
      <c r="W910" s="196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</row>
    <row r="911">
      <c r="V911" s="196"/>
      <c r="W911" s="196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</row>
    <row r="912">
      <c r="V912" s="196"/>
      <c r="W912" s="196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</row>
    <row r="913">
      <c r="V913" s="196"/>
      <c r="W913" s="196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</row>
    <row r="914">
      <c r="V914" s="196"/>
      <c r="W914" s="196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</row>
    <row r="915">
      <c r="V915" s="196"/>
      <c r="W915" s="196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</row>
    <row r="916">
      <c r="V916" s="196"/>
      <c r="W916" s="196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</row>
    <row r="917">
      <c r="V917" s="196"/>
      <c r="W917" s="196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</row>
    <row r="918">
      <c r="V918" s="196"/>
      <c r="W918" s="196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</row>
    <row r="919">
      <c r="V919" s="196"/>
      <c r="W919" s="196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</row>
    <row r="920">
      <c r="V920" s="196"/>
      <c r="W920" s="196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</row>
    <row r="921">
      <c r="V921" s="196"/>
      <c r="W921" s="196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</row>
    <row r="922">
      <c r="V922" s="196"/>
      <c r="W922" s="196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</row>
    <row r="923">
      <c r="V923" s="196"/>
      <c r="W923" s="196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</row>
    <row r="924">
      <c r="V924" s="196"/>
      <c r="W924" s="196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</row>
    <row r="925">
      <c r="V925" s="196"/>
      <c r="W925" s="196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</row>
    <row r="926">
      <c r="V926" s="196"/>
      <c r="W926" s="196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</row>
    <row r="927">
      <c r="V927" s="196"/>
      <c r="W927" s="196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</row>
    <row r="928">
      <c r="V928" s="196"/>
      <c r="W928" s="196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</row>
    <row r="929">
      <c r="V929" s="196"/>
      <c r="W929" s="196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</row>
    <row r="930">
      <c r="V930" s="196"/>
      <c r="W930" s="196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</row>
    <row r="931">
      <c r="V931" s="196"/>
      <c r="W931" s="196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</row>
    <row r="932">
      <c r="V932" s="196"/>
      <c r="W932" s="196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</row>
    <row r="933">
      <c r="V933" s="196"/>
      <c r="W933" s="196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</row>
    <row r="934">
      <c r="V934" s="196"/>
      <c r="W934" s="196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</row>
    <row r="935">
      <c r="V935" s="196"/>
      <c r="W935" s="196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</row>
    <row r="936">
      <c r="V936" s="196"/>
      <c r="W936" s="196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</row>
    <row r="937">
      <c r="V937" s="196"/>
      <c r="W937" s="196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</row>
    <row r="938">
      <c r="V938" s="196"/>
      <c r="W938" s="196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</row>
    <row r="939">
      <c r="V939" s="196"/>
      <c r="W939" s="196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</row>
    <row r="940">
      <c r="V940" s="196"/>
      <c r="W940" s="196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</row>
    <row r="941">
      <c r="V941" s="196"/>
      <c r="W941" s="196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</row>
    <row r="942">
      <c r="V942" s="196"/>
      <c r="W942" s="196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</row>
    <row r="943">
      <c r="V943" s="196"/>
      <c r="W943" s="196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</row>
    <row r="944">
      <c r="V944" s="196"/>
      <c r="W944" s="196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</row>
    <row r="945">
      <c r="V945" s="196"/>
      <c r="W945" s="196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</row>
    <row r="946">
      <c r="V946" s="196"/>
      <c r="W946" s="196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</row>
    <row r="947">
      <c r="V947" s="196"/>
      <c r="W947" s="196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</row>
    <row r="948">
      <c r="V948" s="196"/>
      <c r="W948" s="196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</row>
    <row r="949">
      <c r="V949" s="196"/>
      <c r="W949" s="196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</row>
    <row r="950">
      <c r="V950" s="196"/>
      <c r="W950" s="196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</row>
    <row r="951">
      <c r="V951" s="196"/>
      <c r="W951" s="196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</row>
    <row r="952">
      <c r="V952" s="196"/>
      <c r="W952" s="196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</row>
    <row r="953">
      <c r="V953" s="196"/>
      <c r="W953" s="196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</row>
    <row r="954">
      <c r="V954" s="196"/>
      <c r="W954" s="196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</row>
    <row r="955">
      <c r="V955" s="196"/>
      <c r="W955" s="196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</row>
    <row r="956">
      <c r="V956" s="196"/>
      <c r="W956" s="196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</row>
    <row r="957">
      <c r="V957" s="196"/>
      <c r="W957" s="196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</row>
    <row r="958">
      <c r="V958" s="196"/>
      <c r="W958" s="196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</row>
    <row r="959">
      <c r="V959" s="196"/>
      <c r="W959" s="196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</row>
    <row r="960">
      <c r="V960" s="196"/>
      <c r="W960" s="196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</row>
    <row r="961">
      <c r="V961" s="196"/>
      <c r="W961" s="196"/>
      <c r="X961" s="196"/>
      <c r="Y961" s="196"/>
      <c r="Z961" s="196"/>
      <c r="AA961" s="196"/>
      <c r="AB961" s="196"/>
      <c r="AC961" s="196"/>
      <c r="AD961" s="196"/>
      <c r="AE961" s="196"/>
      <c r="AF961" s="196"/>
      <c r="AG961" s="196"/>
      <c r="AH961" s="196"/>
    </row>
    <row r="962">
      <c r="V962" s="196"/>
      <c r="W962" s="196"/>
      <c r="X962" s="196"/>
      <c r="Y962" s="196"/>
      <c r="Z962" s="196"/>
      <c r="AA962" s="196"/>
      <c r="AB962" s="196"/>
      <c r="AC962" s="196"/>
      <c r="AD962" s="196"/>
      <c r="AE962" s="196"/>
      <c r="AF962" s="196"/>
      <c r="AG962" s="196"/>
      <c r="AH962" s="196"/>
    </row>
    <row r="963">
      <c r="V963" s="196"/>
      <c r="W963" s="196"/>
      <c r="X963" s="196"/>
      <c r="Y963" s="196"/>
      <c r="Z963" s="196"/>
      <c r="AA963" s="196"/>
      <c r="AB963" s="196"/>
      <c r="AC963" s="196"/>
      <c r="AD963" s="196"/>
      <c r="AE963" s="196"/>
      <c r="AF963" s="196"/>
      <c r="AG963" s="196"/>
      <c r="AH963" s="196"/>
    </row>
    <row r="964">
      <c r="V964" s="196"/>
      <c r="W964" s="196"/>
      <c r="X964" s="196"/>
      <c r="Y964" s="196"/>
      <c r="Z964" s="196"/>
      <c r="AA964" s="196"/>
      <c r="AB964" s="196"/>
      <c r="AC964" s="196"/>
      <c r="AD964" s="196"/>
      <c r="AE964" s="196"/>
      <c r="AF964" s="196"/>
      <c r="AG964" s="196"/>
      <c r="AH964" s="196"/>
    </row>
    <row r="965">
      <c r="V965" s="196"/>
      <c r="W965" s="196"/>
      <c r="X965" s="196"/>
      <c r="Y965" s="196"/>
      <c r="Z965" s="196"/>
      <c r="AA965" s="196"/>
      <c r="AB965" s="196"/>
      <c r="AC965" s="196"/>
      <c r="AD965" s="196"/>
      <c r="AE965" s="196"/>
      <c r="AF965" s="196"/>
      <c r="AG965" s="196"/>
      <c r="AH965" s="196"/>
    </row>
    <row r="966">
      <c r="V966" s="196"/>
      <c r="W966" s="196"/>
      <c r="X966" s="196"/>
      <c r="Y966" s="196"/>
      <c r="Z966" s="196"/>
      <c r="AA966" s="196"/>
      <c r="AB966" s="196"/>
      <c r="AC966" s="196"/>
      <c r="AD966" s="196"/>
      <c r="AE966" s="196"/>
      <c r="AF966" s="196"/>
      <c r="AG966" s="196"/>
      <c r="AH966" s="196"/>
    </row>
    <row r="967">
      <c r="V967" s="196"/>
      <c r="W967" s="196"/>
      <c r="X967" s="196"/>
      <c r="Y967" s="196"/>
      <c r="Z967" s="196"/>
      <c r="AA967" s="196"/>
      <c r="AB967" s="196"/>
      <c r="AC967" s="196"/>
      <c r="AD967" s="196"/>
      <c r="AE967" s="196"/>
      <c r="AF967" s="196"/>
      <c r="AG967" s="196"/>
      <c r="AH967" s="196"/>
    </row>
    <row r="968">
      <c r="V968" s="196"/>
      <c r="W968" s="196"/>
      <c r="X968" s="196"/>
      <c r="Y968" s="196"/>
      <c r="Z968" s="196"/>
      <c r="AA968" s="196"/>
      <c r="AB968" s="196"/>
      <c r="AC968" s="196"/>
      <c r="AD968" s="196"/>
      <c r="AE968" s="196"/>
      <c r="AF968" s="196"/>
      <c r="AG968" s="196"/>
      <c r="AH968" s="196"/>
    </row>
    <row r="969">
      <c r="V969" s="196"/>
      <c r="W969" s="196"/>
      <c r="X969" s="196"/>
      <c r="Y969" s="196"/>
      <c r="Z969" s="196"/>
      <c r="AA969" s="196"/>
      <c r="AB969" s="196"/>
      <c r="AC969" s="196"/>
      <c r="AD969" s="196"/>
      <c r="AE969" s="196"/>
      <c r="AF969" s="196"/>
      <c r="AG969" s="196"/>
      <c r="AH969" s="196"/>
    </row>
    <row r="970">
      <c r="V970" s="196"/>
      <c r="W970" s="196"/>
      <c r="X970" s="196"/>
      <c r="Y970" s="196"/>
      <c r="Z970" s="196"/>
      <c r="AA970" s="196"/>
      <c r="AB970" s="196"/>
      <c r="AC970" s="196"/>
      <c r="AD970" s="196"/>
      <c r="AE970" s="196"/>
      <c r="AF970" s="196"/>
      <c r="AG970" s="196"/>
      <c r="AH970" s="196"/>
    </row>
    <row r="971">
      <c r="V971" s="196"/>
      <c r="W971" s="196"/>
      <c r="X971" s="196"/>
      <c r="Y971" s="196"/>
      <c r="Z971" s="196"/>
      <c r="AA971" s="196"/>
      <c r="AB971" s="196"/>
      <c r="AC971" s="196"/>
      <c r="AD971" s="196"/>
      <c r="AE971" s="196"/>
      <c r="AF971" s="196"/>
      <c r="AG971" s="196"/>
      <c r="AH971" s="196"/>
    </row>
    <row r="972">
      <c r="V972" s="196"/>
      <c r="W972" s="196"/>
      <c r="X972" s="196"/>
      <c r="Y972" s="196"/>
      <c r="Z972" s="196"/>
      <c r="AA972" s="196"/>
      <c r="AB972" s="196"/>
      <c r="AC972" s="196"/>
      <c r="AD972" s="196"/>
      <c r="AE972" s="196"/>
      <c r="AF972" s="196"/>
      <c r="AG972" s="196"/>
      <c r="AH972" s="196"/>
    </row>
    <row r="973">
      <c r="V973" s="196"/>
      <c r="W973" s="196"/>
      <c r="X973" s="196"/>
      <c r="Y973" s="196"/>
      <c r="Z973" s="196"/>
      <c r="AA973" s="196"/>
      <c r="AB973" s="196"/>
      <c r="AC973" s="196"/>
      <c r="AD973" s="196"/>
      <c r="AE973" s="196"/>
      <c r="AF973" s="196"/>
      <c r="AG973" s="196"/>
      <c r="AH973" s="196"/>
    </row>
    <row r="974">
      <c r="V974" s="196"/>
      <c r="W974" s="196"/>
      <c r="X974" s="196"/>
      <c r="Y974" s="196"/>
      <c r="Z974" s="196"/>
      <c r="AA974" s="196"/>
      <c r="AB974" s="196"/>
      <c r="AC974" s="196"/>
      <c r="AD974" s="196"/>
      <c r="AE974" s="196"/>
      <c r="AF974" s="196"/>
      <c r="AG974" s="196"/>
      <c r="AH974" s="196"/>
    </row>
    <row r="975">
      <c r="V975" s="196"/>
      <c r="W975" s="196"/>
      <c r="X975" s="196"/>
      <c r="Y975" s="196"/>
      <c r="Z975" s="196"/>
      <c r="AA975" s="196"/>
      <c r="AB975" s="196"/>
      <c r="AC975" s="196"/>
      <c r="AD975" s="196"/>
      <c r="AE975" s="196"/>
      <c r="AF975" s="196"/>
      <c r="AG975" s="196"/>
      <c r="AH975" s="196"/>
    </row>
    <row r="976">
      <c r="V976" s="196"/>
      <c r="W976" s="196"/>
      <c r="X976" s="196"/>
      <c r="Y976" s="196"/>
      <c r="Z976" s="196"/>
      <c r="AA976" s="196"/>
      <c r="AB976" s="196"/>
      <c r="AC976" s="196"/>
      <c r="AD976" s="196"/>
      <c r="AE976" s="196"/>
      <c r="AF976" s="196"/>
      <c r="AG976" s="196"/>
      <c r="AH976" s="196"/>
    </row>
    <row r="977">
      <c r="V977" s="196"/>
      <c r="W977" s="196"/>
      <c r="X977" s="196"/>
      <c r="Y977" s="196"/>
      <c r="Z977" s="196"/>
      <c r="AA977" s="196"/>
      <c r="AB977" s="196"/>
      <c r="AC977" s="196"/>
      <c r="AD977" s="196"/>
      <c r="AE977" s="196"/>
      <c r="AF977" s="196"/>
      <c r="AG977" s="196"/>
      <c r="AH977" s="196"/>
    </row>
    <row r="978">
      <c r="V978" s="196"/>
      <c r="W978" s="196"/>
      <c r="X978" s="196"/>
      <c r="Y978" s="196"/>
      <c r="Z978" s="196"/>
      <c r="AA978" s="196"/>
      <c r="AB978" s="196"/>
      <c r="AC978" s="196"/>
      <c r="AD978" s="196"/>
      <c r="AE978" s="196"/>
      <c r="AF978" s="196"/>
      <c r="AG978" s="196"/>
      <c r="AH978" s="196"/>
    </row>
    <row r="979">
      <c r="V979" s="196"/>
      <c r="W979" s="196"/>
      <c r="X979" s="196"/>
      <c r="Y979" s="196"/>
      <c r="Z979" s="196"/>
      <c r="AA979" s="196"/>
      <c r="AB979" s="196"/>
      <c r="AC979" s="196"/>
      <c r="AD979" s="196"/>
      <c r="AE979" s="196"/>
      <c r="AF979" s="196"/>
      <c r="AG979" s="196"/>
      <c r="AH979" s="196"/>
    </row>
    <row r="980">
      <c r="V980" s="196"/>
      <c r="W980" s="196"/>
      <c r="X980" s="196"/>
      <c r="Y980" s="196"/>
      <c r="Z980" s="196"/>
      <c r="AA980" s="196"/>
      <c r="AB980" s="196"/>
      <c r="AC980" s="196"/>
      <c r="AD980" s="196"/>
      <c r="AE980" s="196"/>
      <c r="AF980" s="196"/>
      <c r="AG980" s="196"/>
      <c r="AH980" s="196"/>
    </row>
    <row r="981">
      <c r="V981" s="196"/>
      <c r="W981" s="196"/>
      <c r="X981" s="196"/>
      <c r="Y981" s="196"/>
      <c r="Z981" s="196"/>
      <c r="AA981" s="196"/>
      <c r="AB981" s="196"/>
      <c r="AC981" s="196"/>
      <c r="AD981" s="196"/>
      <c r="AE981" s="196"/>
      <c r="AF981" s="196"/>
      <c r="AG981" s="196"/>
      <c r="AH981" s="196"/>
    </row>
    <row r="982">
      <c r="V982" s="196"/>
      <c r="W982" s="196"/>
      <c r="X982" s="196"/>
      <c r="Y982" s="196"/>
      <c r="Z982" s="196"/>
      <c r="AA982" s="196"/>
      <c r="AB982" s="196"/>
      <c r="AC982" s="196"/>
      <c r="AD982" s="196"/>
      <c r="AE982" s="196"/>
      <c r="AF982" s="196"/>
      <c r="AG982" s="196"/>
      <c r="AH982" s="196"/>
    </row>
    <row r="983">
      <c r="V983" s="196"/>
      <c r="W983" s="196"/>
      <c r="X983" s="196"/>
      <c r="Y983" s="196"/>
      <c r="Z983" s="196"/>
      <c r="AA983" s="196"/>
      <c r="AB983" s="196"/>
      <c r="AC983" s="196"/>
      <c r="AD983" s="196"/>
      <c r="AE983" s="196"/>
      <c r="AF983" s="196"/>
      <c r="AG983" s="196"/>
      <c r="AH983" s="196"/>
    </row>
    <row r="984">
      <c r="V984" s="196"/>
      <c r="W984" s="196"/>
      <c r="X984" s="196"/>
      <c r="Y984" s="196"/>
      <c r="Z984" s="196"/>
      <c r="AA984" s="196"/>
      <c r="AB984" s="196"/>
      <c r="AC984" s="196"/>
      <c r="AD984" s="196"/>
      <c r="AE984" s="196"/>
      <c r="AF984" s="196"/>
      <c r="AG984" s="196"/>
      <c r="AH984" s="196"/>
    </row>
    <row r="985">
      <c r="V985" s="196"/>
      <c r="W985" s="196"/>
      <c r="X985" s="196"/>
      <c r="Y985" s="196"/>
      <c r="Z985" s="196"/>
      <c r="AA985" s="196"/>
      <c r="AB985" s="196"/>
      <c r="AC985" s="196"/>
      <c r="AD985" s="196"/>
      <c r="AE985" s="196"/>
      <c r="AF985" s="196"/>
      <c r="AG985" s="196"/>
      <c r="AH985" s="196"/>
    </row>
    <row r="986">
      <c r="V986" s="196"/>
      <c r="W986" s="196"/>
      <c r="X986" s="196"/>
      <c r="Y986" s="196"/>
      <c r="Z986" s="196"/>
      <c r="AA986" s="196"/>
      <c r="AB986" s="196"/>
      <c r="AC986" s="196"/>
      <c r="AD986" s="196"/>
      <c r="AE986" s="196"/>
      <c r="AF986" s="196"/>
      <c r="AG986" s="196"/>
      <c r="AH986" s="196"/>
    </row>
    <row r="987">
      <c r="V987" s="196"/>
      <c r="W987" s="196"/>
      <c r="X987" s="196"/>
      <c r="Y987" s="196"/>
      <c r="Z987" s="196"/>
      <c r="AA987" s="196"/>
      <c r="AB987" s="196"/>
      <c r="AC987" s="196"/>
      <c r="AD987" s="196"/>
      <c r="AE987" s="196"/>
      <c r="AF987" s="196"/>
      <c r="AG987" s="196"/>
      <c r="AH987" s="196"/>
    </row>
    <row r="988">
      <c r="V988" s="196"/>
      <c r="W988" s="196"/>
      <c r="X988" s="196"/>
      <c r="Y988" s="196"/>
      <c r="Z988" s="196"/>
      <c r="AA988" s="196"/>
      <c r="AB988" s="196"/>
      <c r="AC988" s="196"/>
      <c r="AD988" s="196"/>
      <c r="AE988" s="196"/>
      <c r="AF988" s="196"/>
      <c r="AG988" s="196"/>
      <c r="AH988" s="196"/>
    </row>
    <row r="989">
      <c r="V989" s="196"/>
      <c r="W989" s="196"/>
      <c r="X989" s="196"/>
      <c r="Y989" s="196"/>
      <c r="Z989" s="196"/>
      <c r="AA989" s="196"/>
      <c r="AB989" s="196"/>
      <c r="AC989" s="196"/>
      <c r="AD989" s="196"/>
      <c r="AE989" s="196"/>
      <c r="AF989" s="196"/>
      <c r="AG989" s="196"/>
      <c r="AH989" s="196"/>
    </row>
    <row r="990">
      <c r="V990" s="196"/>
      <c r="W990" s="196"/>
      <c r="X990" s="196"/>
      <c r="Y990" s="196"/>
      <c r="Z990" s="196"/>
      <c r="AA990" s="196"/>
      <c r="AB990" s="196"/>
      <c r="AC990" s="196"/>
      <c r="AD990" s="196"/>
      <c r="AE990" s="196"/>
      <c r="AF990" s="196"/>
      <c r="AG990" s="196"/>
      <c r="AH990" s="196"/>
    </row>
    <row r="991">
      <c r="V991" s="196"/>
      <c r="W991" s="196"/>
      <c r="X991" s="196"/>
      <c r="Y991" s="196"/>
      <c r="Z991" s="196"/>
      <c r="AA991" s="196"/>
      <c r="AB991" s="196"/>
      <c r="AC991" s="196"/>
      <c r="AD991" s="196"/>
      <c r="AE991" s="196"/>
      <c r="AF991" s="196"/>
      <c r="AG991" s="196"/>
      <c r="AH991" s="196"/>
    </row>
    <row r="992">
      <c r="V992" s="196"/>
      <c r="W992" s="196"/>
      <c r="X992" s="196"/>
      <c r="Y992" s="196"/>
      <c r="Z992" s="196"/>
      <c r="AA992" s="196"/>
      <c r="AB992" s="196"/>
      <c r="AC992" s="196"/>
      <c r="AD992" s="196"/>
      <c r="AE992" s="196"/>
      <c r="AF992" s="196"/>
      <c r="AG992" s="196"/>
      <c r="AH992" s="196"/>
    </row>
    <row r="993">
      <c r="V993" s="196"/>
      <c r="W993" s="196"/>
      <c r="X993" s="196"/>
      <c r="Y993" s="196"/>
      <c r="Z993" s="196"/>
      <c r="AA993" s="196"/>
      <c r="AB993" s="196"/>
      <c r="AC993" s="196"/>
      <c r="AD993" s="196"/>
      <c r="AE993" s="196"/>
      <c r="AF993" s="196"/>
      <c r="AG993" s="196"/>
      <c r="AH993" s="196"/>
    </row>
    <row r="994">
      <c r="V994" s="196"/>
      <c r="W994" s="196"/>
      <c r="X994" s="196"/>
      <c r="Y994" s="196"/>
      <c r="Z994" s="196"/>
      <c r="AA994" s="196"/>
      <c r="AB994" s="196"/>
      <c r="AC994" s="196"/>
      <c r="AD994" s="196"/>
      <c r="AE994" s="196"/>
      <c r="AF994" s="196"/>
      <c r="AG994" s="196"/>
      <c r="AH994" s="196"/>
    </row>
    <row r="995">
      <c r="V995" s="196"/>
      <c r="W995" s="196"/>
      <c r="X995" s="196"/>
      <c r="Y995" s="196"/>
      <c r="Z995" s="196"/>
      <c r="AA995" s="196"/>
      <c r="AB995" s="196"/>
      <c r="AC995" s="196"/>
      <c r="AD995" s="196"/>
      <c r="AE995" s="196"/>
      <c r="AF995" s="196"/>
      <c r="AG995" s="196"/>
      <c r="AH995" s="196"/>
    </row>
    <row r="996">
      <c r="V996" s="196"/>
      <c r="W996" s="196"/>
      <c r="X996" s="196"/>
      <c r="Y996" s="196"/>
      <c r="Z996" s="196"/>
      <c r="AA996" s="196"/>
      <c r="AB996" s="196"/>
      <c r="AC996" s="196"/>
      <c r="AD996" s="196"/>
      <c r="AE996" s="196"/>
      <c r="AF996" s="196"/>
      <c r="AG996" s="196"/>
      <c r="AH996" s="196"/>
    </row>
    <row r="997">
      <c r="V997" s="196"/>
      <c r="W997" s="196"/>
      <c r="X997" s="196"/>
      <c r="Y997" s="196"/>
      <c r="Z997" s="196"/>
      <c r="AA997" s="196"/>
      <c r="AB997" s="196"/>
      <c r="AC997" s="196"/>
      <c r="AD997" s="196"/>
      <c r="AE997" s="196"/>
      <c r="AF997" s="196"/>
      <c r="AG997" s="196"/>
      <c r="AH997" s="196"/>
    </row>
    <row r="998">
      <c r="V998" s="196"/>
      <c r="W998" s="196"/>
      <c r="X998" s="196"/>
      <c r="Y998" s="196"/>
      <c r="Z998" s="196"/>
      <c r="AA998" s="196"/>
      <c r="AB998" s="196"/>
      <c r="AC998" s="196"/>
      <c r="AD998" s="196"/>
      <c r="AE998" s="196"/>
      <c r="AF998" s="196"/>
      <c r="AG998" s="196"/>
      <c r="AH998" s="196"/>
    </row>
    <row r="999">
      <c r="V999" s="196"/>
      <c r="W999" s="196"/>
      <c r="X999" s="196"/>
      <c r="Y999" s="196"/>
      <c r="Z999" s="196"/>
      <c r="AA999" s="196"/>
      <c r="AB999" s="196"/>
      <c r="AC999" s="196"/>
      <c r="AD999" s="196"/>
      <c r="AE999" s="196"/>
      <c r="AF999" s="196"/>
      <c r="AG999" s="196"/>
      <c r="AH999" s="196"/>
    </row>
    <row r="1000">
      <c r="V1000" s="196"/>
      <c r="W1000" s="196"/>
      <c r="X1000" s="196"/>
      <c r="Y1000" s="196"/>
      <c r="Z1000" s="196"/>
      <c r="AA1000" s="196"/>
      <c r="AB1000" s="196"/>
      <c r="AC1000" s="196"/>
      <c r="AD1000" s="196"/>
      <c r="AE1000" s="196"/>
      <c r="AF1000" s="196"/>
      <c r="AG1000" s="196"/>
      <c r="AH1000" s="196"/>
    </row>
    <row r="1001">
      <c r="V1001" s="196"/>
      <c r="W1001" s="196"/>
      <c r="X1001" s="196"/>
      <c r="Y1001" s="196"/>
      <c r="Z1001" s="196"/>
      <c r="AA1001" s="196"/>
      <c r="AB1001" s="196"/>
      <c r="AC1001" s="196"/>
      <c r="AD1001" s="196"/>
      <c r="AE1001" s="196"/>
      <c r="AF1001" s="196"/>
      <c r="AG1001" s="196"/>
      <c r="AH1001" s="196"/>
    </row>
    <row r="1002">
      <c r="V1002" s="196"/>
      <c r="W1002" s="196"/>
      <c r="X1002" s="196"/>
      <c r="Y1002" s="196"/>
      <c r="Z1002" s="196"/>
      <c r="AA1002" s="196"/>
      <c r="AB1002" s="196"/>
      <c r="AC1002" s="196"/>
      <c r="AD1002" s="196"/>
      <c r="AE1002" s="196"/>
      <c r="AF1002" s="196"/>
      <c r="AG1002" s="196"/>
      <c r="AH1002" s="196"/>
    </row>
    <row r="1003">
      <c r="V1003" s="196"/>
      <c r="W1003" s="196"/>
      <c r="X1003" s="196"/>
      <c r="Y1003" s="196"/>
      <c r="Z1003" s="196"/>
      <c r="AA1003" s="196"/>
      <c r="AB1003" s="196"/>
      <c r="AC1003" s="196"/>
      <c r="AD1003" s="196"/>
      <c r="AE1003" s="196"/>
      <c r="AF1003" s="196"/>
      <c r="AG1003" s="196"/>
      <c r="AH1003" s="196"/>
    </row>
    <row r="1004">
      <c r="V1004" s="196"/>
      <c r="W1004" s="196"/>
      <c r="X1004" s="196"/>
      <c r="Y1004" s="196"/>
      <c r="Z1004" s="196"/>
      <c r="AA1004" s="196"/>
      <c r="AB1004" s="196"/>
      <c r="AC1004" s="196"/>
      <c r="AD1004" s="196"/>
      <c r="AE1004" s="196"/>
      <c r="AF1004" s="196"/>
      <c r="AG1004" s="196"/>
      <c r="AH1004" s="196"/>
    </row>
    <row r="1005">
      <c r="V1005" s="196"/>
      <c r="W1005" s="196"/>
      <c r="X1005" s="196"/>
      <c r="Y1005" s="196"/>
      <c r="Z1005" s="196"/>
      <c r="AA1005" s="196"/>
      <c r="AB1005" s="196"/>
      <c r="AC1005" s="196"/>
      <c r="AD1005" s="196"/>
      <c r="AE1005" s="196"/>
      <c r="AF1005" s="196"/>
      <c r="AG1005" s="196"/>
      <c r="AH1005" s="196"/>
    </row>
    <row r="1006">
      <c r="V1006" s="196"/>
      <c r="W1006" s="196"/>
      <c r="X1006" s="196"/>
      <c r="Y1006" s="196"/>
      <c r="Z1006" s="196"/>
      <c r="AA1006" s="196"/>
      <c r="AB1006" s="196"/>
      <c r="AC1006" s="196"/>
      <c r="AD1006" s="196"/>
      <c r="AE1006" s="196"/>
      <c r="AF1006" s="196"/>
      <c r="AG1006" s="196"/>
      <c r="AH1006" s="196"/>
    </row>
    <row r="1007">
      <c r="V1007" s="196"/>
      <c r="W1007" s="196"/>
      <c r="X1007" s="196"/>
      <c r="Y1007" s="196"/>
      <c r="Z1007" s="196"/>
      <c r="AA1007" s="196"/>
      <c r="AB1007" s="196"/>
      <c r="AC1007" s="196"/>
      <c r="AD1007" s="196"/>
      <c r="AE1007" s="196"/>
      <c r="AF1007" s="196"/>
      <c r="AG1007" s="196"/>
      <c r="AH1007" s="196"/>
    </row>
    <row r="1008">
      <c r="V1008" s="196"/>
      <c r="W1008" s="196"/>
      <c r="X1008" s="196"/>
      <c r="Y1008" s="196"/>
      <c r="Z1008" s="196"/>
      <c r="AA1008" s="196"/>
      <c r="AB1008" s="196"/>
      <c r="AC1008" s="196"/>
      <c r="AD1008" s="196"/>
      <c r="AE1008" s="196"/>
      <c r="AF1008" s="196"/>
      <c r="AG1008" s="196"/>
      <c r="AH1008" s="196"/>
    </row>
    <row r="1009">
      <c r="V1009" s="196"/>
      <c r="W1009" s="196"/>
      <c r="X1009" s="196"/>
      <c r="Y1009" s="196"/>
      <c r="Z1009" s="196"/>
      <c r="AA1009" s="196"/>
      <c r="AB1009" s="196"/>
      <c r="AC1009" s="196"/>
      <c r="AD1009" s="196"/>
      <c r="AE1009" s="196"/>
      <c r="AF1009" s="196"/>
      <c r="AG1009" s="196"/>
      <c r="AH1009" s="196"/>
    </row>
    <row r="1010">
      <c r="V1010" s="196"/>
      <c r="W1010" s="196"/>
      <c r="X1010" s="196"/>
      <c r="Y1010" s="196"/>
      <c r="Z1010" s="196"/>
      <c r="AA1010" s="196"/>
      <c r="AB1010" s="196"/>
      <c r="AC1010" s="196"/>
      <c r="AD1010" s="196"/>
      <c r="AE1010" s="196"/>
      <c r="AF1010" s="196"/>
      <c r="AG1010" s="196"/>
      <c r="AH1010" s="196"/>
    </row>
  </sheetData>
  <mergeCells count="26">
    <mergeCell ref="B4:C4"/>
    <mergeCell ref="B5:B16"/>
    <mergeCell ref="B17:B28"/>
    <mergeCell ref="B29:B34"/>
    <mergeCell ref="B35:B40"/>
    <mergeCell ref="B41:B48"/>
    <mergeCell ref="B49:B52"/>
    <mergeCell ref="B2:C3"/>
    <mergeCell ref="E2:F2"/>
    <mergeCell ref="G2:H2"/>
    <mergeCell ref="I2:J2"/>
    <mergeCell ref="K2:K3"/>
    <mergeCell ref="L2:N2"/>
    <mergeCell ref="O2:O3"/>
    <mergeCell ref="Q17:Q28"/>
    <mergeCell ref="Q29:Q34"/>
    <mergeCell ref="Q35:Q40"/>
    <mergeCell ref="Q41:Q48"/>
    <mergeCell ref="Q49:Q52"/>
    <mergeCell ref="Q2:R3"/>
    <mergeCell ref="S2:S3"/>
    <mergeCell ref="T2:T3"/>
    <mergeCell ref="U2:U3"/>
    <mergeCell ref="V2:V3"/>
    <mergeCell ref="Q4:R4"/>
    <mergeCell ref="Q5:Q16"/>
  </mergeCells>
  <conditionalFormatting sqref="Q2:R52 B4:C52">
    <cfRule type="expression" dxfId="0" priority="1">
      <formula>OR(Q2="N.D.", Q2="N.A.")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4.88"/>
    <col customWidth="1" min="3" max="3" width="5.88"/>
    <col customWidth="1" min="4" max="4" width="9.38"/>
    <col customWidth="1" min="5" max="5" width="18.88"/>
    <col customWidth="1" min="6" max="6" width="15.13"/>
    <col customWidth="1" min="7" max="7" width="19.75"/>
    <col customWidth="1" min="8" max="8" width="16.0"/>
    <col customWidth="1" min="9" max="9" width="14.13"/>
  </cols>
  <sheetData>
    <row r="1" ht="1.5" customHeight="1"/>
    <row r="2">
      <c r="B2" s="8" t="s">
        <v>2</v>
      </c>
      <c r="C2" s="8" t="s">
        <v>3</v>
      </c>
      <c r="D2" s="8" t="s">
        <v>4</v>
      </c>
      <c r="E2" s="7" t="s">
        <v>5</v>
      </c>
      <c r="F2" s="9" t="s">
        <v>6</v>
      </c>
      <c r="G2" s="9" t="s">
        <v>7</v>
      </c>
      <c r="H2" s="8" t="s">
        <v>168</v>
      </c>
      <c r="I2" s="8" t="s">
        <v>11</v>
      </c>
    </row>
    <row r="3">
      <c r="B3" s="245">
        <v>6500.0</v>
      </c>
      <c r="C3" s="23">
        <v>200.0</v>
      </c>
      <c r="D3" s="23">
        <v>1.5</v>
      </c>
      <c r="E3" s="25">
        <f t="shared" ref="E3:E63" si="1">B3/(C3*9.81)</f>
        <v>3.312945973</v>
      </c>
      <c r="F3" s="26">
        <f t="shared" ref="F3:F63" si="2">E3/(1+1/D3)</f>
        <v>1.987767584</v>
      </c>
      <c r="G3" s="26">
        <f t="shared" ref="G3:G63" si="3"> E3 / (1 +D3 )</f>
        <v>1.325178389</v>
      </c>
      <c r="H3" s="246">
        <f t="shared" ref="H3:H63" si="4"> 1.075*G3</f>
        <v>1.424566769</v>
      </c>
    </row>
    <row r="4">
      <c r="B4" s="245">
        <v>6500.0</v>
      </c>
      <c r="C4" s="23">
        <v>201.0</v>
      </c>
      <c r="D4" s="23">
        <v>1.5</v>
      </c>
      <c r="E4" s="25">
        <f t="shared" si="1"/>
        <v>3.296463655</v>
      </c>
      <c r="F4" s="26">
        <f t="shared" si="2"/>
        <v>1.977878193</v>
      </c>
      <c r="G4" s="26">
        <f t="shared" si="3"/>
        <v>1.318585462</v>
      </c>
      <c r="H4" s="246">
        <f t="shared" si="4"/>
        <v>1.417479372</v>
      </c>
    </row>
    <row r="5">
      <c r="B5" s="245">
        <v>6500.0</v>
      </c>
      <c r="C5" s="23">
        <v>202.0</v>
      </c>
      <c r="D5" s="23">
        <v>1.5</v>
      </c>
      <c r="E5" s="25">
        <f t="shared" si="1"/>
        <v>3.280144528</v>
      </c>
      <c r="F5" s="26">
        <f t="shared" si="2"/>
        <v>1.968086717</v>
      </c>
      <c r="G5" s="26">
        <f t="shared" si="3"/>
        <v>1.312057811</v>
      </c>
      <c r="H5" s="246">
        <f t="shared" si="4"/>
        <v>1.410462147</v>
      </c>
    </row>
    <row r="6">
      <c r="B6" s="245">
        <v>6500.0</v>
      </c>
      <c r="C6" s="23">
        <v>203.0</v>
      </c>
      <c r="D6" s="23">
        <v>1.5</v>
      </c>
      <c r="E6" s="25">
        <f t="shared" si="1"/>
        <v>3.263986181</v>
      </c>
      <c r="F6" s="26">
        <f t="shared" si="2"/>
        <v>1.958391708</v>
      </c>
      <c r="G6" s="26">
        <f t="shared" si="3"/>
        <v>1.305594472</v>
      </c>
      <c r="H6" s="246">
        <f t="shared" si="4"/>
        <v>1.403514058</v>
      </c>
    </row>
    <row r="7">
      <c r="B7" s="245">
        <v>6500.0</v>
      </c>
      <c r="C7" s="23">
        <v>204.0</v>
      </c>
      <c r="D7" s="23">
        <v>1.5</v>
      </c>
      <c r="E7" s="25">
        <f t="shared" si="1"/>
        <v>3.247986249</v>
      </c>
      <c r="F7" s="26">
        <f t="shared" si="2"/>
        <v>1.948791749</v>
      </c>
      <c r="G7" s="26">
        <f t="shared" si="3"/>
        <v>1.299194499</v>
      </c>
      <c r="H7" s="246">
        <f t="shared" si="4"/>
        <v>1.396634087</v>
      </c>
    </row>
    <row r="8">
      <c r="B8" s="245">
        <v>6500.0</v>
      </c>
      <c r="C8" s="23">
        <v>205.0</v>
      </c>
      <c r="D8" s="23">
        <v>1.5</v>
      </c>
      <c r="E8" s="25">
        <f t="shared" si="1"/>
        <v>3.232142413</v>
      </c>
      <c r="F8" s="26">
        <f t="shared" si="2"/>
        <v>1.939285448</v>
      </c>
      <c r="G8" s="26">
        <f t="shared" si="3"/>
        <v>1.292856965</v>
      </c>
      <c r="H8" s="246">
        <f t="shared" si="4"/>
        <v>1.389821238</v>
      </c>
    </row>
    <row r="9">
      <c r="B9" s="245">
        <v>6500.0</v>
      </c>
      <c r="C9" s="23">
        <v>206.0</v>
      </c>
      <c r="D9" s="23">
        <v>1.5</v>
      </c>
      <c r="E9" s="25">
        <f t="shared" si="1"/>
        <v>3.216452401</v>
      </c>
      <c r="F9" s="26">
        <f t="shared" si="2"/>
        <v>1.929871441</v>
      </c>
      <c r="G9" s="26">
        <f t="shared" si="3"/>
        <v>1.286580961</v>
      </c>
      <c r="H9" s="246">
        <f t="shared" si="4"/>
        <v>1.383074533</v>
      </c>
    </row>
    <row r="10">
      <c r="B10" s="245">
        <v>6500.0</v>
      </c>
      <c r="C10" s="23">
        <v>207.0</v>
      </c>
      <c r="D10" s="23">
        <v>1.5</v>
      </c>
      <c r="E10" s="25">
        <f t="shared" si="1"/>
        <v>3.200913984</v>
      </c>
      <c r="F10" s="26">
        <f t="shared" si="2"/>
        <v>1.92054839</v>
      </c>
      <c r="G10" s="26">
        <f t="shared" si="3"/>
        <v>1.280365594</v>
      </c>
      <c r="H10" s="246">
        <f t="shared" si="4"/>
        <v>1.376393013</v>
      </c>
    </row>
    <row r="11">
      <c r="B11" s="245">
        <v>6500.0</v>
      </c>
      <c r="C11" s="23">
        <v>208.0</v>
      </c>
      <c r="D11" s="23">
        <v>1.5</v>
      </c>
      <c r="E11" s="25">
        <f t="shared" si="1"/>
        <v>3.185524975</v>
      </c>
      <c r="F11" s="26">
        <f t="shared" si="2"/>
        <v>1.911314985</v>
      </c>
      <c r="G11" s="26">
        <f t="shared" si="3"/>
        <v>1.27420999</v>
      </c>
      <c r="H11" s="246">
        <f t="shared" si="4"/>
        <v>1.369775739</v>
      </c>
    </row>
    <row r="12">
      <c r="B12" s="245">
        <v>6500.0</v>
      </c>
      <c r="C12" s="23">
        <v>209.0</v>
      </c>
      <c r="D12" s="23">
        <v>1.5</v>
      </c>
      <c r="E12" s="25">
        <f t="shared" si="1"/>
        <v>3.170283228</v>
      </c>
      <c r="F12" s="26">
        <f t="shared" si="2"/>
        <v>1.902169937</v>
      </c>
      <c r="G12" s="26">
        <f t="shared" si="3"/>
        <v>1.268113291</v>
      </c>
      <c r="H12" s="246">
        <f t="shared" si="4"/>
        <v>1.363221788</v>
      </c>
    </row>
    <row r="13">
      <c r="B13" s="245">
        <v>6500.0</v>
      </c>
      <c r="C13" s="23">
        <v>210.0</v>
      </c>
      <c r="D13" s="23">
        <v>1.5</v>
      </c>
      <c r="E13" s="25">
        <f t="shared" si="1"/>
        <v>3.155186641</v>
      </c>
      <c r="F13" s="26">
        <f t="shared" si="2"/>
        <v>1.893111985</v>
      </c>
      <c r="G13" s="26">
        <f t="shared" si="3"/>
        <v>1.262074657</v>
      </c>
      <c r="H13" s="246">
        <f t="shared" si="4"/>
        <v>1.356730256</v>
      </c>
    </row>
    <row r="14">
      <c r="B14" s="245">
        <v>6500.0</v>
      </c>
      <c r="C14" s="23">
        <v>211.0</v>
      </c>
      <c r="D14" s="23">
        <v>1.5</v>
      </c>
      <c r="E14" s="25">
        <f t="shared" si="1"/>
        <v>3.14023315</v>
      </c>
      <c r="F14" s="26">
        <f t="shared" si="2"/>
        <v>1.88413989</v>
      </c>
      <c r="G14" s="26">
        <f t="shared" si="3"/>
        <v>1.25609326</v>
      </c>
      <c r="H14" s="246">
        <f t="shared" si="4"/>
        <v>1.350300255</v>
      </c>
    </row>
    <row r="15">
      <c r="B15" s="245">
        <v>6500.0</v>
      </c>
      <c r="C15" s="23">
        <v>212.0</v>
      </c>
      <c r="D15" s="23">
        <v>1.5</v>
      </c>
      <c r="E15" s="25">
        <f t="shared" si="1"/>
        <v>3.12542073</v>
      </c>
      <c r="F15" s="26">
        <f t="shared" si="2"/>
        <v>1.875252438</v>
      </c>
      <c r="G15" s="26">
        <f t="shared" si="3"/>
        <v>1.250168292</v>
      </c>
      <c r="H15" s="246">
        <f t="shared" si="4"/>
        <v>1.343930914</v>
      </c>
    </row>
    <row r="16">
      <c r="B16" s="245">
        <v>6500.0</v>
      </c>
      <c r="C16" s="23">
        <v>213.0</v>
      </c>
      <c r="D16" s="23">
        <v>1.5</v>
      </c>
      <c r="E16" s="25">
        <f t="shared" si="1"/>
        <v>3.110747393</v>
      </c>
      <c r="F16" s="26">
        <f t="shared" si="2"/>
        <v>1.866448436</v>
      </c>
      <c r="G16" s="26">
        <f t="shared" si="3"/>
        <v>1.244298957</v>
      </c>
      <c r="H16" s="246">
        <f t="shared" si="4"/>
        <v>1.337621379</v>
      </c>
    </row>
    <row r="17">
      <c r="B17" s="245">
        <v>6500.0</v>
      </c>
      <c r="C17" s="23">
        <v>214.0</v>
      </c>
      <c r="D17" s="23">
        <v>1.5</v>
      </c>
      <c r="E17" s="25">
        <f t="shared" si="1"/>
        <v>3.09621119</v>
      </c>
      <c r="F17" s="26">
        <f t="shared" si="2"/>
        <v>1.857726714</v>
      </c>
      <c r="G17" s="26">
        <f t="shared" si="3"/>
        <v>1.238484476</v>
      </c>
      <c r="H17" s="246">
        <f t="shared" si="4"/>
        <v>1.331370812</v>
      </c>
    </row>
    <row r="18">
      <c r="B18" s="245">
        <v>6500.0</v>
      </c>
      <c r="C18" s="23">
        <v>215.0</v>
      </c>
      <c r="D18" s="23">
        <v>1.5</v>
      </c>
      <c r="E18" s="25">
        <f t="shared" si="1"/>
        <v>3.081810208</v>
      </c>
      <c r="F18" s="26">
        <f t="shared" si="2"/>
        <v>1.849086125</v>
      </c>
      <c r="G18" s="26">
        <f t="shared" si="3"/>
        <v>1.232724083</v>
      </c>
      <c r="H18" s="246">
        <f t="shared" si="4"/>
        <v>1.325178389</v>
      </c>
    </row>
    <row r="19">
      <c r="B19" s="245">
        <v>6500.0</v>
      </c>
      <c r="C19" s="23">
        <v>216.0</v>
      </c>
      <c r="D19" s="23">
        <v>1.5</v>
      </c>
      <c r="E19" s="25">
        <f t="shared" si="1"/>
        <v>3.067542568</v>
      </c>
      <c r="F19" s="26">
        <f t="shared" si="2"/>
        <v>1.840525541</v>
      </c>
      <c r="G19" s="26">
        <f t="shared" si="3"/>
        <v>1.227017027</v>
      </c>
      <c r="H19" s="246">
        <f t="shared" si="4"/>
        <v>1.319043304</v>
      </c>
    </row>
    <row r="20">
      <c r="B20" s="245">
        <v>6500.0</v>
      </c>
      <c r="C20" s="23">
        <v>217.0</v>
      </c>
      <c r="D20" s="23">
        <v>1.5</v>
      </c>
      <c r="E20" s="25">
        <f t="shared" si="1"/>
        <v>3.053406427</v>
      </c>
      <c r="F20" s="26">
        <f t="shared" si="2"/>
        <v>1.832043856</v>
      </c>
      <c r="G20" s="26">
        <f t="shared" si="3"/>
        <v>1.221362571</v>
      </c>
      <c r="H20" s="246">
        <f t="shared" si="4"/>
        <v>1.312964764</v>
      </c>
    </row>
    <row r="21">
      <c r="B21" s="245">
        <v>6500.0</v>
      </c>
      <c r="C21" s="23">
        <v>218.0</v>
      </c>
      <c r="D21" s="23">
        <v>1.5</v>
      </c>
      <c r="E21" s="25">
        <f t="shared" si="1"/>
        <v>3.039399976</v>
      </c>
      <c r="F21" s="26">
        <f t="shared" si="2"/>
        <v>1.823639985</v>
      </c>
      <c r="G21" s="26">
        <f t="shared" si="3"/>
        <v>1.21575999</v>
      </c>
      <c r="H21" s="246">
        <f t="shared" si="4"/>
        <v>1.30694199</v>
      </c>
    </row>
    <row r="22">
      <c r="B22" s="245">
        <v>6500.0</v>
      </c>
      <c r="C22" s="23">
        <v>219.0</v>
      </c>
      <c r="D22" s="23">
        <v>1.5</v>
      </c>
      <c r="E22" s="25">
        <f t="shared" si="1"/>
        <v>3.025521437</v>
      </c>
      <c r="F22" s="26">
        <f t="shared" si="2"/>
        <v>1.815312862</v>
      </c>
      <c r="G22" s="26">
        <f t="shared" si="3"/>
        <v>1.210208575</v>
      </c>
      <c r="H22" s="246">
        <f t="shared" si="4"/>
        <v>1.300974218</v>
      </c>
    </row>
    <row r="23">
      <c r="B23" s="245">
        <v>6500.0</v>
      </c>
      <c r="C23" s="23">
        <v>220.0</v>
      </c>
      <c r="D23" s="23">
        <v>1.5</v>
      </c>
      <c r="E23" s="25">
        <f t="shared" si="1"/>
        <v>3.011769067</v>
      </c>
      <c r="F23" s="26">
        <f t="shared" si="2"/>
        <v>1.80706144</v>
      </c>
      <c r="G23" s="26">
        <f t="shared" si="3"/>
        <v>1.204707627</v>
      </c>
      <c r="H23" s="246">
        <f t="shared" si="4"/>
        <v>1.295060699</v>
      </c>
    </row>
    <row r="24">
      <c r="B24" s="245">
        <v>6500.0</v>
      </c>
      <c r="C24" s="23">
        <v>221.0</v>
      </c>
      <c r="D24" s="23">
        <v>1.5</v>
      </c>
      <c r="E24" s="25">
        <f t="shared" si="1"/>
        <v>2.998141152</v>
      </c>
      <c r="F24" s="26">
        <f t="shared" si="2"/>
        <v>1.798884691</v>
      </c>
      <c r="G24" s="26">
        <f t="shared" si="3"/>
        <v>1.199256461</v>
      </c>
      <c r="H24" s="246">
        <f t="shared" si="4"/>
        <v>1.289200696</v>
      </c>
    </row>
    <row r="25">
      <c r="B25" s="245">
        <v>6500.0</v>
      </c>
      <c r="C25" s="23">
        <v>222.0</v>
      </c>
      <c r="D25" s="23">
        <v>1.5</v>
      </c>
      <c r="E25" s="25">
        <f t="shared" si="1"/>
        <v>2.984636012</v>
      </c>
      <c r="F25" s="26">
        <f t="shared" si="2"/>
        <v>1.790781607</v>
      </c>
      <c r="G25" s="26">
        <f t="shared" si="3"/>
        <v>1.193854405</v>
      </c>
      <c r="H25" s="246">
        <f t="shared" si="4"/>
        <v>1.283393485</v>
      </c>
    </row>
    <row r="26">
      <c r="B26" s="245">
        <v>6500.0</v>
      </c>
      <c r="C26" s="23">
        <v>223.0</v>
      </c>
      <c r="D26" s="23">
        <v>1.5</v>
      </c>
      <c r="E26" s="25">
        <f t="shared" si="1"/>
        <v>2.971251994</v>
      </c>
      <c r="F26" s="26">
        <f t="shared" si="2"/>
        <v>1.782751197</v>
      </c>
      <c r="G26" s="26">
        <f t="shared" si="3"/>
        <v>1.188500798</v>
      </c>
      <c r="H26" s="246">
        <f t="shared" si="4"/>
        <v>1.277638357</v>
      </c>
    </row>
    <row r="27">
      <c r="B27" s="245">
        <v>6500.0</v>
      </c>
      <c r="C27" s="23">
        <v>224.0</v>
      </c>
      <c r="D27" s="23">
        <v>1.5</v>
      </c>
      <c r="E27" s="25">
        <f t="shared" si="1"/>
        <v>2.957987476</v>
      </c>
      <c r="F27" s="26">
        <f t="shared" si="2"/>
        <v>1.774792486</v>
      </c>
      <c r="G27" s="26">
        <f t="shared" si="3"/>
        <v>1.183194991</v>
      </c>
      <c r="H27" s="246">
        <f t="shared" si="4"/>
        <v>1.271934615</v>
      </c>
    </row>
    <row r="28">
      <c r="B28" s="245">
        <v>6500.0</v>
      </c>
      <c r="C28" s="23">
        <v>225.0</v>
      </c>
      <c r="D28" s="23">
        <v>1.5</v>
      </c>
      <c r="E28" s="25">
        <f t="shared" si="1"/>
        <v>2.944840865</v>
      </c>
      <c r="F28" s="26">
        <f t="shared" si="2"/>
        <v>1.766904519</v>
      </c>
      <c r="G28" s="26">
        <f t="shared" si="3"/>
        <v>1.177936346</v>
      </c>
      <c r="H28" s="246">
        <f t="shared" si="4"/>
        <v>1.266281572</v>
      </c>
    </row>
    <row r="29">
      <c r="B29" s="245">
        <v>6500.0</v>
      </c>
      <c r="C29" s="23">
        <v>226.0</v>
      </c>
      <c r="D29" s="23">
        <v>1.5</v>
      </c>
      <c r="E29" s="25">
        <f t="shared" si="1"/>
        <v>2.931810596</v>
      </c>
      <c r="F29" s="26">
        <f t="shared" si="2"/>
        <v>1.759086358</v>
      </c>
      <c r="G29" s="26">
        <f t="shared" si="3"/>
        <v>1.172724238</v>
      </c>
      <c r="H29" s="246">
        <f t="shared" si="4"/>
        <v>1.260678556</v>
      </c>
    </row>
    <row r="30">
      <c r="B30" s="245">
        <v>6500.0</v>
      </c>
      <c r="C30" s="23">
        <v>227.0</v>
      </c>
      <c r="D30" s="23">
        <v>1.5</v>
      </c>
      <c r="E30" s="25">
        <f t="shared" si="1"/>
        <v>2.918895131</v>
      </c>
      <c r="F30" s="26">
        <f t="shared" si="2"/>
        <v>1.751337079</v>
      </c>
      <c r="G30" s="26">
        <f t="shared" si="3"/>
        <v>1.167558052</v>
      </c>
      <c r="H30" s="246">
        <f t="shared" si="4"/>
        <v>1.255124906</v>
      </c>
    </row>
    <row r="31">
      <c r="B31" s="245">
        <v>6500.0</v>
      </c>
      <c r="C31" s="23">
        <v>228.0</v>
      </c>
      <c r="D31" s="23">
        <v>1.5</v>
      </c>
      <c r="E31" s="25">
        <f t="shared" si="1"/>
        <v>2.906092959</v>
      </c>
      <c r="F31" s="26">
        <f t="shared" si="2"/>
        <v>1.743655776</v>
      </c>
      <c r="G31" s="26">
        <f t="shared" si="3"/>
        <v>1.162437184</v>
      </c>
      <c r="H31" s="246">
        <f t="shared" si="4"/>
        <v>1.249619972</v>
      </c>
    </row>
    <row r="32">
      <c r="B32" s="245">
        <v>6500.0</v>
      </c>
      <c r="C32" s="23">
        <v>229.0</v>
      </c>
      <c r="D32" s="23">
        <v>1.5</v>
      </c>
      <c r="E32" s="25">
        <f t="shared" si="1"/>
        <v>2.893402597</v>
      </c>
      <c r="F32" s="26">
        <f t="shared" si="2"/>
        <v>1.736041558</v>
      </c>
      <c r="G32" s="26">
        <f t="shared" si="3"/>
        <v>1.157361039</v>
      </c>
      <c r="H32" s="246">
        <f t="shared" si="4"/>
        <v>1.244163117</v>
      </c>
    </row>
    <row r="33">
      <c r="B33" s="245">
        <v>6500.0</v>
      </c>
      <c r="C33" s="23">
        <v>230.0</v>
      </c>
      <c r="D33" s="23">
        <v>1.5</v>
      </c>
      <c r="E33" s="25">
        <f t="shared" si="1"/>
        <v>2.880822586</v>
      </c>
      <c r="F33" s="26">
        <f t="shared" si="2"/>
        <v>1.728493551</v>
      </c>
      <c r="G33" s="26">
        <f t="shared" si="3"/>
        <v>1.152329034</v>
      </c>
      <c r="H33" s="246">
        <f t="shared" si="4"/>
        <v>1.238753712</v>
      </c>
    </row>
    <row r="34">
      <c r="B34" s="245">
        <v>6500.0</v>
      </c>
      <c r="C34" s="23">
        <v>231.0</v>
      </c>
      <c r="D34" s="23">
        <v>1.5</v>
      </c>
      <c r="E34" s="25">
        <f t="shared" si="1"/>
        <v>2.868351492</v>
      </c>
      <c r="F34" s="26">
        <f t="shared" si="2"/>
        <v>1.721010895</v>
      </c>
      <c r="G34" s="26">
        <f t="shared" si="3"/>
        <v>1.147340597</v>
      </c>
      <c r="H34" s="246">
        <f t="shared" si="4"/>
        <v>1.233391142</v>
      </c>
    </row>
    <row r="35">
      <c r="B35" s="245">
        <v>6500.0</v>
      </c>
      <c r="C35" s="23">
        <v>232.0</v>
      </c>
      <c r="D35" s="23">
        <v>1.5</v>
      </c>
      <c r="E35" s="25">
        <f t="shared" si="1"/>
        <v>2.855987908</v>
      </c>
      <c r="F35" s="26">
        <f t="shared" si="2"/>
        <v>1.713592745</v>
      </c>
      <c r="G35" s="26">
        <f t="shared" si="3"/>
        <v>1.142395163</v>
      </c>
      <c r="H35" s="246">
        <f t="shared" si="4"/>
        <v>1.228074801</v>
      </c>
    </row>
    <row r="36">
      <c r="B36" s="245">
        <v>6500.0</v>
      </c>
      <c r="C36" s="23">
        <v>233.0</v>
      </c>
      <c r="D36" s="23">
        <v>1.5</v>
      </c>
      <c r="E36" s="25">
        <f t="shared" si="1"/>
        <v>2.843730449</v>
      </c>
      <c r="F36" s="26">
        <f t="shared" si="2"/>
        <v>1.70623827</v>
      </c>
      <c r="G36" s="26">
        <f t="shared" si="3"/>
        <v>1.13749218</v>
      </c>
      <c r="H36" s="246">
        <f t="shared" si="4"/>
        <v>1.222804093</v>
      </c>
    </row>
    <row r="37">
      <c r="B37" s="245">
        <v>6500.0</v>
      </c>
      <c r="C37" s="23">
        <v>234.0</v>
      </c>
      <c r="D37" s="23">
        <v>1.5</v>
      </c>
      <c r="E37" s="25">
        <f t="shared" si="1"/>
        <v>2.831577755</v>
      </c>
      <c r="F37" s="26">
        <f t="shared" si="2"/>
        <v>1.698946653</v>
      </c>
      <c r="G37" s="26">
        <f t="shared" si="3"/>
        <v>1.132631102</v>
      </c>
      <c r="H37" s="246">
        <f t="shared" si="4"/>
        <v>1.217578435</v>
      </c>
    </row>
    <row r="38">
      <c r="B38" s="247">
        <v>6500.0</v>
      </c>
      <c r="C38" s="248">
        <v>235.0</v>
      </c>
      <c r="D38" s="248">
        <v>1.5</v>
      </c>
      <c r="E38" s="249">
        <f t="shared" si="1"/>
        <v>2.819528488</v>
      </c>
      <c r="F38" s="250">
        <f t="shared" si="2"/>
        <v>1.691717093</v>
      </c>
      <c r="G38" s="250">
        <f t="shared" si="3"/>
        <v>1.127811395</v>
      </c>
      <c r="H38" s="246">
        <f t="shared" si="4"/>
        <v>1.21239725</v>
      </c>
    </row>
    <row r="39">
      <c r="B39" s="245">
        <v>6500.0</v>
      </c>
      <c r="C39" s="23">
        <v>236.0</v>
      </c>
      <c r="D39" s="23">
        <v>1.5</v>
      </c>
      <c r="E39" s="25">
        <f t="shared" si="1"/>
        <v>2.807581333</v>
      </c>
      <c r="F39" s="26">
        <f t="shared" si="2"/>
        <v>1.6845488</v>
      </c>
      <c r="G39" s="26">
        <f t="shared" si="3"/>
        <v>1.123032533</v>
      </c>
      <c r="H39" s="246">
        <f t="shared" si="4"/>
        <v>1.207259973</v>
      </c>
    </row>
    <row r="40">
      <c r="B40" s="245">
        <v>6500.0</v>
      </c>
      <c r="C40" s="23">
        <v>237.0</v>
      </c>
      <c r="D40" s="23">
        <v>1.5</v>
      </c>
      <c r="E40" s="25">
        <f t="shared" si="1"/>
        <v>2.795734999</v>
      </c>
      <c r="F40" s="26">
        <f t="shared" si="2"/>
        <v>1.677440999</v>
      </c>
      <c r="G40" s="26">
        <f t="shared" si="3"/>
        <v>1.118293999</v>
      </c>
      <c r="H40" s="246">
        <f t="shared" si="4"/>
        <v>1.202166049</v>
      </c>
    </row>
    <row r="41">
      <c r="B41" s="245">
        <v>6500.0</v>
      </c>
      <c r="C41" s="23">
        <v>238.0</v>
      </c>
      <c r="D41" s="23">
        <v>1.5</v>
      </c>
      <c r="E41" s="25">
        <f t="shared" si="1"/>
        <v>2.783988213</v>
      </c>
      <c r="F41" s="26">
        <f t="shared" si="2"/>
        <v>1.670392928</v>
      </c>
      <c r="G41" s="26">
        <f t="shared" si="3"/>
        <v>1.113595285</v>
      </c>
      <c r="H41" s="246">
        <f t="shared" si="4"/>
        <v>1.197114932</v>
      </c>
    </row>
    <row r="42">
      <c r="B42" s="245">
        <v>6500.0</v>
      </c>
      <c r="C42" s="23">
        <v>239.0</v>
      </c>
      <c r="D42" s="23">
        <v>1.5</v>
      </c>
      <c r="E42" s="25">
        <f t="shared" si="1"/>
        <v>2.772339727</v>
      </c>
      <c r="F42" s="26">
        <f t="shared" si="2"/>
        <v>1.663403836</v>
      </c>
      <c r="G42" s="26">
        <f t="shared" si="3"/>
        <v>1.108935891</v>
      </c>
      <c r="H42" s="246">
        <f t="shared" si="4"/>
        <v>1.192106083</v>
      </c>
    </row>
    <row r="43">
      <c r="B43" s="245">
        <v>6500.0</v>
      </c>
      <c r="C43" s="23">
        <v>240.0</v>
      </c>
      <c r="D43" s="23">
        <v>1.5</v>
      </c>
      <c r="E43" s="25">
        <f t="shared" si="1"/>
        <v>2.760788311</v>
      </c>
      <c r="F43" s="26">
        <f t="shared" si="2"/>
        <v>1.656472987</v>
      </c>
      <c r="G43" s="26">
        <f t="shared" si="3"/>
        <v>1.104315324</v>
      </c>
      <c r="H43" s="246">
        <f t="shared" si="4"/>
        <v>1.187138974</v>
      </c>
    </row>
    <row r="44">
      <c r="B44" s="245">
        <v>6500.0</v>
      </c>
      <c r="C44" s="23">
        <v>241.0</v>
      </c>
      <c r="D44" s="23">
        <v>1.5</v>
      </c>
      <c r="E44" s="25">
        <f t="shared" si="1"/>
        <v>2.749332758</v>
      </c>
      <c r="F44" s="26">
        <f t="shared" si="2"/>
        <v>1.649599655</v>
      </c>
      <c r="G44" s="26">
        <f t="shared" si="3"/>
        <v>1.099733103</v>
      </c>
      <c r="H44" s="246">
        <f t="shared" si="4"/>
        <v>1.182213086</v>
      </c>
    </row>
    <row r="45">
      <c r="B45" s="245">
        <v>6500.0</v>
      </c>
      <c r="C45" s="23">
        <v>242.0</v>
      </c>
      <c r="D45" s="23">
        <v>1.5</v>
      </c>
      <c r="E45" s="25">
        <f t="shared" si="1"/>
        <v>2.737971879</v>
      </c>
      <c r="F45" s="26">
        <f t="shared" si="2"/>
        <v>1.642783127</v>
      </c>
      <c r="G45" s="26">
        <f t="shared" si="3"/>
        <v>1.095188752</v>
      </c>
      <c r="H45" s="246">
        <f t="shared" si="4"/>
        <v>1.177327908</v>
      </c>
    </row>
    <row r="46">
      <c r="B46" s="245">
        <v>6500.0</v>
      </c>
      <c r="C46" s="23">
        <v>243.0</v>
      </c>
      <c r="D46" s="23">
        <v>1.5</v>
      </c>
      <c r="E46" s="25">
        <f t="shared" si="1"/>
        <v>2.726704505</v>
      </c>
      <c r="F46" s="26">
        <f t="shared" si="2"/>
        <v>1.636022703</v>
      </c>
      <c r="G46" s="26">
        <f t="shared" si="3"/>
        <v>1.090681802</v>
      </c>
      <c r="H46" s="246">
        <f t="shared" si="4"/>
        <v>1.172482937</v>
      </c>
    </row>
    <row r="47">
      <c r="B47" s="245">
        <v>6500.0</v>
      </c>
      <c r="C47" s="23">
        <v>244.0</v>
      </c>
      <c r="D47" s="23">
        <v>1.5</v>
      </c>
      <c r="E47" s="25">
        <f t="shared" si="1"/>
        <v>2.715529486</v>
      </c>
      <c r="F47" s="26">
        <f t="shared" si="2"/>
        <v>1.629317692</v>
      </c>
      <c r="G47" s="26">
        <f t="shared" si="3"/>
        <v>1.086211795</v>
      </c>
      <c r="H47" s="246">
        <f t="shared" si="4"/>
        <v>1.167677679</v>
      </c>
    </row>
    <row r="48">
      <c r="B48" s="245">
        <v>6500.0</v>
      </c>
      <c r="C48" s="23">
        <v>245.0</v>
      </c>
      <c r="D48" s="23">
        <v>1.5</v>
      </c>
      <c r="E48" s="25">
        <f t="shared" si="1"/>
        <v>2.704445693</v>
      </c>
      <c r="F48" s="26">
        <f t="shared" si="2"/>
        <v>1.622667416</v>
      </c>
      <c r="G48" s="26">
        <f t="shared" si="3"/>
        <v>1.081778277</v>
      </c>
      <c r="H48" s="246">
        <f t="shared" si="4"/>
        <v>1.162911648</v>
      </c>
    </row>
    <row r="49">
      <c r="B49" s="245">
        <v>6500.0</v>
      </c>
      <c r="C49" s="23">
        <v>246.0</v>
      </c>
      <c r="D49" s="23">
        <v>1.5</v>
      </c>
      <c r="E49" s="25">
        <f t="shared" si="1"/>
        <v>2.693452011</v>
      </c>
      <c r="F49" s="26">
        <f t="shared" si="2"/>
        <v>1.616071207</v>
      </c>
      <c r="G49" s="26">
        <f t="shared" si="3"/>
        <v>1.077380804</v>
      </c>
      <c r="H49" s="246">
        <f t="shared" si="4"/>
        <v>1.158184365</v>
      </c>
    </row>
    <row r="50">
      <c r="B50" s="245">
        <v>6500.0</v>
      </c>
      <c r="C50" s="23">
        <v>247.0</v>
      </c>
      <c r="D50" s="23">
        <v>1.5</v>
      </c>
      <c r="E50" s="25">
        <f t="shared" si="1"/>
        <v>2.682547347</v>
      </c>
      <c r="F50" s="26">
        <f t="shared" si="2"/>
        <v>1.609528408</v>
      </c>
      <c r="G50" s="26">
        <f t="shared" si="3"/>
        <v>1.073018939</v>
      </c>
      <c r="H50" s="246">
        <f t="shared" si="4"/>
        <v>1.153495359</v>
      </c>
    </row>
    <row r="51">
      <c r="B51" s="245">
        <v>6500.0</v>
      </c>
      <c r="C51" s="23">
        <v>248.0</v>
      </c>
      <c r="D51" s="23">
        <v>1.5</v>
      </c>
      <c r="E51" s="25">
        <f t="shared" si="1"/>
        <v>2.671730624</v>
      </c>
      <c r="F51" s="26">
        <f t="shared" si="2"/>
        <v>1.603038374</v>
      </c>
      <c r="G51" s="26">
        <f t="shared" si="3"/>
        <v>1.06869225</v>
      </c>
      <c r="H51" s="246">
        <f t="shared" si="4"/>
        <v>1.148844168</v>
      </c>
    </row>
    <row r="52">
      <c r="B52" s="245">
        <v>6500.0</v>
      </c>
      <c r="C52" s="23">
        <v>249.0</v>
      </c>
      <c r="D52" s="23">
        <v>1.5</v>
      </c>
      <c r="E52" s="25">
        <f t="shared" si="1"/>
        <v>2.661000782</v>
      </c>
      <c r="F52" s="26">
        <f t="shared" si="2"/>
        <v>1.596600469</v>
      </c>
      <c r="G52" s="26">
        <f t="shared" si="3"/>
        <v>1.064400313</v>
      </c>
      <c r="H52" s="246">
        <f t="shared" si="4"/>
        <v>1.144230336</v>
      </c>
    </row>
    <row r="53">
      <c r="B53" s="245">
        <v>6500.0</v>
      </c>
      <c r="C53" s="23">
        <v>250.0</v>
      </c>
      <c r="D53" s="23">
        <v>1.5</v>
      </c>
      <c r="E53" s="25">
        <f t="shared" si="1"/>
        <v>2.650356779</v>
      </c>
      <c r="F53" s="26">
        <f t="shared" si="2"/>
        <v>1.590214067</v>
      </c>
      <c r="G53" s="26">
        <f t="shared" si="3"/>
        <v>1.060142712</v>
      </c>
      <c r="H53" s="246">
        <f t="shared" si="4"/>
        <v>1.139653415</v>
      </c>
    </row>
    <row r="54">
      <c r="B54" s="245">
        <v>6500.0</v>
      </c>
      <c r="C54" s="23">
        <v>251.0</v>
      </c>
      <c r="D54" s="23">
        <v>1.5</v>
      </c>
      <c r="E54" s="25">
        <f t="shared" si="1"/>
        <v>2.639797588</v>
      </c>
      <c r="F54" s="26">
        <f t="shared" si="2"/>
        <v>1.583878553</v>
      </c>
      <c r="G54" s="26">
        <f t="shared" si="3"/>
        <v>1.055919035</v>
      </c>
      <c r="H54" s="246">
        <f t="shared" si="4"/>
        <v>1.135112963</v>
      </c>
    </row>
    <row r="55">
      <c r="B55" s="245">
        <v>6500.0</v>
      </c>
      <c r="C55" s="23">
        <v>252.0</v>
      </c>
      <c r="D55" s="23">
        <v>1.5</v>
      </c>
      <c r="E55" s="25">
        <f t="shared" si="1"/>
        <v>2.629322201</v>
      </c>
      <c r="F55" s="26">
        <f t="shared" si="2"/>
        <v>1.577593321</v>
      </c>
      <c r="G55" s="26">
        <f t="shared" si="3"/>
        <v>1.05172888</v>
      </c>
      <c r="H55" s="246">
        <f t="shared" si="4"/>
        <v>1.130608547</v>
      </c>
    </row>
    <row r="56">
      <c r="B56" s="245">
        <v>6500.0</v>
      </c>
      <c r="C56" s="23">
        <v>253.0</v>
      </c>
      <c r="D56" s="23">
        <v>1.5</v>
      </c>
      <c r="E56" s="25">
        <f t="shared" si="1"/>
        <v>2.618929623</v>
      </c>
      <c r="F56" s="26">
        <f t="shared" si="2"/>
        <v>1.571357774</v>
      </c>
      <c r="G56" s="26">
        <f t="shared" si="3"/>
        <v>1.047571849</v>
      </c>
      <c r="H56" s="246">
        <f t="shared" si="4"/>
        <v>1.126139738</v>
      </c>
    </row>
    <row r="57">
      <c r="B57" s="245">
        <v>6500.0</v>
      </c>
      <c r="C57" s="23">
        <v>254.0</v>
      </c>
      <c r="D57" s="23">
        <v>1.5</v>
      </c>
      <c r="E57" s="25">
        <f t="shared" si="1"/>
        <v>2.608618877</v>
      </c>
      <c r="F57" s="26">
        <f t="shared" si="2"/>
        <v>1.565171326</v>
      </c>
      <c r="G57" s="26">
        <f t="shared" si="3"/>
        <v>1.043447551</v>
      </c>
      <c r="H57" s="246">
        <f t="shared" si="4"/>
        <v>1.121706117</v>
      </c>
    </row>
    <row r="58">
      <c r="B58" s="245">
        <v>6500.0</v>
      </c>
      <c r="C58" s="23">
        <v>255.0</v>
      </c>
      <c r="D58" s="23">
        <v>1.5</v>
      </c>
      <c r="E58" s="25">
        <f t="shared" si="1"/>
        <v>2.598388999</v>
      </c>
      <c r="F58" s="26">
        <f t="shared" si="2"/>
        <v>1.559033399</v>
      </c>
      <c r="G58" s="26">
        <f t="shared" si="3"/>
        <v>1.0393556</v>
      </c>
      <c r="H58" s="246">
        <f t="shared" si="4"/>
        <v>1.117307269</v>
      </c>
    </row>
    <row r="59">
      <c r="B59" s="245">
        <v>6500.0</v>
      </c>
      <c r="C59" s="23">
        <v>256.0</v>
      </c>
      <c r="D59" s="23">
        <v>1.5</v>
      </c>
      <c r="E59" s="25">
        <f t="shared" si="1"/>
        <v>2.588239042</v>
      </c>
      <c r="F59" s="26">
        <f t="shared" si="2"/>
        <v>1.552943425</v>
      </c>
      <c r="G59" s="26">
        <f t="shared" si="3"/>
        <v>1.035295617</v>
      </c>
      <c r="H59" s="246">
        <f t="shared" si="4"/>
        <v>1.112942788</v>
      </c>
    </row>
    <row r="60">
      <c r="B60" s="245">
        <v>6500.0</v>
      </c>
      <c r="C60" s="23">
        <v>257.0</v>
      </c>
      <c r="D60" s="23">
        <v>1.5</v>
      </c>
      <c r="E60" s="25">
        <f t="shared" si="1"/>
        <v>2.578168073</v>
      </c>
      <c r="F60" s="26">
        <f t="shared" si="2"/>
        <v>1.546900844</v>
      </c>
      <c r="G60" s="26">
        <f t="shared" si="3"/>
        <v>1.031267229</v>
      </c>
      <c r="H60" s="246">
        <f t="shared" si="4"/>
        <v>1.108612271</v>
      </c>
    </row>
    <row r="61">
      <c r="B61" s="245">
        <v>6500.0</v>
      </c>
      <c r="C61" s="23">
        <v>258.0</v>
      </c>
      <c r="D61" s="23">
        <v>1.5</v>
      </c>
      <c r="E61" s="25">
        <f t="shared" si="1"/>
        <v>2.568175173</v>
      </c>
      <c r="F61" s="26">
        <f t="shared" si="2"/>
        <v>1.540905104</v>
      </c>
      <c r="G61" s="26">
        <f t="shared" si="3"/>
        <v>1.027270069</v>
      </c>
      <c r="H61" s="246">
        <f t="shared" si="4"/>
        <v>1.104315324</v>
      </c>
    </row>
    <row r="62">
      <c r="B62" s="245">
        <v>6500.0</v>
      </c>
      <c r="C62" s="23">
        <v>259.0</v>
      </c>
      <c r="D62" s="23">
        <v>1.5</v>
      </c>
      <c r="E62" s="25">
        <f t="shared" si="1"/>
        <v>2.558259439</v>
      </c>
      <c r="F62" s="26">
        <f t="shared" si="2"/>
        <v>1.534955663</v>
      </c>
      <c r="G62" s="26">
        <f t="shared" si="3"/>
        <v>1.023303776</v>
      </c>
      <c r="H62" s="246">
        <f t="shared" si="4"/>
        <v>1.100051559</v>
      </c>
    </row>
    <row r="63">
      <c r="B63" s="251">
        <v>6500.0</v>
      </c>
      <c r="C63" s="15">
        <v>260.0</v>
      </c>
      <c r="D63" s="15">
        <v>1.5</v>
      </c>
      <c r="E63" s="17">
        <f t="shared" si="1"/>
        <v>2.54841998</v>
      </c>
      <c r="F63" s="38">
        <f t="shared" si="2"/>
        <v>1.529051988</v>
      </c>
      <c r="G63" s="38">
        <f t="shared" si="3"/>
        <v>1.019367992</v>
      </c>
      <c r="H63" s="246">
        <f t="shared" si="4"/>
        <v>1.095820591</v>
      </c>
    </row>
  </sheetData>
  <drawing r:id="rId1"/>
</worksheet>
</file>