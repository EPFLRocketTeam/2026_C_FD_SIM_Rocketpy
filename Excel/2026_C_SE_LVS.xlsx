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H9_R04" sheetId="1" r:id="rId5"/>
    <sheet state="visible" name="FH9_6kN_R04" sheetId="2" r:id="rId6"/>
    <sheet state="visible" name="IR1 Estimations" sheetId="3" r:id="rId7"/>
    <sheet state="visible" name="FH9_R05" sheetId="4" r:id="rId8"/>
    <sheet state="visible" name="0924 Estimations" sheetId="5" r:id="rId9"/>
    <sheet state="visible" name="FH9_R06" sheetId="6" r:id="rId10"/>
    <sheet state="visible" name="0325 Estimations" sheetId="7" r:id="rId11"/>
    <sheet state="visible" name="FH1_R01" sheetId="8" r:id="rId12"/>
    <sheet state="visible" name="FH2_R01" sheetId="9" r:id="rId13"/>
    <sheet state="visible" name="FH2_R02" sheetId="10" r:id="rId14"/>
    <sheet state="visible" name="FH2_R03" sheetId="11" r:id="rId15"/>
    <sheet state="visible" name="FH2_R01_24L" sheetId="12" r:id="rId16"/>
    <sheet state="visible" name="FH2_FR"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tc={900a2549-8b50-4f41-8e22-cb866dab9d3c}</author>
    <author>tc={c8180d58-82c4-4623-8a09-18a43c9072e6}</author>
  </authors>
  <commentList>
    <comment authorId="0" xr:uid="{900a2549-8b50-4f41-8e22-cb866dab9d3c}" ref="A1">
      <text>
        <t xml:space="preserve">[Threaded comment]
 Your version of Excel allows you to read this threaded comment; however, any edits to it will get removed if the file is opened in a newer version of Excel. Learn more: https://go.microsoft.com/fwlink/?linkid=870924
Comment:
	Add Mass
</t>
      </text>
    </comment>
    <comment authorId="1" xr:uid="{c8180d58-82c4-4623-8a09-18a43c9072e6}" ref="A1">
      <text>
        <t xml:space="preserve">[Threaded comment]
 Your version of Excel allows you to read this threaded comment; however, any edits to it will get removed if the file is opened in a newer version of Excel. Learn more: https://go.microsoft.com/fwlink/?linkid=870924
Comment:
	Add Mass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tc={eaed8be7-34dc-4995-a9ac-0e835e05b34a}</author>
  </authors>
  <commentList>
    <comment authorId="0" xr:uid="{eaed8be7-34dc-4995-a9ac-0e835e05b34a}" ref="R41">
      <text>
        <t xml:space="preserve">[Threaded comment]
 Your version of Excel allows you to read this threaded comment; however, any edits to it will get removed if the file is opened in a newer version of Excel. Learn more: https://go.microsoft.com/fwlink/?linkid=870924
Comment:
	Firehorn 1 Data
</t>
      </text>
    </comment>
  </commentList>
</comments>
</file>

<file path=xl/sharedStrings.xml><?xml version="1.0" encoding="utf-8"?>
<sst xmlns="http://schemas.openxmlformats.org/spreadsheetml/2006/main" count="1799" uniqueCount="351">
  <si>
    <t>Nouveautés R04: Mise à jour Post-PDR selon nouvelles estimations, changement de diamètre à 240[mm], peaufinage de l'estimation de masse des réservoirs, ajout masse dorsale, ajout tableau de valeurs de vérification, ajout thrust multiplier</t>
  </si>
  <si>
    <t>LV Data</t>
  </si>
  <si>
    <t>Name</t>
  </si>
  <si>
    <t>Length [mm]</t>
  </si>
  <si>
    <t>Structure Mass [kg]</t>
  </si>
  <si>
    <t>Modules Mass [kg]</t>
  </si>
  <si>
    <t>Fuel Mass [kg]</t>
  </si>
  <si>
    <t>Total Mass [kg]</t>
  </si>
  <si>
    <t>-20%</t>
  </si>
  <si>
    <t>Requirements</t>
  </si>
  <si>
    <t>+20%</t>
  </si>
  <si>
    <t>Nosecone</t>
  </si>
  <si>
    <t>RE Bay</t>
  </si>
  <si>
    <t>AV Bay</t>
  </si>
  <si>
    <t>Pressurant Bay</t>
  </si>
  <si>
    <t>ETH Tank</t>
  </si>
  <si>
    <t>Mid Bay</t>
  </si>
  <si>
    <t>Aerocover</t>
  </si>
  <si>
    <t>LOx Tank</t>
  </si>
  <si>
    <t>Engine Bay</t>
  </si>
  <si>
    <t>TOTAL (dry)</t>
  </si>
  <si>
    <t>TOTAL (wet)</t>
  </si>
  <si>
    <t>Verification values</t>
  </si>
  <si>
    <t>Fineness ratio [-]</t>
  </si>
  <si>
    <t>Mass with no motors [g]</t>
  </si>
  <si>
    <t>Mass with motors [g]</t>
  </si>
  <si>
    <t>Total length [cm]</t>
  </si>
  <si>
    <t>Fuel Tanks Values</t>
  </si>
  <si>
    <t>Fuel Tanks Specifications</t>
  </si>
  <si>
    <t>Parameters</t>
  </si>
  <si>
    <t>ETH</t>
  </si>
  <si>
    <t>LOx</t>
  </si>
  <si>
    <t>Internal diameter [m]</t>
  </si>
  <si>
    <t>CPLR (f+m) mass [kg]</t>
  </si>
  <si>
    <t>Mass length density [kg/m]</t>
  </si>
  <si>
    <t>Endcap (both, no CPLR) mass [kg]</t>
  </si>
  <si>
    <t>Volume [m^3]</t>
  </si>
  <si>
    <t>Target volume [L]</t>
  </si>
  <si>
    <t>Tank material density [kg/m^3]</t>
  </si>
  <si>
    <t>Volume [L]</t>
  </si>
  <si>
    <t>Volume %age usable for storage [-]</t>
  </si>
  <si>
    <t>Tank thickness [m]</t>
  </si>
  <si>
    <t>Volume margin with target minus ullage [L]</t>
  </si>
  <si>
    <t>Volume margin (total including ullage - used) [-]</t>
  </si>
  <si>
    <t>Demo B1 Specifications</t>
  </si>
  <si>
    <t>Length (ETH) [m]</t>
  </si>
  <si>
    <t>Ethanol/Water 90/10 density @25°C [kg/m^3]</t>
  </si>
  <si>
    <t>LOx density @-183°C [kg/m^3]</t>
  </si>
  <si>
    <t>Length biggest [mm]</t>
  </si>
  <si>
    <t>Baseline engine average thrust [N]</t>
  </si>
  <si>
    <t>Length with endcaps [mm]</t>
  </si>
  <si>
    <t>Baseline mass flow rate [kg/s]:</t>
  </si>
  <si>
    <t>Mass [kg]</t>
  </si>
  <si>
    <t>Baseline Ethanol mass flow rate [kg/s]</t>
  </si>
  <si>
    <t>Mass biggest [kg]</t>
  </si>
  <si>
    <t>Baseline LOx mass flow rate [kg/s]</t>
  </si>
  <si>
    <t>Engine thrust multiplicator factor [-]</t>
  </si>
  <si>
    <t>Multiplied engine average thrust [N]</t>
  </si>
  <si>
    <t>Multiplied engine mass flow rate [kg/s]</t>
  </si>
  <si>
    <t>Multiplied Ethanol mass flow rate [kg/s]</t>
  </si>
  <si>
    <t>Multiplied LOx mass flow rate [kg/s]</t>
  </si>
  <si>
    <t>Multiplied Ethanol volumic flow rate [L/s]</t>
  </si>
  <si>
    <t>Multiplied LOx volumic flow rate [L/s]</t>
  </si>
  <si>
    <t>Nozzle exit diameter [mm]</t>
  </si>
  <si>
    <t>Engine module weight [kg]</t>
  </si>
  <si>
    <t>OpenRocket Simulations Inputs</t>
  </si>
  <si>
    <t>RASAero Simulations Inputs</t>
  </si>
  <si>
    <t>.eng parameters</t>
  </si>
  <si>
    <t>Motor parameters</t>
  </si>
  <si>
    <t>Total engine mass [kg]</t>
  </si>
  <si>
    <t>Nozzle exit diameter [in]</t>
  </si>
  <si>
    <t>Engine length [mm]</t>
  </si>
  <si>
    <t>CG location from top [in]</t>
  </si>
  <si>
    <t>Prop mass [kg]</t>
  </si>
  <si>
    <t>Sustainer loaded weight [lb]</t>
  </si>
  <si>
    <t>Burn time [s]</t>
  </si>
  <si>
    <t>Corresponding total impulses [Ns]</t>
  </si>
  <si>
    <t>Open Rocket Outputs</t>
  </si>
  <si>
    <t>RasAero Outputs</t>
  </si>
  <si>
    <t>Output Deltas (ORK as reference, &gt;0 if RASAero is bigger)</t>
  </si>
  <si>
    <t>CG location from top [cm]</t>
  </si>
  <si>
    <t>Apogee [ft]</t>
  </si>
  <si>
    <t>Apogee [-]</t>
  </si>
  <si>
    <t>12m Rail Exit Speed [m/s]</t>
  </si>
  <si>
    <t>Top Speed [ft/sec]</t>
  </si>
  <si>
    <t>Top speed [-]</t>
  </si>
  <si>
    <t>Apogee [m]</t>
  </si>
  <si>
    <t>Time to apogee [s]</t>
  </si>
  <si>
    <t>Time to apogee [-]</t>
  </si>
  <si>
    <t>Top Speed [m/s]</t>
  </si>
  <si>
    <t>Top Speed [Ma]</t>
  </si>
  <si>
    <t>Top Speed (approx) [Mach]</t>
  </si>
  <si>
    <t>Max Acceleration [m/s2]</t>
  </si>
  <si>
    <t>Max Acceleration [g]</t>
  </si>
  <si>
    <t xml:space="preserve"> </t>
  </si>
  <si>
    <t>Nouveautés R04: Création version 6kN de FH9, peak thrust atteint après 0.5s au lieu de 1s</t>
  </si>
  <si>
    <t>MB Module mass [kg]</t>
  </si>
  <si>
    <r>
      <rPr>
        <rFont val="Arial"/>
        <b/>
        <color theme="1"/>
      </rPr>
      <t>Note:</t>
    </r>
    <r>
      <rPr>
        <rFont val="Arial"/>
        <color theme="1"/>
      </rPr>
      <t xml:space="preserve"> </t>
    </r>
  </si>
  <si>
    <t>Internal Review 1 Budget Estimations</t>
  </si>
  <si>
    <t>Module</t>
  </si>
  <si>
    <t>Requirement module mass [g]</t>
  </si>
  <si>
    <t>Estimated module mass [g]</t>
  </si>
  <si>
    <t>Will likely increase or decrease ?</t>
  </si>
  <si>
    <t>Delta [%]</t>
  </si>
  <si>
    <t>Requirement structure mass [g]</t>
  </si>
  <si>
    <t>Estimated structure mass [g]</t>
  </si>
  <si>
    <t>Requirement module length [mm]</t>
  </si>
  <si>
    <t>Estimated module length [mm]</t>
  </si>
  <si>
    <t>~+10%</t>
  </si>
  <si>
    <t>~-5%</t>
  </si>
  <si>
    <t>RB</t>
  </si>
  <si>
    <t>~+5%</t>
  </si>
  <si>
    <t>AB</t>
  </si>
  <si>
    <t>PB</t>
  </si>
  <si>
    <t>AC</t>
  </si>
  <si>
    <t>ET</t>
  </si>
  <si>
    <t>/</t>
  </si>
  <si>
    <t>-</t>
  </si>
  <si>
    <t>~-15%</t>
  </si>
  <si>
    <t>MB</t>
  </si>
  <si>
    <t>~+/-0%</t>
  </si>
  <si>
    <t>LT</t>
  </si>
  <si>
    <t>EB</t>
  </si>
  <si>
    <t>Total</t>
  </si>
  <si>
    <t>Total requirement dry mass [g]</t>
  </si>
  <si>
    <t>Total estimated dry mass [g]</t>
  </si>
  <si>
    <t>Total estimated length [m]</t>
  </si>
  <si>
    <t>Total measured dry mass on CAD [g]</t>
  </si>
  <si>
    <t>Total measured length on CAD [m]</t>
  </si>
  <si>
    <t>Nouveautés R05: Changé format pour uniquement considérer estimations de masse/longueur qui découlent de l'IR1, retiré les cases devenues obsolètes, ajout calculateur masse AC dans poids module MB</t>
  </si>
  <si>
    <t>Estimation</t>
  </si>
  <si>
    <t>+10%</t>
  </si>
  <si>
    <t>MB Module mass (incl. total AC mass) [g]</t>
  </si>
  <si>
    <r>
      <rPr>
        <rFont val="Arial"/>
        <b/>
        <color theme="1"/>
      </rPr>
      <t>Note:</t>
    </r>
    <r>
      <rPr>
        <rFont val="Arial"/>
        <color theme="1"/>
      </rPr>
      <t xml:space="preserve"> </t>
    </r>
  </si>
  <si>
    <t>September 2024 Sizing Estimations</t>
  </si>
  <si>
    <t>~-10%</t>
  </si>
  <si>
    <t>Nouveautés R06: Changé format pour considérer variation thrust force, dry mass estimée et +15%, et version 'full' et 'limited' tanks. Python script crée 4 moteurs, 2 versions de véhicules à créer, utiliser configurations pour faire 4x2 simus.</t>
  </si>
  <si>
    <t>Rocket Model Inputs</t>
  </si>
  <si>
    <t>Propellant Mass [kg]</t>
  </si>
  <si>
    <t>+15%</t>
  </si>
  <si>
    <t>5kN Full Tank</t>
  </si>
  <si>
    <t>7,5kN Full Tank</t>
  </si>
  <si>
    <t>5kN Lim Tank</t>
  </si>
  <si>
    <t>7,5kN Lim Tank</t>
  </si>
  <si>
    <t>TOTAL</t>
  </si>
  <si>
    <t>Wet Mass [kg]</t>
  </si>
  <si>
    <t>Dry Mass [kg]</t>
  </si>
  <si>
    <t>Other</t>
  </si>
  <si>
    <t>Aerocover mass, estimation [kg]</t>
  </si>
  <si>
    <t>Mid Bay module w. AC [kg]</t>
  </si>
  <si>
    <t>External diameter [mm]</t>
  </si>
  <si>
    <t>Aerocover mass, +15% [kg]</t>
  </si>
  <si>
    <t>Mid Bay module w. AC, +15% [kg]</t>
  </si>
  <si>
    <t>Propulsion System Parameters</t>
  </si>
  <si>
    <t>Fuel Tanks Specifications, full burn</t>
  </si>
  <si>
    <t>Actual volume [L]</t>
  </si>
  <si>
    <t>Engine Versions</t>
  </si>
  <si>
    <t>Ullage volume [L]</t>
  </si>
  <si>
    <t>Necessary engine startup LOx volume [L]</t>
  </si>
  <si>
    <t>Necessary engine startup ETH volume [L]</t>
  </si>
  <si>
    <t>Necessary post-burn leftover LOx volume [L]</t>
  </si>
  <si>
    <t>Necessary post-burn leftover ETH volume [L]</t>
  </si>
  <si>
    <t>Ethanol volumetric flow rate [L/s]</t>
  </si>
  <si>
    <t>Multiplied Ethanol volumetric flow rate [L/s]</t>
  </si>
  <si>
    <t>Volume usable for burn [L]</t>
  </si>
  <si>
    <t>LOx volumetric flow rate [L/s]</t>
  </si>
  <si>
    <t>Multiplied LOx volumetric flow rate [L/s]</t>
  </si>
  <si>
    <t>Volume %age usable for burn [-]</t>
  </si>
  <si>
    <t>Volume with liquid inside [L] (for wet mass calculation)</t>
  </si>
  <si>
    <t>Engine Specifications</t>
  </si>
  <si>
    <t>Impulses</t>
  </si>
  <si>
    <t>Maximum Total Impulse [Ns]</t>
  </si>
  <si>
    <t>Fuel Tanks Specifications, limited burn</t>
  </si>
  <si>
    <t>Oxidizer to Fuel (O/F) ratio [-]</t>
  </si>
  <si>
    <t>Full burn time total impulse, 5kN [Ns]</t>
  </si>
  <si>
    <t>Full burn time total impulse, 7.5kN [Ns]</t>
  </si>
  <si>
    <t>Minimum specific impulse [s]</t>
  </si>
  <si>
    <t>Maximum specific impulse [s]</t>
  </si>
  <si>
    <t>Burn Times</t>
  </si>
  <si>
    <t>Time to peak thrust [s] (startup and shutdown)</t>
  </si>
  <si>
    <t>Fuel Tanks Wet Masses Calculators</t>
  </si>
  <si>
    <t>Full burn time, 5kN [s]</t>
  </si>
  <si>
    <t>Limited burn ETH mass, 5kN [kg]</t>
  </si>
  <si>
    <t>Required LOx volume for burn [L]</t>
  </si>
  <si>
    <t>Limited burn time, 5kN [s]</t>
  </si>
  <si>
    <t>Limited burn ETH mass, 7,5kN [kg]</t>
  </si>
  <si>
    <t>Required ETH volume for burn [L]</t>
  </si>
  <si>
    <t>Full burn time, 7,5kN [s]</t>
  </si>
  <si>
    <t>Limited burn LOX mass, 5kN [kg]</t>
  </si>
  <si>
    <t>Limited burn time, 7,5kN [s]</t>
  </si>
  <si>
    <t>Limited burn LOX mass, 7,5kN [kg]</t>
  </si>
  <si>
    <t>Simulation Inputs</t>
  </si>
  <si>
    <t>.eng versions</t>
  </si>
  <si>
    <t>Simulation Outputs</t>
  </si>
  <si>
    <t>Comments on results</t>
  </si>
  <si>
    <t>1. Aerocover not modelled, so its added drag is not taken into account. Actual apogee could be lower by as much as 1000[m].</t>
  </si>
  <si>
    <t>2. Both ORK and RASAero agree that we go higher by using 5[kN] than 7.5[kN] if we have full tanks for the estimated mass version. This is likely due to the fact that burning harder in thicker atmosphere leads to more drag early on.</t>
  </si>
  <si>
    <t>Time to Apogee [s]</t>
  </si>
  <si>
    <t>3. 9[km] is clearly within reach for all versions if we have full tanks.</t>
  </si>
  <si>
    <t>4. If we are to launch with a standard 12[m] rail, we pretty much require 7.5[kN] of thrust.</t>
  </si>
  <si>
    <t>5. If we are to fly at EuRoC with limited impulse, 5[kN] thrust and exceeded mass, we are much closer to the L3 target apogee than to the L9 target apogee.</t>
  </si>
  <si>
    <t>Top Speed [Mach]</t>
  </si>
  <si>
    <t>6. If we are to fly with 7.5[kN] thrust and full tanks, we will exceed the Mach number used in the CFD simulations (1.5) of FH I, and therefore the values used to dimension the nosecone tip and fin leading edges must be reevaluated (not necessarily by new CFD simulations).</t>
  </si>
  <si>
    <t>Approx Rail Exit Speed [ft/sec]</t>
  </si>
  <si>
    <t>Approx Rail Exit Speed [m/s]</t>
  </si>
  <si>
    <t xml:space="preserve">7. These simulations use 2[L] of ullage volume and 2x0.5[L] of non usable volume for startup and shutdown of the engines. A large change of these numbers could significantly impact perfromance. In particular, it is crucial that the tank thermal insulation maintains almost 22[L] of LOx in liquid form at ignition. </t>
  </si>
  <si>
    <t>Output Deltas (ORK as reference, &gt;0 if RASAero is bigger, &lt;0 if RASAero is smaller)</t>
  </si>
  <si>
    <t>Top Ma [-]</t>
  </si>
  <si>
    <t>Time to Apogee [-]</t>
  </si>
  <si>
    <t>Rail Exit Speed [-]</t>
  </si>
  <si>
    <r>
      <rPr>
        <rFont val="Arial"/>
        <b/>
        <color theme="1"/>
        <sz val="15.0"/>
      </rPr>
      <t>Note:</t>
    </r>
    <r>
      <rPr>
        <rFont val="Arial"/>
        <color theme="1"/>
        <sz val="15.0"/>
      </rPr>
      <t xml:space="preserve"> Jaune = à remplir par ST, orange = à remplir par autres SSs</t>
    </r>
  </si>
  <si>
    <t>March 2025 Sizing Estimations - Best Case</t>
  </si>
  <si>
    <t>March 2025 Sizing Estimations - Worst Case</t>
  </si>
  <si>
    <t>Structure mass [g]</t>
  </si>
  <si>
    <t>Payload mass [g]</t>
  </si>
  <si>
    <t>Propulsion mass [g]</t>
  </si>
  <si>
    <t>Total mass [g]</t>
  </si>
  <si>
    <t>Avionics mass [g]</t>
  </si>
  <si>
    <t>Recovery mass [g]</t>
  </si>
  <si>
    <t>Estimated paint mass [g]</t>
  </si>
  <si>
    <t>Total PL mass [g]</t>
  </si>
  <si>
    <t>Total AV mass [g]</t>
  </si>
  <si>
    <t>Total ST mass [g]</t>
  </si>
  <si>
    <t>Ethanol Tank</t>
  </si>
  <si>
    <t>Total PR mass [g]</t>
  </si>
  <si>
    <t>Total RE mass [g]</t>
  </si>
  <si>
    <t>Total estimated length [mm]</t>
  </si>
  <si>
    <t>Non Measured Modules Mass [g]</t>
  </si>
  <si>
    <t>Other Data</t>
  </si>
  <si>
    <t>Measured</t>
  </si>
  <si>
    <t>7kN Estimation</t>
  </si>
  <si>
    <t>Measured Dry Mass [g]</t>
  </si>
  <si>
    <t>Fixed (carried but not used)</t>
  </si>
  <si>
    <t>Free (used for burn)</t>
  </si>
  <si>
    <t>Measured Dry Mass CoG Position from rocket top [cm]</t>
  </si>
  <si>
    <t>Total Dry Mass [g]</t>
  </si>
  <si>
    <t>Wet Mass [g]</t>
  </si>
  <si>
    <t>Total Dry Mass [kg]</t>
  </si>
  <si>
    <t>External Diameter [mm]</t>
  </si>
  <si>
    <t>Boattail</t>
  </si>
  <si>
    <t>Misc (paint, ...)</t>
  </si>
  <si>
    <t>Fluid Properties</t>
  </si>
  <si>
    <t>Thrust [N]</t>
  </si>
  <si>
    <t>Internal Diameter [m]</t>
  </si>
  <si>
    <t>Ramp-up time [s] (small due to HD)</t>
  </si>
  <si>
    <t>Ethanol Fill Levels</t>
  </si>
  <si>
    <t>LOx Fill Levels</t>
  </si>
  <si>
    <t>Ramp-down time [s]</t>
  </si>
  <si>
    <t>Fixed volume [L]</t>
  </si>
  <si>
    <t>Total impulse [Ns]</t>
  </si>
  <si>
    <t>Fixed height [mm]</t>
  </si>
  <si>
    <t>Free volume [L]</t>
  </si>
  <si>
    <t>Free height [mm]</t>
  </si>
  <si>
    <t>Total filled height [mm]</t>
  </si>
  <si>
    <t>Ullage volume at start [L]</t>
  </si>
  <si>
    <t>Recovery System Parameters</t>
  </si>
  <si>
    <t>Reefed Parachute</t>
  </si>
  <si>
    <t>Unreefed Parachute</t>
  </si>
  <si>
    <t>Deployment time after apogee [s]</t>
  </si>
  <si>
    <t>Deployment altitude [m]</t>
  </si>
  <si>
    <t>Diameter [m]</t>
  </si>
  <si>
    <t>Drag coefficient [-]</t>
  </si>
  <si>
    <t>Engine Files Properties</t>
  </si>
  <si>
    <t>OpenRocket Verification Values</t>
  </si>
  <si>
    <t>.eng files</t>
  </si>
  <si>
    <t>B1 (7kN)</t>
  </si>
  <si>
    <t>COPV</t>
  </si>
  <si>
    <t>Eth Tank</t>
  </si>
  <si>
    <t>Length [cm]</t>
  </si>
  <si>
    <t>B1_7kN</t>
  </si>
  <si>
    <t>LOX Tank</t>
  </si>
  <si>
    <t>Mass w. no motors [g]</t>
  </si>
  <si>
    <t>Diameter [mm]</t>
  </si>
  <si>
    <t>Mass w. motors [g]</t>
  </si>
  <si>
    <t>Height [mm]</t>
  </si>
  <si>
    <t>Ejection charge delay [s]</t>
  </si>
  <si>
    <t>Propellant mass [kg]</t>
  </si>
  <si>
    <t>Total mass [kg]</t>
  </si>
  <si>
    <t>Company</t>
  </si>
  <si>
    <t>ERT</t>
  </si>
  <si>
    <t>1st data point (time / thrust)</t>
  </si>
  <si>
    <t>2nd data point (time / thrust)</t>
  </si>
  <si>
    <t>3rd data point (time / thrust)</t>
  </si>
  <si>
    <t>4th data point (time / thrust)</t>
  </si>
  <si>
    <t>Output Deltas [%] (ORK as reference, &gt;0 if RocketPy is bigger, &lt;0 if RocketPy is smaller)</t>
  </si>
  <si>
    <t>RocketPy Outputs</t>
  </si>
  <si>
    <t>Velocity off rod [m/s]</t>
  </si>
  <si>
    <t>Velocity at deployment [m/s]</t>
  </si>
  <si>
    <t>Max velocity [m/s]</t>
  </si>
  <si>
    <t>Max acceleration [m/s^2]</t>
  </si>
  <si>
    <t>Flight time [s]</t>
  </si>
  <si>
    <t>Ground hit velocity [m/s]</t>
  </si>
  <si>
    <t>Maximum Mach Number [-]</t>
  </si>
  <si>
    <t>Delta FH1</t>
  </si>
  <si>
    <t>Structure Mass [g]</t>
  </si>
  <si>
    <t>Modules Mass [g]</t>
  </si>
  <si>
    <t>6.5kN 29k Imp</t>
  </si>
  <si>
    <t>Pressurant Bay 2</t>
  </si>
  <si>
    <t>Boattail mass rough estimation</t>
  </si>
  <si>
    <t>6.5kN 29k Impulse</t>
  </si>
  <si>
    <t>Aerocover mass, estimation [g]</t>
  </si>
  <si>
    <t>Aerocover mass, +15% [g]</t>
  </si>
  <si>
    <t>3km Total Impulse</t>
  </si>
  <si>
    <t>7.5kN 3km</t>
  </si>
  <si>
    <t>6.5kN 9km</t>
  </si>
  <si>
    <t>7.5kN 9km</t>
  </si>
  <si>
    <t>For Max, Set Tank Parameters &gt; With Volumetric Flow Rate Find Max Burn Time &gt; Find Impulse Using Burn Time * Thrust</t>
  </si>
  <si>
    <t>For Limited, Start from impulse &gt;  Find Burn Tme Using Impulse / Thrust &gt; Find Mass From Engine Mass Flow Rate * Burn Time &gt; Find Volume from Mass and Density &gt; Find Tank Parameters</t>
  </si>
  <si>
    <t>6.5kN Thrust</t>
  </si>
  <si>
    <t>7.5kN Thrust</t>
  </si>
  <si>
    <t>Average Thrust</t>
  </si>
  <si>
    <t>Total Mass Flow Rate [kg/s]</t>
  </si>
  <si>
    <t>Ethanol Mass Flow Rate [kg/s]</t>
  </si>
  <si>
    <t>LOx mass Flow Rate [kg/s]</t>
  </si>
  <si>
    <t>6.5kN 3km Total Impulse</t>
  </si>
  <si>
    <t>7.5kN 3km Total Impulse</t>
  </si>
  <si>
    <t>TBD</t>
  </si>
  <si>
    <t>6.5kN 9km Total Impulse</t>
  </si>
  <si>
    <t>7.5kN 9km Total Impulse</t>
  </si>
  <si>
    <t>6.5kN 16L Max</t>
  </si>
  <si>
    <t>Post Burn Leftover LOX Volume [L]</t>
  </si>
  <si>
    <t>7.5kN 16L Max</t>
  </si>
  <si>
    <t>Post Burn Leftover ETH Volume [L]</t>
  </si>
  <si>
    <t>6.5kN 24L Max</t>
  </si>
  <si>
    <t>Predicted LOx Volume for Burn [L]</t>
  </si>
  <si>
    <t>7.5kN 24L Max</t>
  </si>
  <si>
    <t>Predicted ETH Volume for Burn [L]</t>
  </si>
  <si>
    <t>Volume %age used during burn [-]</t>
  </si>
  <si>
    <t>Max Thrust Used [kN]</t>
  </si>
  <si>
    <t>Min Thrust Used [kN]</t>
  </si>
  <si>
    <t>Specific Impulse [s]</t>
  </si>
  <si>
    <t>Film Cooling [%]</t>
  </si>
  <si>
    <t>16L Full Tank</t>
  </si>
  <si>
    <t>25L Full Tank</t>
  </si>
  <si>
    <t>6.5kN 29k</t>
  </si>
  <si>
    <t>RocketPy Outputs (6.5kN 29k)</t>
  </si>
  <si>
    <t>Propellant Mass [g]</t>
  </si>
  <si>
    <t>6.5kN</t>
  </si>
  <si>
    <t>6.5kN +15%</t>
  </si>
  <si>
    <t>7.5kN</t>
  </si>
  <si>
    <t>7.5kN +15%</t>
  </si>
  <si>
    <t>Dry Mass [g]</t>
  </si>
  <si>
    <t>RocketPy Simulations Inputs</t>
  </si>
  <si>
    <t>Hold-down break force [N]</t>
  </si>
  <si>
    <t>O/F-ratio [-]</t>
  </si>
  <si>
    <t>ISP [s]</t>
  </si>
  <si>
    <t>5.774</t>
  </si>
  <si>
    <t>RocketPy Outputs (6.5kN)</t>
  </si>
  <si>
    <t>RocketPy Outputs (6.5kN +15%)</t>
  </si>
  <si>
    <t>RocketPy Outputs (7.5kN)</t>
  </si>
  <si>
    <t>RocketPy Outputs (7.5kN +15%)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</si>
</sst>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0.000"/>
    <numFmt numFmtId="166" formatCode="0.0"/>
    <numFmt numFmtId="167" formatCode="#,##0.0"/>
    <numFmt numFmtId="168" formatCode="#,##0.000"/>
    <numFmt numFmtId="169" formatCode="d.m"/>
  </numFmts>
  <fonts count="19">
    <font>
      <sz val="10.0"/>
      <color rgb="FF000000"/>
      <name val="Arial"/>
      <scheme val="minor"/>
    </font>
    <font>
      <b/>
      <color theme="1"/>
      <name val="Arial"/>
      <scheme val="minor"/>
    </font>
    <font/>
    <font>
      <color theme="1"/>
      <name val="Arial"/>
    </font>
    <font>
      <b/>
      <color theme="1"/>
      <name val="Arial"/>
    </font>
    <font>
      <sz val="8.0"/>
      <color theme="1"/>
      <name val="Arial"/>
    </font>
    <font>
      <color theme="1"/>
      <name val="Arial"/>
      <scheme val="minor"/>
    </font>
    <font>
      <b/>
      <sz val="10.0"/>
      <color theme="1"/>
      <name val="Arial"/>
    </font>
    <font>
      <sz val="9.0"/>
      <color theme="1"/>
      <name val="Arial"/>
    </font>
    <font>
      <sz val="10.0"/>
      <color theme="1"/>
      <name val="Arial"/>
    </font>
    <font>
      <b/>
      <sz val="14.0"/>
      <color theme="1"/>
      <name val="Arial"/>
    </font>
    <font>
      <b/>
      <sz val="8.0"/>
      <color theme="1"/>
      <name val="Arial"/>
    </font>
    <font>
      <sz val="7.0"/>
      <color theme="1"/>
      <name val="Arial"/>
    </font>
    <font>
      <b/>
      <sz val="16.0"/>
      <color theme="1"/>
      <name val="Arial"/>
      <scheme val="minor"/>
    </font>
    <font>
      <b/>
      <sz val="10.0"/>
      <color theme="1"/>
      <name val="Arial"/>
      <scheme val="minor"/>
    </font>
    <font>
      <sz val="10.0"/>
      <color theme="1"/>
      <name val="Arial"/>
      <scheme val="minor"/>
    </font>
    <font>
      <color rgb="FF000000"/>
      <name val="Arial"/>
    </font>
    <font>
      <sz val="15.0"/>
      <color theme="1"/>
      <name val="Arial"/>
      <scheme val="minor"/>
    </font>
    <font>
      <b/>
      <sz val="9.0"/>
      <color theme="1"/>
      <name val="Arial"/>
    </font>
  </fonts>
  <fills count="21">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
      <patternFill patternType="solid">
        <fgColor rgb="FFFFFF00"/>
        <bgColor rgb="FFFFFF00"/>
      </patternFill>
    </fill>
    <fill>
      <patternFill patternType="solid">
        <fgColor rgb="FFEA9999"/>
        <bgColor rgb="FFEA9999"/>
      </patternFill>
    </fill>
    <fill>
      <patternFill patternType="solid">
        <fgColor rgb="FF9FC5E8"/>
        <bgColor rgb="FF9FC5E8"/>
      </patternFill>
    </fill>
    <fill>
      <patternFill patternType="solid">
        <fgColor rgb="FF6D9EEB"/>
        <bgColor rgb="FF6D9EEB"/>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FF9900"/>
        <bgColor rgb="FFFF9900"/>
      </patternFill>
    </fill>
    <fill>
      <patternFill patternType="solid">
        <fgColor rgb="FFB7E1CD"/>
        <bgColor rgb="FFB7E1CD"/>
      </patternFill>
    </fill>
    <fill>
      <patternFill patternType="solid">
        <fgColor rgb="FFA4C2F4"/>
        <bgColor rgb="FFA4C2F4"/>
      </patternFill>
    </fill>
    <fill>
      <patternFill patternType="solid">
        <fgColor rgb="FFFFF2CC"/>
        <bgColor rgb="FFFFF2CC"/>
      </patternFill>
    </fill>
    <fill>
      <patternFill patternType="solid">
        <fgColor rgb="FFFCE5CD"/>
        <bgColor rgb="FFFCE5CD"/>
      </patternFill>
    </fill>
    <fill>
      <patternFill patternType="solid">
        <fgColor theme="0"/>
        <bgColor theme="0"/>
      </patternFill>
    </fill>
  </fills>
  <borders count="54">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right style="medium">
        <color rgb="FF000000"/>
      </right>
    </border>
    <border>
      <bottom style="medium">
        <color rgb="FF000000"/>
      </bottom>
    </border>
    <border>
      <right style="medium">
        <color rgb="FF000000"/>
      </right>
      <bottom style="medium">
        <color rgb="FF000000"/>
      </bottom>
    </border>
    <border>
      <right style="double">
        <color rgb="FF000000"/>
      </right>
    </border>
    <border>
      <right style="thin">
        <color rgb="FF000000"/>
      </right>
    </border>
    <border>
      <right style="medium">
        <color rgb="FF000000"/>
      </right>
    </border>
    <border>
      <right style="thin">
        <color rgb="FF000000"/>
      </right>
      <bottom style="medium">
        <color rgb="FF000000"/>
      </bottom>
    </border>
    <border>
      <left style="thin">
        <color rgb="FF000000"/>
      </left>
    </border>
    <border>
      <left style="medium">
        <color rgb="FF000000"/>
      </left>
      <right style="thin">
        <color rgb="FF000000"/>
      </right>
      <top style="medium">
        <color rgb="FF000000"/>
      </top>
    </border>
    <border>
      <top style="medium">
        <color rgb="FF000000"/>
      </top>
    </border>
    <border>
      <right style="thin">
        <color rgb="FF000000"/>
      </right>
      <top style="medium">
        <color rgb="FF000000"/>
      </top>
    </border>
    <border>
      <right style="medium">
        <color rgb="FF000000"/>
      </right>
      <top style="medium">
        <color rgb="FF000000"/>
      </top>
    </border>
    <border>
      <left style="medium">
        <color rgb="FF000000"/>
      </left>
      <right style="thin">
        <color rgb="FF000000"/>
      </right>
      <bottom style="medium">
        <color rgb="FF000000"/>
      </bottom>
    </border>
    <border>
      <left style="double">
        <color rgb="FF000000"/>
      </left>
    </border>
    <border>
      <left style="medium">
        <color rgb="FF000000"/>
      </left>
      <right style="thin">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ttom style="medium">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top style="medium">
        <color rgb="FF000000"/>
      </top>
    </border>
    <border>
      <left style="medium">
        <color rgb="FF000000"/>
      </lef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thin">
        <color rgb="FF000000"/>
      </left>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713">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Font="1"/>
    <xf borderId="4" fillId="0" fontId="3" numFmtId="0" xfId="0" applyBorder="1" applyFont="1"/>
    <xf borderId="5" fillId="2" fontId="4" numFmtId="0" xfId="0" applyAlignment="1" applyBorder="1" applyFill="1" applyFont="1">
      <alignment horizontal="center"/>
    </xf>
    <xf borderId="5" fillId="0" fontId="2" numFmtId="0" xfId="0" applyBorder="1" applyFont="1"/>
    <xf borderId="6" fillId="0" fontId="2" numFmtId="0" xfId="0" applyBorder="1" applyFont="1"/>
    <xf borderId="7" fillId="0" fontId="3" numFmtId="0" xfId="0" applyBorder="1" applyFont="1"/>
    <xf borderId="8" fillId="3" fontId="4" numFmtId="0" xfId="0" applyAlignment="1" applyBorder="1" applyFill="1" applyFont="1">
      <alignment horizontal="center" vertical="center"/>
    </xf>
    <xf borderId="0" fillId="3" fontId="4" numFmtId="0" xfId="0" applyAlignment="1" applyFont="1">
      <alignment horizontal="center" vertical="center"/>
    </xf>
    <xf borderId="8" fillId="0" fontId="2" numFmtId="0" xfId="0" applyBorder="1" applyFont="1"/>
    <xf borderId="9" fillId="0" fontId="2" numFmtId="0" xfId="0" applyBorder="1" applyFont="1"/>
    <xf borderId="10" fillId="4" fontId="3" numFmtId="0" xfId="0" applyAlignment="1" applyBorder="1" applyFill="1" applyFont="1">
      <alignment horizontal="center" vertical="center"/>
    </xf>
    <xf quotePrefix="1" borderId="5" fillId="4" fontId="3" numFmtId="0" xfId="0" applyAlignment="1" applyBorder="1" applyFont="1">
      <alignment horizontal="center" vertical="center"/>
    </xf>
    <xf borderId="5" fillId="4" fontId="4" numFmtId="0" xfId="0" applyAlignment="1" applyBorder="1" applyFont="1">
      <alignment horizontal="center" vertical="center"/>
    </xf>
    <xf quotePrefix="1" borderId="10" fillId="4" fontId="3" numFmtId="0" xfId="0" applyAlignment="1" applyBorder="1" applyFont="1">
      <alignment horizontal="center" vertical="center"/>
    </xf>
    <xf borderId="5" fillId="4" fontId="3" numFmtId="0" xfId="0" applyAlignment="1" applyBorder="1" applyFont="1">
      <alignment horizontal="center" vertical="center"/>
    </xf>
    <xf quotePrefix="1" borderId="6" fillId="4" fontId="3" numFmtId="0" xfId="0" applyAlignment="1" applyBorder="1" applyFont="1">
      <alignment horizontal="center" vertical="center"/>
    </xf>
    <xf borderId="8" fillId="5" fontId="3" numFmtId="0" xfId="0" applyAlignment="1" applyBorder="1" applyFill="1" applyFont="1">
      <alignment horizontal="center" vertical="center"/>
    </xf>
    <xf borderId="0" fillId="5" fontId="3" numFmtId="3" xfId="0" applyAlignment="1" applyFont="1" applyNumberFormat="1">
      <alignment horizontal="center" vertical="center"/>
    </xf>
    <xf borderId="0" fillId="5" fontId="4" numFmtId="3" xfId="0" applyAlignment="1" applyFont="1" applyNumberFormat="1">
      <alignment horizontal="center" vertical="center"/>
    </xf>
    <xf borderId="8" fillId="5" fontId="3" numFmtId="3" xfId="0" applyAlignment="1" applyBorder="1" applyFont="1" applyNumberFormat="1">
      <alignment horizontal="center" vertical="center"/>
    </xf>
    <xf borderId="0" fillId="5" fontId="3" numFmtId="4" xfId="0" applyAlignment="1" applyFont="1" applyNumberFormat="1">
      <alignment horizontal="center" vertical="center"/>
    </xf>
    <xf borderId="0" fillId="5" fontId="4" numFmtId="4" xfId="0" applyAlignment="1" applyFont="1" applyNumberFormat="1">
      <alignment horizontal="center" readingOrder="0" vertical="center"/>
    </xf>
    <xf borderId="8" fillId="5" fontId="3" numFmtId="4" xfId="0" applyAlignment="1" applyBorder="1" applyFont="1" applyNumberFormat="1">
      <alignment horizontal="center" vertical="center"/>
    </xf>
    <xf borderId="11" fillId="5" fontId="3" numFmtId="4" xfId="0" applyAlignment="1" applyBorder="1" applyFont="1" applyNumberFormat="1">
      <alignment horizontal="center" vertical="center"/>
    </xf>
    <xf borderId="0" fillId="5" fontId="4" numFmtId="4" xfId="0" applyAlignment="1" applyFont="1" applyNumberFormat="1">
      <alignment horizontal="center" vertical="center"/>
    </xf>
    <xf borderId="0" fillId="5" fontId="3" numFmtId="4" xfId="0" applyAlignment="1" applyFont="1" applyNumberFormat="1">
      <alignment horizontal="center" readingOrder="0" vertical="center"/>
    </xf>
    <xf borderId="8" fillId="5" fontId="3" numFmtId="4" xfId="0" applyAlignment="1" applyBorder="1" applyFont="1" applyNumberFormat="1">
      <alignment horizontal="center" readingOrder="0" vertical="center"/>
    </xf>
    <xf borderId="9" fillId="5" fontId="3" numFmtId="4" xfId="0" applyAlignment="1" applyBorder="1" applyFont="1" applyNumberFormat="1">
      <alignment horizontal="center" vertical="center"/>
    </xf>
    <xf borderId="8" fillId="6" fontId="3" numFmtId="0" xfId="0" applyAlignment="1" applyBorder="1" applyFill="1" applyFont="1">
      <alignment horizontal="center" vertical="center"/>
    </xf>
    <xf borderId="0" fillId="6" fontId="3" numFmtId="3" xfId="0" applyAlignment="1" applyFont="1" applyNumberFormat="1">
      <alignment horizontal="center" readingOrder="0" vertical="center"/>
    </xf>
    <xf borderId="0" fillId="6" fontId="4" numFmtId="3" xfId="0" applyAlignment="1" applyFont="1" applyNumberFormat="1">
      <alignment horizontal="center" readingOrder="0" vertical="center"/>
    </xf>
    <xf borderId="8" fillId="6" fontId="3" numFmtId="3" xfId="0" applyAlignment="1" applyBorder="1" applyFont="1" applyNumberFormat="1">
      <alignment horizontal="center" readingOrder="0" vertical="center"/>
    </xf>
    <xf borderId="0" fillId="6" fontId="4" numFmtId="4" xfId="0" applyAlignment="1" applyFont="1" applyNumberFormat="1">
      <alignment horizontal="center" readingOrder="0" vertical="center"/>
    </xf>
    <xf borderId="0" fillId="6" fontId="4" numFmtId="4" xfId="0" applyAlignment="1" applyFont="1" applyNumberFormat="1">
      <alignment horizontal="center" vertical="center"/>
    </xf>
    <xf borderId="0" fillId="6" fontId="3" numFmtId="3" xfId="0" applyAlignment="1" applyFont="1" applyNumberFormat="1">
      <alignment horizontal="center" vertical="center"/>
    </xf>
    <xf borderId="0" fillId="6" fontId="4" numFmtId="3" xfId="0" applyAlignment="1" applyFont="1" applyNumberFormat="1">
      <alignment horizontal="center" vertical="center"/>
    </xf>
    <xf borderId="8" fillId="6" fontId="3" numFmtId="3" xfId="0" applyAlignment="1" applyBorder="1" applyFont="1" applyNumberFormat="1">
      <alignment horizontal="center" vertical="center"/>
    </xf>
    <xf borderId="0" fillId="7" fontId="3" numFmtId="4" xfId="0" applyAlignment="1" applyFill="1" applyFont="1" applyNumberFormat="1">
      <alignment horizontal="center" readingOrder="0" vertical="center"/>
    </xf>
    <xf borderId="0" fillId="7" fontId="4" numFmtId="4" xfId="0" applyAlignment="1" applyFont="1" applyNumberFormat="1">
      <alignment horizontal="center" readingOrder="0" vertical="center"/>
    </xf>
    <xf borderId="8" fillId="7" fontId="3" numFmtId="4" xfId="0" applyAlignment="1" applyBorder="1" applyFont="1" applyNumberFormat="1">
      <alignment horizontal="center" readingOrder="0" vertical="center"/>
    </xf>
    <xf borderId="8" fillId="8" fontId="3" numFmtId="0" xfId="0" applyAlignment="1" applyBorder="1" applyFill="1" applyFont="1">
      <alignment horizontal="center" vertical="center"/>
    </xf>
    <xf borderId="0" fillId="8" fontId="3" numFmtId="3" xfId="0" applyAlignment="1" applyFont="1" applyNumberFormat="1">
      <alignment horizontal="center" vertical="center"/>
    </xf>
    <xf borderId="0" fillId="8" fontId="4" numFmtId="3" xfId="0" applyAlignment="1" applyFont="1" applyNumberFormat="1">
      <alignment horizontal="center" vertical="center"/>
    </xf>
    <xf borderId="8" fillId="8" fontId="3" numFmtId="3" xfId="0" applyAlignment="1" applyBorder="1" applyFont="1" applyNumberFormat="1">
      <alignment horizontal="center" vertical="center"/>
    </xf>
    <xf borderId="0" fillId="8" fontId="4" numFmtId="4" xfId="0" applyAlignment="1" applyFont="1" applyNumberFormat="1">
      <alignment horizontal="center" vertical="center"/>
    </xf>
    <xf borderId="0" fillId="9" fontId="3" numFmtId="4" xfId="0" applyAlignment="1" applyFill="1" applyFont="1" applyNumberFormat="1">
      <alignment horizontal="center" vertical="center"/>
    </xf>
    <xf borderId="0" fillId="9" fontId="4" numFmtId="4" xfId="0" applyAlignment="1" applyFont="1" applyNumberFormat="1">
      <alignment horizontal="center" vertical="center"/>
    </xf>
    <xf borderId="8" fillId="9" fontId="3" numFmtId="4" xfId="0" applyAlignment="1" applyBorder="1" applyFont="1" applyNumberFormat="1">
      <alignment horizontal="center" vertical="center"/>
    </xf>
    <xf borderId="8" fillId="6" fontId="3" numFmtId="0" xfId="0" applyAlignment="1" applyBorder="1" applyFont="1">
      <alignment horizontal="center" readingOrder="0" vertical="center"/>
    </xf>
    <xf borderId="0" fillId="10" fontId="3" numFmtId="4" xfId="0" applyAlignment="1" applyFill="1" applyFont="1" applyNumberFormat="1">
      <alignment horizontal="center" vertical="center"/>
    </xf>
    <xf borderId="0" fillId="10" fontId="4" numFmtId="4" xfId="0" applyAlignment="1" applyFont="1" applyNumberFormat="1">
      <alignment horizontal="center" vertical="center"/>
    </xf>
    <xf borderId="8" fillId="10" fontId="3" numFmtId="4" xfId="0" applyAlignment="1" applyBorder="1" applyFont="1" applyNumberFormat="1">
      <alignment horizontal="center" vertical="center"/>
    </xf>
    <xf borderId="10" fillId="6" fontId="3" numFmtId="0" xfId="0" applyAlignment="1" applyBorder="1" applyFont="1">
      <alignment horizontal="center" vertical="center"/>
    </xf>
    <xf borderId="5" fillId="6" fontId="3" numFmtId="3" xfId="0" applyAlignment="1" applyBorder="1" applyFont="1" applyNumberFormat="1">
      <alignment horizontal="center" vertical="center"/>
    </xf>
    <xf borderId="5" fillId="6" fontId="4" numFmtId="3" xfId="0" applyAlignment="1" applyBorder="1" applyFont="1" applyNumberFormat="1">
      <alignment horizontal="center" vertical="center"/>
    </xf>
    <xf borderId="10" fillId="6" fontId="3" numFmtId="3" xfId="0" applyAlignment="1" applyBorder="1" applyFont="1" applyNumberFormat="1">
      <alignment horizontal="center" vertical="center"/>
    </xf>
    <xf borderId="5" fillId="6" fontId="4" numFmtId="4" xfId="0" applyAlignment="1" applyBorder="1" applyFont="1" applyNumberFormat="1">
      <alignment horizontal="center" readingOrder="0" vertical="center"/>
    </xf>
    <xf borderId="5" fillId="6" fontId="4" numFmtId="4" xfId="0" applyAlignment="1" applyBorder="1" applyFont="1" applyNumberFormat="1">
      <alignment horizontal="center" vertical="center"/>
    </xf>
    <xf borderId="0" fillId="0" fontId="3" numFmtId="0" xfId="0" applyAlignment="1" applyFont="1">
      <alignment vertical="bottom"/>
    </xf>
    <xf borderId="12" fillId="3" fontId="4" numFmtId="0" xfId="0" applyAlignment="1" applyBorder="1" applyFont="1">
      <alignment horizontal="center" vertical="center"/>
    </xf>
    <xf borderId="13" fillId="3" fontId="3" numFmtId="4" xfId="0" applyAlignment="1" applyBorder="1" applyFont="1" applyNumberFormat="1">
      <alignment horizontal="center" vertical="center"/>
    </xf>
    <xf borderId="13" fillId="3" fontId="4" numFmtId="4" xfId="0" applyAlignment="1" applyBorder="1" applyFont="1" applyNumberFormat="1">
      <alignment horizontal="center" vertical="center"/>
    </xf>
    <xf borderId="14" fillId="3" fontId="3" numFmtId="4" xfId="0" applyAlignment="1" applyBorder="1" applyFont="1" applyNumberFormat="1">
      <alignment horizontal="center" vertical="center"/>
    </xf>
    <xf borderId="15" fillId="3" fontId="3" numFmtId="4" xfId="0" applyAlignment="1" applyBorder="1" applyFont="1" applyNumberFormat="1">
      <alignment horizontal="center" vertical="center"/>
    </xf>
    <xf borderId="16" fillId="11" fontId="4" numFmtId="0" xfId="0" applyAlignment="1" applyBorder="1" applyFill="1" applyFont="1">
      <alignment horizontal="center" vertical="center"/>
    </xf>
    <xf borderId="5" fillId="11" fontId="3" numFmtId="4" xfId="0" applyAlignment="1" applyBorder="1" applyFont="1" applyNumberFormat="1">
      <alignment horizontal="center" vertical="center"/>
    </xf>
    <xf borderId="5" fillId="11" fontId="4" numFmtId="4" xfId="0" applyAlignment="1" applyBorder="1" applyFont="1" applyNumberFormat="1">
      <alignment horizontal="center" vertical="center"/>
    </xf>
    <xf borderId="10" fillId="11" fontId="3" numFmtId="4" xfId="0" applyAlignment="1" applyBorder="1" applyFont="1" applyNumberFormat="1">
      <alignment horizontal="center" vertical="center"/>
    </xf>
    <xf borderId="6" fillId="11" fontId="3" numFmtId="4" xfId="0" applyAlignment="1" applyBorder="1" applyFont="1" applyNumberFormat="1">
      <alignment horizontal="center" vertical="center"/>
    </xf>
    <xf borderId="17" fillId="0" fontId="3" numFmtId="0" xfId="0" applyBorder="1" applyFont="1"/>
    <xf borderId="0" fillId="5" fontId="3" numFmtId="0" xfId="0" applyFont="1"/>
    <xf borderId="0" fillId="5" fontId="5" numFmtId="0" xfId="0" applyAlignment="1" applyFont="1">
      <alignment horizontal="center"/>
    </xf>
    <xf borderId="0" fillId="5" fontId="4" numFmtId="4" xfId="0" applyAlignment="1" applyFont="1" applyNumberFormat="1">
      <alignment horizontal="center"/>
    </xf>
    <xf borderId="0" fillId="5" fontId="3" numFmtId="0" xfId="0" applyAlignment="1" applyFont="1">
      <alignment horizontal="center"/>
    </xf>
    <xf borderId="0" fillId="5" fontId="4" numFmtId="0" xfId="0" applyAlignment="1" applyFont="1">
      <alignment horizontal="center"/>
    </xf>
    <xf borderId="18" fillId="4" fontId="6" numFmtId="0" xfId="0" applyAlignment="1" applyBorder="1" applyFont="1">
      <alignment horizontal="center" vertical="center"/>
    </xf>
    <xf quotePrefix="1" borderId="13" fillId="4" fontId="4" numFmtId="0" xfId="0" applyAlignment="1" applyBorder="1" applyFont="1">
      <alignment horizontal="center" readingOrder="0" vertical="center"/>
    </xf>
    <xf borderId="13" fillId="4" fontId="4" numFmtId="0" xfId="0" applyAlignment="1" applyBorder="1" applyFont="1">
      <alignment horizontal="center" readingOrder="0" vertical="center"/>
    </xf>
    <xf quotePrefix="1" borderId="15" fillId="4" fontId="4" numFmtId="0" xfId="0" applyAlignment="1" applyBorder="1" applyFont="1">
      <alignment horizontal="center" readingOrder="0" vertical="center"/>
    </xf>
    <xf borderId="19" fillId="4" fontId="7" numFmtId="0" xfId="0" applyAlignment="1" applyBorder="1" applyFont="1">
      <alignment horizontal="center" readingOrder="0" vertical="center"/>
    </xf>
    <xf borderId="20" fillId="12" fontId="2" numFmtId="0" xfId="0" applyBorder="1" applyFill="1" applyFont="1"/>
    <xf borderId="21" fillId="4" fontId="8" numFmtId="0" xfId="0" applyAlignment="1" applyBorder="1" applyFont="1">
      <alignment horizontal="center" readingOrder="0" vertical="center"/>
    </xf>
    <xf borderId="22" fillId="5" fontId="3" numFmtId="0" xfId="0" applyAlignment="1" applyBorder="1" applyFont="1">
      <alignment horizontal="center" vertical="center"/>
    </xf>
    <xf borderId="23" fillId="5" fontId="3" numFmtId="0" xfId="0" applyAlignment="1" applyBorder="1" applyFont="1">
      <alignment horizontal="center" vertical="center"/>
    </xf>
    <xf borderId="24" fillId="5" fontId="3" numFmtId="0" xfId="0" applyAlignment="1" applyBorder="1" applyFont="1">
      <alignment horizontal="center" vertical="center"/>
    </xf>
    <xf borderId="25" fillId="5" fontId="9" numFmtId="0" xfId="0" applyAlignment="1" applyBorder="1" applyFont="1">
      <alignment horizontal="left" readingOrder="0" vertical="center"/>
    </xf>
    <xf borderId="26" fillId="5" fontId="3" numFmtId="0" xfId="0" applyAlignment="1" applyBorder="1" applyFont="1">
      <alignment horizontal="center" vertical="center"/>
    </xf>
    <xf borderId="27" fillId="5" fontId="3" numFmtId="0" xfId="0" applyAlignment="1" applyBorder="1" applyFont="1">
      <alignment horizontal="center" vertical="center"/>
    </xf>
    <xf borderId="28" fillId="5" fontId="3" numFmtId="0" xfId="0" applyAlignment="1" applyBorder="1" applyFont="1">
      <alignment horizontal="center" vertical="center"/>
    </xf>
    <xf borderId="25" fillId="6" fontId="3" numFmtId="0" xfId="0" applyAlignment="1" applyBorder="1" applyFont="1">
      <alignment horizontal="left" readingOrder="0" vertical="center"/>
    </xf>
    <xf borderId="11" fillId="6" fontId="3" numFmtId="0" xfId="0" applyAlignment="1" applyBorder="1" applyFont="1">
      <alignment horizontal="center" vertical="center"/>
    </xf>
    <xf borderId="0" fillId="6" fontId="3" numFmtId="0" xfId="0" applyAlignment="1" applyFont="1">
      <alignment horizontal="center" vertical="center"/>
    </xf>
    <xf borderId="9" fillId="6" fontId="3" numFmtId="0" xfId="0" applyAlignment="1" applyBorder="1" applyFont="1">
      <alignment horizontal="center" vertical="center"/>
    </xf>
    <xf borderId="21" fillId="5" fontId="3" numFmtId="0" xfId="0" applyAlignment="1" applyBorder="1" applyFont="1">
      <alignment horizontal="left" readingOrder="0" vertical="center"/>
    </xf>
    <xf borderId="5" fillId="5" fontId="2" numFmtId="0" xfId="0" applyBorder="1" applyFont="1"/>
    <xf borderId="29" fillId="5" fontId="3" numFmtId="0" xfId="0" applyAlignment="1" applyBorder="1" applyFont="1">
      <alignment horizontal="center" vertical="center"/>
    </xf>
    <xf borderId="5" fillId="5" fontId="3" numFmtId="0" xfId="0" applyAlignment="1" applyBorder="1" applyFont="1">
      <alignment horizontal="center" vertical="center"/>
    </xf>
    <xf borderId="6" fillId="5" fontId="3" numFmtId="0" xfId="0" applyAlignment="1" applyBorder="1" applyFont="1">
      <alignment horizontal="center" vertical="center"/>
    </xf>
    <xf borderId="30" fillId="0" fontId="3" numFmtId="0" xfId="0" applyBorder="1" applyFont="1"/>
    <xf borderId="31" fillId="5" fontId="3" numFmtId="0" xfId="0" applyBorder="1" applyFont="1"/>
    <xf borderId="31" fillId="5" fontId="5" numFmtId="0" xfId="0" applyAlignment="1" applyBorder="1" applyFont="1">
      <alignment horizontal="center"/>
    </xf>
    <xf borderId="31" fillId="5" fontId="4" numFmtId="4" xfId="0" applyAlignment="1" applyBorder="1" applyFont="1" applyNumberFormat="1">
      <alignment horizontal="center"/>
    </xf>
    <xf borderId="31" fillId="5" fontId="3" numFmtId="0" xfId="0" applyAlignment="1" applyBorder="1" applyFont="1">
      <alignment horizontal="center"/>
    </xf>
    <xf borderId="31" fillId="5" fontId="4" numFmtId="0" xfId="0" applyAlignment="1" applyBorder="1" applyFont="1">
      <alignment horizontal="center"/>
    </xf>
    <xf borderId="32" fillId="0" fontId="3" numFmtId="0" xfId="0" applyBorder="1" applyFont="1"/>
    <xf borderId="17" fillId="0" fontId="3" numFmtId="0" xfId="0" applyAlignment="1" applyBorder="1" applyFont="1">
      <alignment vertical="bottom"/>
    </xf>
    <xf borderId="5" fillId="0" fontId="3" numFmtId="0" xfId="0" applyAlignment="1" applyBorder="1" applyFont="1">
      <alignment vertical="bottom"/>
    </xf>
    <xf borderId="7" fillId="0" fontId="3" numFmtId="0" xfId="0" applyAlignment="1" applyBorder="1" applyFont="1">
      <alignment vertical="bottom"/>
    </xf>
    <xf borderId="4" fillId="0" fontId="3" numFmtId="0" xfId="0" applyAlignment="1" applyBorder="1" applyFont="1">
      <alignment vertical="bottom"/>
    </xf>
    <xf borderId="9" fillId="0" fontId="3" numFmtId="0" xfId="0" applyBorder="1" applyFont="1"/>
    <xf borderId="0" fillId="3" fontId="10" numFmtId="0" xfId="0" applyAlignment="1" applyFont="1">
      <alignment horizontal="center"/>
    </xf>
    <xf borderId="0" fillId="3" fontId="4" numFmtId="0" xfId="0" applyAlignment="1" applyFont="1">
      <alignment horizontal="center"/>
    </xf>
    <xf borderId="0" fillId="5" fontId="3" numFmtId="0" xfId="0" applyFont="1"/>
    <xf borderId="9" fillId="5" fontId="3" numFmtId="164" xfId="0" applyAlignment="1" applyBorder="1" applyFont="1" applyNumberFormat="1">
      <alignment horizontal="center"/>
    </xf>
    <xf borderId="0" fillId="5" fontId="3" numFmtId="164" xfId="0" applyFont="1" applyNumberFormat="1"/>
    <xf borderId="9" fillId="5" fontId="3" numFmtId="4" xfId="0" applyAlignment="1" applyBorder="1" applyFont="1" applyNumberFormat="1">
      <alignment horizontal="center" readingOrder="0"/>
    </xf>
    <xf quotePrefix="1" borderId="5" fillId="3" fontId="3" numFmtId="0" xfId="0" applyAlignment="1" applyBorder="1" applyFont="1">
      <alignment horizontal="center"/>
    </xf>
    <xf borderId="5" fillId="3" fontId="4" numFmtId="0" xfId="0" applyAlignment="1" applyBorder="1" applyFont="1">
      <alignment horizontal="center"/>
    </xf>
    <xf quotePrefix="1" borderId="6" fillId="3" fontId="3" numFmtId="0" xfId="0" applyAlignment="1" applyBorder="1" applyFont="1">
      <alignment horizontal="center"/>
    </xf>
    <xf borderId="0" fillId="6" fontId="3" numFmtId="0" xfId="0" applyFont="1"/>
    <xf borderId="9" fillId="6" fontId="3" numFmtId="0" xfId="0" applyAlignment="1" applyBorder="1" applyFont="1">
      <alignment horizontal="center"/>
    </xf>
    <xf borderId="0" fillId="6" fontId="8" numFmtId="0" xfId="0" applyFont="1"/>
    <xf borderId="25" fillId="5" fontId="3" numFmtId="0" xfId="0" applyBorder="1" applyFont="1"/>
    <xf borderId="8" fillId="5" fontId="2" numFmtId="0" xfId="0" applyBorder="1" applyFont="1"/>
    <xf borderId="0" fillId="13" fontId="4" numFmtId="164" xfId="0" applyAlignment="1" applyFill="1" applyFont="1" applyNumberFormat="1">
      <alignment horizontal="center" vertical="center"/>
    </xf>
    <xf borderId="0" fillId="14" fontId="4" numFmtId="164" xfId="0" applyAlignment="1" applyFill="1" applyFont="1" applyNumberFormat="1">
      <alignment horizontal="center" vertical="center"/>
    </xf>
    <xf borderId="9" fillId="14" fontId="4" numFmtId="164" xfId="0" applyAlignment="1" applyBorder="1" applyFont="1" applyNumberFormat="1">
      <alignment horizontal="center" vertical="center"/>
    </xf>
    <xf borderId="9" fillId="15" fontId="3" numFmtId="0" xfId="0" applyAlignment="1" applyBorder="1" applyFill="1" applyFont="1">
      <alignment horizontal="center" readingOrder="0"/>
    </xf>
    <xf borderId="9" fillId="5" fontId="3" numFmtId="3" xfId="0" applyAlignment="1" applyBorder="1" applyFont="1" applyNumberFormat="1">
      <alignment horizontal="center" readingOrder="0"/>
    </xf>
    <xf borderId="25" fillId="6" fontId="3" numFmtId="0" xfId="0" applyBorder="1" applyFont="1"/>
    <xf borderId="8" fillId="6" fontId="2" numFmtId="0" xfId="0" applyBorder="1" applyFont="1"/>
    <xf borderId="0" fillId="13" fontId="4" numFmtId="4" xfId="0" applyAlignment="1" applyFont="1" applyNumberFormat="1">
      <alignment horizontal="center" vertical="center"/>
    </xf>
    <xf borderId="0" fillId="14" fontId="4" numFmtId="4" xfId="0" applyAlignment="1" applyFont="1" applyNumberFormat="1">
      <alignment horizontal="center" vertical="center"/>
    </xf>
    <xf borderId="9" fillId="14" fontId="4" numFmtId="4" xfId="0" applyAlignment="1" applyBorder="1" applyFont="1" applyNumberFormat="1">
      <alignment horizontal="center" vertical="center"/>
    </xf>
    <xf borderId="5" fillId="6" fontId="8" numFmtId="0" xfId="0" applyBorder="1" applyFont="1"/>
    <xf borderId="5" fillId="6" fontId="2" numFmtId="0" xfId="0" applyBorder="1" applyFont="1"/>
    <xf borderId="6" fillId="6" fontId="3" numFmtId="10" xfId="0" applyAlignment="1" applyBorder="1" applyFont="1" applyNumberFormat="1">
      <alignment horizontal="center" readingOrder="0"/>
    </xf>
    <xf borderId="5" fillId="6" fontId="8" numFmtId="164" xfId="0" applyBorder="1" applyFont="1" applyNumberFormat="1"/>
    <xf borderId="6" fillId="5" fontId="3" numFmtId="164" xfId="0" applyAlignment="1" applyBorder="1" applyFont="1" applyNumberFormat="1">
      <alignment horizontal="center" readingOrder="0"/>
    </xf>
    <xf borderId="25" fillId="5" fontId="3" numFmtId="0" xfId="0" applyAlignment="1" applyBorder="1" applyFont="1">
      <alignment readingOrder="0"/>
    </xf>
    <xf borderId="5" fillId="0" fontId="3" numFmtId="0" xfId="0" applyBorder="1" applyFont="1"/>
    <xf borderId="25" fillId="6" fontId="3" numFmtId="0" xfId="0" applyAlignment="1" applyBorder="1" applyFont="1">
      <alignment readingOrder="0"/>
    </xf>
    <xf borderId="0" fillId="13" fontId="4" numFmtId="10" xfId="0" applyAlignment="1" applyFont="1" applyNumberFormat="1">
      <alignment horizontal="center" vertical="center"/>
    </xf>
    <xf borderId="0" fillId="14" fontId="4" numFmtId="10" xfId="0" applyAlignment="1" applyFont="1" applyNumberFormat="1">
      <alignment horizontal="center" vertical="center"/>
    </xf>
    <xf borderId="9" fillId="14" fontId="4" numFmtId="10" xfId="0" applyAlignment="1" applyBorder="1" applyFont="1" applyNumberFormat="1">
      <alignment horizontal="center" vertical="center"/>
    </xf>
    <xf borderId="33" fillId="3" fontId="4" numFmtId="0" xfId="0" applyAlignment="1" applyBorder="1" applyFont="1">
      <alignment horizontal="center"/>
    </xf>
    <xf borderId="13" fillId="0" fontId="2" numFmtId="0" xfId="0" applyBorder="1" applyFont="1"/>
    <xf borderId="15" fillId="0" fontId="2" numFmtId="0" xfId="0" applyBorder="1" applyFont="1"/>
    <xf borderId="11" fillId="13" fontId="3" numFmtId="4" xfId="0" applyAlignment="1" applyBorder="1" applyFont="1" applyNumberFormat="1">
      <alignment horizontal="center" vertical="center"/>
    </xf>
    <xf borderId="0" fillId="13" fontId="3" numFmtId="4" xfId="0" applyAlignment="1" applyFont="1" applyNumberFormat="1">
      <alignment horizontal="center" vertical="center"/>
    </xf>
    <xf borderId="0" fillId="14" fontId="3" numFmtId="4" xfId="0" applyAlignment="1" applyFont="1" applyNumberFormat="1">
      <alignment horizontal="center" vertical="center"/>
    </xf>
    <xf borderId="9" fillId="14" fontId="3" numFmtId="4" xfId="0" applyAlignment="1" applyBorder="1" applyFont="1" applyNumberFormat="1">
      <alignment horizontal="center" vertical="center"/>
    </xf>
    <xf borderId="34" fillId="5" fontId="3" numFmtId="0" xfId="0" applyAlignment="1" applyBorder="1" applyFont="1">
      <alignment readingOrder="0"/>
    </xf>
    <xf borderId="27" fillId="5" fontId="2" numFmtId="0" xfId="0" applyBorder="1" applyFont="1"/>
    <xf borderId="28" fillId="5" fontId="3" numFmtId="165" xfId="0" applyAlignment="1" applyBorder="1" applyFont="1" applyNumberFormat="1">
      <alignment horizontal="center" vertical="center"/>
    </xf>
    <xf borderId="35" fillId="6" fontId="3" numFmtId="0" xfId="0" applyBorder="1" applyFont="1"/>
    <xf borderId="36" fillId="6" fontId="2" numFmtId="0" xfId="0" applyBorder="1" applyFont="1"/>
    <xf borderId="37" fillId="6" fontId="3" numFmtId="165" xfId="0" applyAlignment="1" applyBorder="1" applyFont="1" applyNumberFormat="1">
      <alignment horizontal="center" vertical="center"/>
    </xf>
    <xf borderId="11" fillId="13" fontId="4" numFmtId="4" xfId="0" applyAlignment="1" applyBorder="1" applyFont="1" applyNumberFormat="1">
      <alignment horizontal="center" vertical="center"/>
    </xf>
    <xf borderId="35" fillId="6" fontId="6" numFmtId="0" xfId="0" applyAlignment="1" applyBorder="1" applyFont="1">
      <alignment readingOrder="0"/>
    </xf>
    <xf borderId="38" fillId="13" fontId="6" numFmtId="4" xfId="0" applyAlignment="1" applyBorder="1" applyFont="1" applyNumberFormat="1">
      <alignment horizontal="center" vertical="center"/>
    </xf>
    <xf borderId="36" fillId="13" fontId="6" numFmtId="4" xfId="0" applyAlignment="1" applyBorder="1" applyFont="1" applyNumberFormat="1">
      <alignment horizontal="center" vertical="center"/>
    </xf>
    <xf borderId="36" fillId="14" fontId="6" numFmtId="4" xfId="0" applyAlignment="1" applyBorder="1" applyFont="1" applyNumberFormat="1">
      <alignment horizontal="center" vertical="center"/>
    </xf>
    <xf borderId="37" fillId="14" fontId="6" numFmtId="4" xfId="0" applyAlignment="1" applyBorder="1" applyFont="1" applyNumberFormat="1">
      <alignment horizontal="center" vertical="center"/>
    </xf>
    <xf borderId="0" fillId="0" fontId="3" numFmtId="166" xfId="0" applyFont="1" applyNumberFormat="1"/>
    <xf borderId="9" fillId="6" fontId="3" numFmtId="165" xfId="0" applyAlignment="1" applyBorder="1" applyFont="1" applyNumberFormat="1">
      <alignment horizontal="center" readingOrder="0" vertical="center"/>
    </xf>
    <xf borderId="9" fillId="5" fontId="3" numFmtId="165" xfId="0" applyAlignment="1" applyBorder="1" applyFont="1" applyNumberFormat="1">
      <alignment horizontal="center" vertical="center"/>
    </xf>
    <xf borderId="21" fillId="6" fontId="3" numFmtId="0" xfId="0" applyBorder="1" applyFont="1"/>
    <xf borderId="10" fillId="6" fontId="2" numFmtId="0" xfId="0" applyBorder="1" applyFont="1"/>
    <xf borderId="5" fillId="13" fontId="4" numFmtId="4" xfId="0" applyAlignment="1" applyBorder="1" applyFont="1" applyNumberFormat="1">
      <alignment horizontal="center" vertical="center"/>
    </xf>
    <xf borderId="5" fillId="14" fontId="4" numFmtId="4" xfId="0" applyAlignment="1" applyBorder="1" applyFont="1" applyNumberFormat="1">
      <alignment horizontal="center" vertical="center"/>
    </xf>
    <xf borderId="6" fillId="14" fontId="4" numFmtId="4" xfId="0" applyAlignment="1" applyBorder="1" applyFont="1" applyNumberFormat="1">
      <alignment horizontal="center" vertical="center"/>
    </xf>
    <xf borderId="0" fillId="0" fontId="3" numFmtId="165" xfId="0" applyFont="1" applyNumberFormat="1"/>
    <xf borderId="35" fillId="6" fontId="3" numFmtId="0" xfId="0" applyAlignment="1" applyBorder="1" applyFont="1">
      <alignment readingOrder="0"/>
    </xf>
    <xf borderId="34" fillId="5" fontId="6" numFmtId="0" xfId="0" applyAlignment="1" applyBorder="1" applyFont="1">
      <alignment readingOrder="0"/>
    </xf>
    <xf borderId="28" fillId="5" fontId="6" numFmtId="0" xfId="0" applyAlignment="1" applyBorder="1" applyFont="1">
      <alignment horizontal="center" readingOrder="0" vertical="center"/>
    </xf>
    <xf borderId="25" fillId="6" fontId="6" numFmtId="0" xfId="0" applyAlignment="1" applyBorder="1" applyFont="1">
      <alignment readingOrder="0"/>
    </xf>
    <xf borderId="9" fillId="6" fontId="6" numFmtId="0" xfId="0" applyAlignment="1" applyBorder="1" applyFont="1">
      <alignment horizontal="center" vertical="center"/>
    </xf>
    <xf borderId="28" fillId="5" fontId="6" numFmtId="0" xfId="0" applyAlignment="1" applyBorder="1" applyFont="1">
      <alignment horizontal="center" vertical="center"/>
    </xf>
    <xf borderId="9" fillId="6" fontId="3" numFmtId="165" xfId="0" applyAlignment="1" applyBorder="1" applyFont="1" applyNumberFormat="1">
      <alignment horizontal="center" vertical="center"/>
    </xf>
    <xf borderId="36" fillId="5" fontId="2" numFmtId="0" xfId="0" applyBorder="1" applyFont="1"/>
    <xf borderId="34" fillId="6" fontId="3" numFmtId="0" xfId="0" applyBorder="1" applyFont="1"/>
    <xf borderId="27" fillId="6" fontId="2" numFmtId="0" xfId="0" applyBorder="1" applyFont="1"/>
    <xf borderId="28" fillId="6" fontId="3" numFmtId="165" xfId="0" applyAlignment="1" applyBorder="1" applyFont="1" applyNumberFormat="1">
      <alignment horizontal="center" vertical="center"/>
    </xf>
    <xf borderId="21" fillId="5" fontId="3" numFmtId="0" xfId="0" applyBorder="1" applyFont="1"/>
    <xf borderId="6" fillId="5" fontId="3" numFmtId="165" xfId="0" applyAlignment="1" applyBorder="1" applyFont="1" applyNumberFormat="1">
      <alignment horizontal="center" vertical="center"/>
    </xf>
    <xf borderId="0" fillId="5" fontId="3" numFmtId="165" xfId="0" applyAlignment="1" applyFont="1" applyNumberFormat="1">
      <alignment horizontal="center"/>
    </xf>
    <xf borderId="30" fillId="0" fontId="3" numFmtId="0" xfId="0" applyAlignment="1" applyBorder="1" applyFont="1">
      <alignment vertical="bottom"/>
    </xf>
    <xf borderId="31" fillId="0" fontId="3" numFmtId="0" xfId="0" applyBorder="1" applyFont="1"/>
    <xf borderId="31" fillId="5" fontId="3" numFmtId="0" xfId="0" applyBorder="1" applyFont="1"/>
    <xf borderId="31" fillId="0" fontId="3" numFmtId="0" xfId="0" applyAlignment="1" applyBorder="1" applyFont="1">
      <alignment vertical="bottom"/>
    </xf>
    <xf borderId="32" fillId="0" fontId="3" numFmtId="0" xfId="0" applyAlignment="1" applyBorder="1" applyFont="1">
      <alignment vertical="bottom"/>
    </xf>
    <xf borderId="5" fillId="5" fontId="3" numFmtId="164" xfId="0" applyBorder="1" applyFont="1" applyNumberFormat="1"/>
    <xf borderId="9" fillId="5" fontId="3" numFmtId="0" xfId="0" applyBorder="1" applyFont="1"/>
    <xf borderId="5" fillId="3" fontId="3" numFmtId="0" xfId="0" applyAlignment="1" applyBorder="1" applyFont="1">
      <alignment horizontal="center"/>
    </xf>
    <xf borderId="0" fillId="5" fontId="3" numFmtId="166" xfId="0" applyFont="1" applyNumberFormat="1"/>
    <xf borderId="9" fillId="5" fontId="2" numFmtId="0" xfId="0" applyBorder="1" applyFont="1"/>
    <xf borderId="0" fillId="5" fontId="3" numFmtId="4" xfId="0" applyAlignment="1" applyFont="1" applyNumberFormat="1">
      <alignment horizontal="center" vertical="center"/>
    </xf>
    <xf borderId="9" fillId="5" fontId="3" numFmtId="4" xfId="0" applyAlignment="1" applyBorder="1" applyFont="1" applyNumberFormat="1">
      <alignment horizontal="center" vertical="center"/>
    </xf>
    <xf borderId="9" fillId="5" fontId="3" numFmtId="0" xfId="0" applyBorder="1" applyFont="1"/>
    <xf borderId="33" fillId="5" fontId="3" numFmtId="164" xfId="0" applyAlignment="1" applyBorder="1" applyFont="1" applyNumberFormat="1">
      <alignment horizontal="center" vertical="center"/>
    </xf>
    <xf borderId="13" fillId="5" fontId="3" numFmtId="164" xfId="0" applyAlignment="1" applyBorder="1" applyFont="1" applyNumberFormat="1">
      <alignment horizontal="center" vertical="center"/>
    </xf>
    <xf borderId="15" fillId="5" fontId="3" numFmtId="164" xfId="0" applyAlignment="1" applyBorder="1" applyFont="1" applyNumberFormat="1">
      <alignment horizontal="center" vertical="center"/>
    </xf>
    <xf borderId="0" fillId="6" fontId="3" numFmtId="166" xfId="0" applyFont="1" applyNumberFormat="1"/>
    <xf borderId="9" fillId="6" fontId="2" numFmtId="0" xfId="0" applyBorder="1" applyFont="1"/>
    <xf borderId="0" fillId="6" fontId="3" numFmtId="4" xfId="0" applyAlignment="1" applyFont="1" applyNumberFormat="1">
      <alignment horizontal="center" vertical="center"/>
    </xf>
    <xf borderId="9" fillId="6" fontId="3" numFmtId="4" xfId="0" applyAlignment="1" applyBorder="1" applyFont="1" applyNumberFormat="1">
      <alignment horizontal="center" vertical="center"/>
    </xf>
    <xf borderId="9" fillId="5" fontId="3" numFmtId="164" xfId="0" applyBorder="1" applyFont="1" applyNumberFormat="1"/>
    <xf borderId="25" fillId="6" fontId="3" numFmtId="164" xfId="0" applyAlignment="1" applyBorder="1" applyFont="1" applyNumberFormat="1">
      <alignment horizontal="center" vertical="center"/>
    </xf>
    <xf borderId="0" fillId="6" fontId="3" numFmtId="164" xfId="0" applyAlignment="1" applyFont="1" applyNumberFormat="1">
      <alignment horizontal="center" vertical="center"/>
    </xf>
    <xf borderId="9" fillId="6" fontId="3" numFmtId="164" xfId="0" applyAlignment="1" applyBorder="1" applyFont="1" applyNumberFormat="1">
      <alignment horizontal="center" vertical="center"/>
    </xf>
    <xf borderId="5" fillId="5" fontId="3" numFmtId="166" xfId="0" applyBorder="1" applyFont="1" applyNumberFormat="1"/>
    <xf borderId="6" fillId="5" fontId="2" numFmtId="0" xfId="0" applyBorder="1" applyFont="1"/>
    <xf borderId="21" fillId="5" fontId="3" numFmtId="164" xfId="0" applyAlignment="1" applyBorder="1" applyFont="1" applyNumberFormat="1">
      <alignment horizontal="center" vertical="center"/>
    </xf>
    <xf borderId="5" fillId="5" fontId="3" numFmtId="164" xfId="0" applyAlignment="1" applyBorder="1" applyFont="1" applyNumberFormat="1">
      <alignment horizontal="center" vertical="center"/>
    </xf>
    <xf borderId="6" fillId="5" fontId="3" numFmtId="164" xfId="0" applyAlignment="1" applyBorder="1" applyFont="1" applyNumberFormat="1">
      <alignment horizontal="center" vertical="center"/>
    </xf>
    <xf borderId="5" fillId="6" fontId="3" numFmtId="166" xfId="0" applyBorder="1" applyFont="1" applyNumberFormat="1"/>
    <xf borderId="6" fillId="6" fontId="2" numFmtId="0" xfId="0" applyBorder="1" applyFont="1"/>
    <xf borderId="5" fillId="15" fontId="3" numFmtId="4" xfId="0" applyAlignment="1" applyBorder="1" applyFont="1" applyNumberFormat="1">
      <alignment horizontal="center" readingOrder="0" vertical="center"/>
    </xf>
    <xf borderId="6" fillId="15" fontId="3" numFmtId="4" xfId="0" applyAlignment="1" applyBorder="1" applyFont="1" applyNumberFormat="1">
      <alignment horizontal="center" readingOrder="0" vertical="center"/>
    </xf>
    <xf borderId="0" fillId="5" fontId="3" numFmtId="4" xfId="0" applyFont="1" applyNumberFormat="1"/>
    <xf borderId="5" fillId="3" fontId="11" numFmtId="0" xfId="0" applyAlignment="1" applyBorder="1" applyFont="1">
      <alignment horizontal="center"/>
    </xf>
    <xf borderId="5" fillId="5" fontId="3" numFmtId="0" xfId="0" applyAlignment="1" applyBorder="1" applyFont="1">
      <alignment horizontal="center"/>
    </xf>
    <xf borderId="6" fillId="5" fontId="3" numFmtId="0" xfId="0" applyAlignment="1" applyBorder="1" applyFont="1">
      <alignment horizontal="center"/>
    </xf>
    <xf borderId="5" fillId="3" fontId="4" numFmtId="0" xfId="0" applyAlignment="1" applyBorder="1" applyFont="1">
      <alignment horizontal="center" vertical="center"/>
    </xf>
    <xf quotePrefix="1" borderId="0" fillId="3" fontId="3" numFmtId="0" xfId="0" applyAlignment="1" applyFont="1">
      <alignment horizontal="center"/>
    </xf>
    <xf borderId="0" fillId="3" fontId="3" numFmtId="0" xfId="0" applyAlignment="1" applyFont="1">
      <alignment horizontal="center"/>
    </xf>
    <xf quotePrefix="1" borderId="9" fillId="3" fontId="3" numFmtId="0" xfId="0" applyAlignment="1" applyBorder="1" applyFont="1">
      <alignment horizontal="center"/>
    </xf>
    <xf borderId="9" fillId="3" fontId="4" numFmtId="0" xfId="0" applyAlignment="1" applyBorder="1" applyFont="1">
      <alignment horizontal="center" vertical="center"/>
    </xf>
    <xf quotePrefix="1" borderId="0" fillId="3" fontId="3" numFmtId="0" xfId="0" applyAlignment="1" applyFont="1">
      <alignment horizontal="center" vertical="center"/>
    </xf>
    <xf borderId="0" fillId="3" fontId="3" numFmtId="0" xfId="0" applyAlignment="1" applyFont="1">
      <alignment horizontal="center" vertical="center"/>
    </xf>
    <xf quotePrefix="1" borderId="9" fillId="3" fontId="3" numFmtId="0" xfId="0" applyAlignment="1" applyBorder="1" applyFont="1">
      <alignment horizontal="center" vertical="center"/>
    </xf>
    <xf borderId="0" fillId="5" fontId="3" numFmtId="4" xfId="0" applyAlignment="1" applyFont="1" applyNumberFormat="1">
      <alignment horizontal="center" readingOrder="0" vertical="center"/>
    </xf>
    <xf borderId="0" fillId="5" fontId="3" numFmtId="0" xfId="0" applyAlignment="1" applyFont="1">
      <alignment horizontal="center" vertical="center"/>
    </xf>
    <xf borderId="0" fillId="5" fontId="3" numFmtId="0" xfId="0" applyAlignment="1" applyFont="1">
      <alignment horizontal="center" readingOrder="0" vertical="center"/>
    </xf>
    <xf borderId="9" fillId="5" fontId="3" numFmtId="0" xfId="0" applyAlignment="1" applyBorder="1" applyFont="1">
      <alignment horizontal="center" vertical="center"/>
    </xf>
    <xf borderId="0" fillId="5" fontId="3" numFmtId="10" xfId="0" applyAlignment="1" applyFont="1" applyNumberFormat="1">
      <alignment horizontal="center" vertical="center"/>
    </xf>
    <xf borderId="9" fillId="5" fontId="3" numFmtId="10" xfId="0" applyAlignment="1" applyBorder="1" applyFont="1" applyNumberFormat="1">
      <alignment horizontal="center" vertical="center"/>
    </xf>
    <xf borderId="0" fillId="6" fontId="3" numFmtId="4" xfId="0" applyAlignment="1" applyFont="1" applyNumberFormat="1">
      <alignment horizontal="center" readingOrder="0" vertical="center"/>
    </xf>
    <xf borderId="0" fillId="6" fontId="3" numFmtId="0" xfId="0" applyAlignment="1" applyFont="1">
      <alignment horizontal="center" vertical="center"/>
    </xf>
    <xf borderId="0" fillId="6" fontId="3" numFmtId="0" xfId="0" applyAlignment="1" applyFont="1">
      <alignment horizontal="center" readingOrder="0" vertical="center"/>
    </xf>
    <xf borderId="9" fillId="6" fontId="3" numFmtId="0" xfId="0" applyAlignment="1" applyBorder="1" applyFont="1">
      <alignment horizontal="center" vertical="center"/>
    </xf>
    <xf borderId="0" fillId="6" fontId="3" numFmtId="10" xfId="0" applyAlignment="1" applyFont="1" applyNumberFormat="1">
      <alignment horizontal="center" vertical="center"/>
    </xf>
    <xf borderId="9" fillId="6" fontId="3" numFmtId="10" xfId="0" applyAlignment="1" applyBorder="1" applyFont="1" applyNumberFormat="1">
      <alignment horizontal="center" vertical="center"/>
    </xf>
    <xf borderId="0" fillId="16" fontId="3" numFmtId="4" xfId="0" applyAlignment="1" applyFill="1" applyFont="1" applyNumberFormat="1">
      <alignment horizontal="center" readingOrder="0" vertical="center"/>
    </xf>
    <xf borderId="9" fillId="5" fontId="3" numFmtId="4" xfId="0" applyAlignment="1" applyBorder="1" applyFont="1" applyNumberFormat="1">
      <alignment horizontal="center" readingOrder="0" vertical="center"/>
    </xf>
    <xf borderId="5" fillId="5" fontId="3" numFmtId="0" xfId="0" applyBorder="1" applyFont="1"/>
    <xf borderId="5" fillId="5" fontId="3" numFmtId="4" xfId="0" applyAlignment="1" applyBorder="1" applyFont="1" applyNumberFormat="1">
      <alignment horizontal="center" vertical="center"/>
    </xf>
    <xf borderId="5" fillId="5" fontId="3" numFmtId="4" xfId="0" applyAlignment="1" applyBorder="1" applyFont="1" applyNumberFormat="1">
      <alignment horizontal="center" readingOrder="0" vertical="center"/>
    </xf>
    <xf borderId="6" fillId="5" fontId="3" numFmtId="4" xfId="0" applyAlignment="1" applyBorder="1" applyFont="1" applyNumberFormat="1">
      <alignment horizontal="center" vertical="center"/>
    </xf>
    <xf borderId="6" fillId="5" fontId="8" numFmtId="0" xfId="0" applyAlignment="1" applyBorder="1" applyFont="1">
      <alignment horizontal="center" vertical="center"/>
    </xf>
    <xf borderId="5" fillId="5" fontId="3" numFmtId="10" xfId="0" applyAlignment="1" applyBorder="1" applyFont="1" applyNumberFormat="1">
      <alignment horizontal="center" vertical="center"/>
    </xf>
    <xf borderId="6" fillId="5" fontId="3" numFmtId="10" xfId="0" applyAlignment="1" applyBorder="1" applyFont="1" applyNumberFormat="1">
      <alignment horizontal="center" vertical="center"/>
    </xf>
    <xf borderId="9" fillId="16" fontId="3" numFmtId="4" xfId="0" applyAlignment="1" applyBorder="1" applyFont="1" applyNumberFormat="1">
      <alignment horizontal="center" readingOrder="0" vertical="center"/>
    </xf>
    <xf borderId="5" fillId="6" fontId="3" numFmtId="0" xfId="0" applyBorder="1" applyFont="1"/>
    <xf borderId="5" fillId="6" fontId="3" numFmtId="4" xfId="0" applyAlignment="1" applyBorder="1" applyFont="1" applyNumberFormat="1">
      <alignment horizontal="center" vertical="center"/>
    </xf>
    <xf borderId="5" fillId="6" fontId="3" numFmtId="4" xfId="0" applyAlignment="1" applyBorder="1" applyFont="1" applyNumberFormat="1">
      <alignment horizontal="center" readingOrder="0" vertical="center"/>
    </xf>
    <xf borderId="6" fillId="6" fontId="3" numFmtId="4" xfId="0" applyAlignment="1" applyBorder="1" applyFont="1" applyNumberFormat="1">
      <alignment horizontal="center" vertical="center"/>
    </xf>
    <xf borderId="0" fillId="0" fontId="3" numFmtId="0" xfId="0" applyFont="1"/>
    <xf borderId="0" fillId="0" fontId="3" numFmtId="164" xfId="0" applyFont="1" applyNumberFormat="1"/>
    <xf borderId="0" fillId="7" fontId="4" numFmtId="4" xfId="0" applyAlignment="1" applyFont="1" applyNumberFormat="1">
      <alignment horizontal="center" vertical="center"/>
    </xf>
    <xf borderId="21" fillId="4" fontId="12" numFmtId="0" xfId="0" applyAlignment="1" applyBorder="1" applyFont="1">
      <alignment horizontal="center" readingOrder="0" vertical="center"/>
    </xf>
    <xf borderId="22" fillId="5" fontId="3" numFmtId="4" xfId="0" applyAlignment="1" applyBorder="1" applyFont="1" applyNumberFormat="1">
      <alignment horizontal="center" vertical="center"/>
    </xf>
    <xf borderId="23" fillId="5" fontId="3" numFmtId="4" xfId="0" applyAlignment="1" applyBorder="1" applyFont="1" applyNumberFormat="1">
      <alignment horizontal="center" vertical="center"/>
    </xf>
    <xf borderId="24" fillId="5" fontId="3" numFmtId="4" xfId="0" applyAlignment="1" applyBorder="1" applyFont="1" applyNumberFormat="1">
      <alignment horizontal="center" vertical="center"/>
    </xf>
    <xf borderId="9" fillId="5" fontId="3" numFmtId="0" xfId="0" applyAlignment="1" applyBorder="1" applyFont="1">
      <alignment horizontal="center" readingOrder="0" vertical="center"/>
    </xf>
    <xf borderId="9" fillId="6" fontId="3" numFmtId="4" xfId="0" applyAlignment="1" applyBorder="1" applyFont="1" applyNumberFormat="1">
      <alignment horizontal="center" readingOrder="0" vertical="center"/>
    </xf>
    <xf borderId="9" fillId="6" fontId="3" numFmtId="0" xfId="0" applyAlignment="1" applyBorder="1" applyFont="1">
      <alignment horizontal="center" readingOrder="0" vertical="center"/>
    </xf>
    <xf borderId="6" fillId="5" fontId="3" numFmtId="4" xfId="0" applyAlignment="1" applyBorder="1" applyFont="1" applyNumberFormat="1">
      <alignment horizontal="center" readingOrder="0" vertical="center"/>
    </xf>
    <xf borderId="6" fillId="6" fontId="3" numFmtId="4" xfId="0" applyAlignment="1" applyBorder="1" applyFont="1" applyNumberForma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19" fillId="3" fontId="13" numFmtId="0" xfId="0" applyAlignment="1" applyBorder="1" applyFont="1">
      <alignment horizontal="center" readingOrder="0" shrinkToFit="0" vertical="center" wrapText="1"/>
    </xf>
    <xf borderId="39" fillId="0" fontId="2" numFmtId="0" xfId="0" applyBorder="1" applyFont="1"/>
    <xf borderId="40" fillId="0" fontId="2" numFmtId="0" xfId="0" applyBorder="1" applyFont="1"/>
    <xf borderId="25" fillId="4" fontId="1" numFmtId="0" xfId="0" applyAlignment="1" applyBorder="1" applyFont="1">
      <alignment horizontal="center" readingOrder="0" shrinkToFit="0" vertical="center" wrapText="1"/>
    </xf>
    <xf borderId="11" fillId="4" fontId="1" numFmtId="0" xfId="0" applyAlignment="1" applyBorder="1" applyFont="1">
      <alignment horizontal="center" readingOrder="0" shrinkToFit="0" vertical="center" wrapText="1"/>
    </xf>
    <xf borderId="0" fillId="4" fontId="1" numFmtId="0" xfId="0" applyAlignment="1" applyFont="1">
      <alignment horizontal="center" readingOrder="0" shrinkToFit="0" vertical="center" wrapText="1"/>
    </xf>
    <xf borderId="8" fillId="4" fontId="1" numFmtId="0" xfId="0" applyAlignment="1" applyBorder="1" applyFont="1">
      <alignment horizontal="center" readingOrder="0" shrinkToFit="0" vertical="center" wrapText="1"/>
    </xf>
    <xf borderId="9" fillId="4" fontId="1" numFmtId="0" xfId="0" applyAlignment="1" applyBorder="1" applyFont="1">
      <alignment horizontal="center" readingOrder="0" shrinkToFit="0" vertical="center" wrapText="1"/>
    </xf>
    <xf borderId="11" fillId="0" fontId="6" numFmtId="0" xfId="0" applyAlignment="1" applyBorder="1" applyFont="1">
      <alignment horizontal="center" readingOrder="0" vertical="center"/>
    </xf>
    <xf borderId="0" fillId="17" fontId="6" numFmtId="0" xfId="0" applyAlignment="1" applyFill="1" applyFont="1">
      <alignment horizontal="center" readingOrder="0" shrinkToFit="0" vertical="center" wrapText="1"/>
    </xf>
    <xf borderId="0" fillId="0" fontId="6" numFmtId="4" xfId="0" applyAlignment="1" applyFont="1" applyNumberFormat="1">
      <alignment horizontal="center" readingOrder="0" shrinkToFit="0" vertical="center" wrapText="1"/>
    </xf>
    <xf borderId="8" fillId="0" fontId="6" numFmtId="4" xfId="0" applyAlignment="1" applyBorder="1" applyFont="1" applyNumberFormat="1">
      <alignment horizontal="center" shrinkToFit="0" vertical="center" wrapText="1"/>
    </xf>
    <xf borderId="11" fillId="0" fontId="6" numFmtId="0" xfId="0" applyAlignment="1" applyBorder="1" applyFont="1">
      <alignment horizontal="center" readingOrder="0" shrinkToFit="0" vertical="center" wrapText="1"/>
    </xf>
    <xf borderId="0" fillId="0" fontId="6" numFmtId="4" xfId="0" applyAlignment="1" applyFont="1" applyNumberFormat="1">
      <alignment horizontal="center" shrinkToFit="0" vertical="center" wrapText="1"/>
    </xf>
    <xf borderId="9" fillId="0" fontId="6" numFmtId="4" xfId="0" applyAlignment="1" applyBorder="1" applyFont="1" applyNumberFormat="1">
      <alignment horizontal="center" shrinkToFit="0" vertical="center" wrapText="1"/>
    </xf>
    <xf borderId="9" fillId="0" fontId="6" numFmtId="0" xfId="0" applyAlignment="1" applyBorder="1" applyFont="1">
      <alignment horizontal="center" readingOrder="0" shrinkToFit="0" vertical="center" wrapText="1"/>
    </xf>
    <xf borderId="8" fillId="0" fontId="6" numFmtId="4" xfId="0" applyAlignment="1" applyBorder="1" applyFont="1" applyNumberFormat="1">
      <alignment horizontal="center" readingOrder="0" shrinkToFit="0" vertical="center" wrapText="1"/>
    </xf>
    <xf borderId="35" fillId="4" fontId="1" numFmtId="0" xfId="0" applyAlignment="1" applyBorder="1" applyFont="1">
      <alignment horizontal="center" readingOrder="0" shrinkToFit="0" vertical="center" wrapText="1"/>
    </xf>
    <xf borderId="38" fillId="0" fontId="6" numFmtId="0" xfId="0" applyAlignment="1" applyBorder="1" applyFont="1">
      <alignment horizontal="center" readingOrder="0" vertical="center"/>
    </xf>
    <xf borderId="36" fillId="17" fontId="6" numFmtId="0" xfId="0" applyAlignment="1" applyBorder="1" applyFont="1">
      <alignment horizontal="center" readingOrder="0" shrinkToFit="0" vertical="center" wrapText="1"/>
    </xf>
    <xf borderId="36" fillId="0" fontId="6" numFmtId="4" xfId="0" applyAlignment="1" applyBorder="1" applyFont="1" applyNumberFormat="1">
      <alignment horizontal="center" readingOrder="0" shrinkToFit="0" vertical="center" wrapText="1"/>
    </xf>
    <xf borderId="41" fillId="0" fontId="6" numFmtId="4" xfId="0" applyAlignment="1" applyBorder="1" applyFont="1" applyNumberFormat="1">
      <alignment horizontal="center" shrinkToFit="0" vertical="center" wrapText="1"/>
    </xf>
    <xf borderId="38" fillId="0" fontId="6" numFmtId="0" xfId="0" applyAlignment="1" applyBorder="1" applyFont="1">
      <alignment horizontal="center" readingOrder="0" shrinkToFit="0" vertical="center" wrapText="1"/>
    </xf>
    <xf borderId="36" fillId="0" fontId="6" numFmtId="0" xfId="0" applyAlignment="1" applyBorder="1" applyFont="1">
      <alignment horizontal="center" readingOrder="0" shrinkToFit="0" vertical="center" wrapText="1"/>
    </xf>
    <xf borderId="37" fillId="0" fontId="6" numFmtId="4" xfId="0" applyAlignment="1" applyBorder="1" applyFont="1" applyNumberFormat="1">
      <alignment horizontal="center" shrinkToFit="0" vertical="center" wrapText="1"/>
    </xf>
    <xf borderId="21" fillId="4" fontId="1" numFmtId="0" xfId="0" applyAlignment="1" applyBorder="1" applyFont="1">
      <alignment horizontal="center" readingOrder="0" shrinkToFit="0" vertical="center" wrapText="1"/>
    </xf>
    <xf borderId="29" fillId="0" fontId="1" numFmtId="0" xfId="0" applyAlignment="1" applyBorder="1" applyFont="1">
      <alignment horizontal="center" readingOrder="0" vertical="center"/>
    </xf>
    <xf borderId="5" fillId="0" fontId="1" numFmtId="0" xfId="0" applyAlignment="1" applyBorder="1" applyFont="1">
      <alignment horizontal="center" readingOrder="0" shrinkToFit="0" vertical="center" wrapText="1"/>
    </xf>
    <xf borderId="5" fillId="0" fontId="1" numFmtId="4" xfId="0" applyAlignment="1" applyBorder="1" applyFont="1" applyNumberFormat="1">
      <alignment horizontal="center" shrinkToFit="0" vertical="center" wrapText="1"/>
    </xf>
    <xf borderId="10" fillId="0" fontId="1" numFmtId="4" xfId="0" applyAlignment="1" applyBorder="1" applyFont="1" applyNumberFormat="1">
      <alignment horizontal="center" shrinkToFit="0" vertical="center" wrapText="1"/>
    </xf>
    <xf borderId="29" fillId="0" fontId="1" numFmtId="0" xfId="0" applyAlignment="1" applyBorder="1" applyFont="1">
      <alignment horizontal="center" readingOrder="0" shrinkToFit="0" vertical="center" wrapText="1"/>
    </xf>
    <xf borderId="6" fillId="0" fontId="1" numFmtId="4" xfId="0" applyAlignment="1" applyBorder="1" applyFont="1" applyNumberFormat="1">
      <alignment horizontal="center" shrinkToFit="0" vertical="center" wrapText="1"/>
    </xf>
    <xf borderId="0" fillId="0" fontId="1" numFmtId="0" xfId="0" applyAlignment="1" applyFont="1">
      <alignment horizontal="center" readingOrder="0" shrinkToFit="0" vertical="center" wrapText="1"/>
    </xf>
    <xf borderId="42" fillId="0" fontId="1" numFmtId="0" xfId="0" applyAlignment="1" applyBorder="1" applyFont="1">
      <alignment horizontal="center" readingOrder="0" shrinkToFit="0" vertical="center" wrapText="1"/>
    </xf>
    <xf borderId="43" fillId="0" fontId="1" numFmtId="0" xfId="0" applyAlignment="1" applyBorder="1" applyFont="1">
      <alignment horizontal="center" shrinkToFit="0" vertical="center" wrapText="1"/>
    </xf>
    <xf borderId="43" fillId="0" fontId="1" numFmtId="0" xfId="0" applyAlignment="1" applyBorder="1" applyFont="1">
      <alignment horizontal="center" readingOrder="0" shrinkToFit="0" vertical="center" wrapText="1"/>
    </xf>
    <xf borderId="43" fillId="0" fontId="1" numFmtId="4" xfId="0" applyAlignment="1" applyBorder="1" applyFont="1" applyNumberFormat="1">
      <alignment horizontal="center" shrinkToFit="0" vertical="center" wrapText="1"/>
    </xf>
    <xf borderId="5" fillId="4" fontId="4" numFmtId="0" xfId="0" applyAlignment="1" applyBorder="1" applyFont="1">
      <alignment horizontal="center" readingOrder="0" vertical="center"/>
    </xf>
    <xf borderId="10" fillId="0" fontId="2" numFmtId="0" xfId="0" applyBorder="1" applyFont="1"/>
    <xf quotePrefix="1" borderId="5" fillId="4" fontId="3" numFmtId="0" xfId="0" applyAlignment="1" applyBorder="1" applyFont="1">
      <alignment horizontal="center" readingOrder="0" vertical="center"/>
    </xf>
    <xf borderId="8" fillId="5" fontId="3" numFmtId="0" xfId="0" applyAlignment="1" applyBorder="1" applyFont="1">
      <alignment horizontal="center" vertical="center"/>
    </xf>
    <xf borderId="0" fillId="5" fontId="4" numFmtId="3" xfId="0" applyAlignment="1" applyFont="1" applyNumberFormat="1">
      <alignment horizontal="center" vertical="center"/>
    </xf>
    <xf borderId="0" fillId="5" fontId="4" numFmtId="4" xfId="0" applyAlignment="1" applyFont="1" applyNumberFormat="1">
      <alignment horizontal="center" readingOrder="0" vertical="center"/>
    </xf>
    <xf borderId="8" fillId="5" fontId="3" numFmtId="4" xfId="0" applyAlignment="1" applyBorder="1" applyFont="1" applyNumberFormat="1">
      <alignment horizontal="center" vertical="center"/>
    </xf>
    <xf borderId="11" fillId="5" fontId="4" numFmtId="4" xfId="0" applyAlignment="1" applyBorder="1" applyFont="1" applyNumberFormat="1">
      <alignment horizontal="center" readingOrder="0" vertical="center"/>
    </xf>
    <xf borderId="0" fillId="5" fontId="4" numFmtId="4" xfId="0" applyAlignment="1" applyFont="1" applyNumberFormat="1">
      <alignment horizontal="center" vertical="center"/>
    </xf>
    <xf borderId="8" fillId="6" fontId="3" numFmtId="0" xfId="0" applyAlignment="1" applyBorder="1" applyFont="1">
      <alignment horizontal="center" vertical="center"/>
    </xf>
    <xf borderId="0" fillId="6" fontId="4" numFmtId="3" xfId="0" applyAlignment="1" applyFont="1" applyNumberFormat="1">
      <alignment horizontal="center" readingOrder="0" vertical="center"/>
    </xf>
    <xf borderId="0" fillId="6" fontId="4" numFmtId="4" xfId="0" applyAlignment="1" applyFont="1" applyNumberFormat="1">
      <alignment horizontal="center" readingOrder="0" vertical="center"/>
    </xf>
    <xf borderId="8" fillId="6" fontId="3" numFmtId="4" xfId="0" applyAlignment="1" applyBorder="1" applyFont="1" applyNumberFormat="1">
      <alignment horizontal="center" vertical="center"/>
    </xf>
    <xf borderId="11" fillId="6" fontId="4" numFmtId="4" xfId="0" applyAlignment="1" applyBorder="1" applyFont="1" applyNumberFormat="1">
      <alignment horizontal="center" readingOrder="0" vertical="center"/>
    </xf>
    <xf borderId="0" fillId="6" fontId="4" numFmtId="4" xfId="0" applyAlignment="1" applyFont="1" applyNumberFormat="1">
      <alignment horizontal="center" vertical="center"/>
    </xf>
    <xf borderId="0" fillId="8" fontId="4" numFmtId="3" xfId="0" applyAlignment="1" applyFont="1" applyNumberFormat="1">
      <alignment horizontal="center" readingOrder="0" vertical="center"/>
    </xf>
    <xf borderId="0" fillId="6" fontId="4" numFmtId="3" xfId="0" applyAlignment="1" applyFont="1" applyNumberFormat="1">
      <alignment horizontal="center" vertical="center"/>
    </xf>
    <xf borderId="8" fillId="5" fontId="3" numFmtId="0" xfId="0" applyAlignment="1" applyBorder="1" applyFont="1">
      <alignment horizontal="center" readingOrder="0" vertical="center"/>
    </xf>
    <xf borderId="0" fillId="5" fontId="4" numFmtId="3" xfId="0" applyAlignment="1" applyFont="1" applyNumberFormat="1">
      <alignment horizontal="center" readingOrder="0" vertical="center"/>
    </xf>
    <xf borderId="10" fillId="5" fontId="3" numFmtId="0" xfId="0" applyAlignment="1" applyBorder="1" applyFont="1">
      <alignment horizontal="center" vertical="center"/>
    </xf>
    <xf borderId="5" fillId="5" fontId="4" numFmtId="3" xfId="0" applyAlignment="1" applyBorder="1" applyFont="1" applyNumberFormat="1">
      <alignment horizontal="center" readingOrder="0" vertical="center"/>
    </xf>
    <xf borderId="10" fillId="5" fontId="2" numFmtId="0" xfId="0" applyBorder="1" applyFont="1"/>
    <xf borderId="13" fillId="6" fontId="2" numFmtId="0" xfId="0" applyBorder="1" applyFont="1"/>
    <xf borderId="14" fillId="6" fontId="2" numFmtId="0" xfId="0" applyBorder="1" applyFont="1"/>
    <xf borderId="23" fillId="0" fontId="2" numFmtId="0" xfId="0" applyBorder="1" applyFont="1"/>
    <xf borderId="24" fillId="0" fontId="2" numFmtId="0" xfId="0" applyBorder="1" applyFont="1"/>
    <xf borderId="21" fillId="5" fontId="5" numFmtId="0" xfId="0" applyAlignment="1" applyBorder="1" applyFont="1">
      <alignment horizontal="left" readingOrder="0" vertical="center"/>
    </xf>
    <xf borderId="44" fillId="5" fontId="3" numFmtId="4" xfId="0" applyAlignment="1" applyBorder="1" applyFont="1" applyNumberFormat="1">
      <alignment horizontal="center" vertical="center"/>
    </xf>
    <xf borderId="25" fillId="0" fontId="3" numFmtId="0" xfId="0" applyAlignment="1" applyBorder="1" applyFont="1">
      <alignment vertical="bottom"/>
    </xf>
    <xf borderId="0" fillId="5" fontId="3" numFmtId="164" xfId="0" applyAlignment="1" applyFont="1" applyNumberFormat="1">
      <alignment horizontal="center"/>
    </xf>
    <xf borderId="5" fillId="3" fontId="4" numFmtId="0" xfId="0" applyAlignment="1" applyBorder="1" applyFont="1">
      <alignment horizontal="center" readingOrder="0"/>
    </xf>
    <xf quotePrefix="1" borderId="5" fillId="3" fontId="3" numFmtId="0" xfId="0" applyAlignment="1" applyBorder="1" applyFont="1">
      <alignment horizontal="center" readingOrder="0"/>
    </xf>
    <xf borderId="0" fillId="15" fontId="3" numFmtId="0" xfId="0" applyAlignment="1" applyFont="1">
      <alignment horizontal="center" readingOrder="0"/>
    </xf>
    <xf borderId="0" fillId="13" fontId="3" numFmtId="164" xfId="0" applyAlignment="1" applyFont="1" applyNumberFormat="1">
      <alignment horizontal="center" vertical="center"/>
    </xf>
    <xf borderId="0" fillId="14" fontId="3" numFmtId="164" xfId="0" applyAlignment="1" applyFont="1" applyNumberFormat="1">
      <alignment horizontal="center" vertical="center"/>
    </xf>
    <xf borderId="9" fillId="14" fontId="3" numFmtId="164" xfId="0" applyAlignment="1" applyBorder="1" applyFont="1" applyNumberFormat="1">
      <alignment horizontal="center" vertical="center"/>
    </xf>
    <xf borderId="0" fillId="6" fontId="8" numFmtId="0" xfId="0" applyFont="1"/>
    <xf borderId="0" fillId="6" fontId="3" numFmtId="10" xfId="0" applyAlignment="1" applyFont="1" applyNumberFormat="1">
      <alignment horizontal="center" readingOrder="0"/>
    </xf>
    <xf borderId="13" fillId="0" fontId="6" numFmtId="0" xfId="0" applyBorder="1" applyFont="1"/>
    <xf borderId="5" fillId="13" fontId="4" numFmtId="10" xfId="0" applyAlignment="1" applyBorder="1" applyFont="1" applyNumberFormat="1">
      <alignment horizontal="center" vertical="center"/>
    </xf>
    <xf borderId="5" fillId="13" fontId="3" numFmtId="10" xfId="0" applyAlignment="1" applyBorder="1" applyFont="1" applyNumberFormat="1">
      <alignment horizontal="center" vertical="center"/>
    </xf>
    <xf borderId="5" fillId="14" fontId="4" numFmtId="10" xfId="0" applyAlignment="1" applyBorder="1" applyFont="1" applyNumberFormat="1">
      <alignment horizontal="center" vertical="center"/>
    </xf>
    <xf borderId="5" fillId="14" fontId="3" numFmtId="10" xfId="0" applyAlignment="1" applyBorder="1" applyFont="1" applyNumberFormat="1">
      <alignment horizontal="center" vertical="center"/>
    </xf>
    <xf borderId="6" fillId="14" fontId="3" numFmtId="10" xfId="0" applyAlignment="1" applyBorder="1" applyFont="1" applyNumberFormat="1">
      <alignment horizontal="center" vertical="center"/>
    </xf>
    <xf borderId="13" fillId="0" fontId="3" numFmtId="0" xfId="0" applyBorder="1" applyFont="1"/>
    <xf borderId="33" fillId="5" fontId="4" numFmtId="164" xfId="0" applyAlignment="1" applyBorder="1" applyFont="1" applyNumberFormat="1">
      <alignment horizontal="center" vertical="center"/>
    </xf>
    <xf borderId="25" fillId="6" fontId="4" numFmtId="164" xfId="0" applyAlignment="1" applyBorder="1" applyFont="1" applyNumberFormat="1">
      <alignment horizontal="center" vertical="center"/>
    </xf>
    <xf borderId="21" fillId="5" fontId="4" numFmtId="164" xfId="0" applyAlignment="1" applyBorder="1" applyFont="1" applyNumberFormat="1">
      <alignment horizontal="center" vertical="center"/>
    </xf>
    <xf borderId="5" fillId="15" fontId="4" numFmtId="4" xfId="0" applyAlignment="1" applyBorder="1" applyFont="1" applyNumberFormat="1">
      <alignment horizontal="center" readingOrder="0" vertical="center"/>
    </xf>
    <xf borderId="5" fillId="0" fontId="4" numFmtId="0" xfId="0" applyBorder="1" applyFont="1"/>
    <xf borderId="5" fillId="5" fontId="4" numFmtId="0" xfId="0" applyAlignment="1" applyBorder="1" applyFont="1">
      <alignment horizontal="center"/>
    </xf>
    <xf borderId="0" fillId="5" fontId="4" numFmtId="0" xfId="0" applyAlignment="1" applyFont="1">
      <alignment horizontal="center" readingOrder="0" vertical="center"/>
    </xf>
    <xf borderId="0" fillId="5" fontId="4" numFmtId="10" xfId="0" applyAlignment="1" applyFont="1" applyNumberFormat="1">
      <alignment horizontal="center" vertical="center"/>
    </xf>
    <xf borderId="0" fillId="6" fontId="4" numFmtId="0" xfId="0" applyAlignment="1" applyFont="1">
      <alignment horizontal="center" readingOrder="0" vertical="center"/>
    </xf>
    <xf borderId="0" fillId="6" fontId="4" numFmtId="10" xfId="0" applyAlignment="1" applyFont="1" applyNumberFormat="1">
      <alignment horizontal="center" vertical="center"/>
    </xf>
    <xf borderId="5" fillId="5" fontId="4" numFmtId="4" xfId="0" applyAlignment="1" applyBorder="1" applyFont="1" applyNumberFormat="1">
      <alignment horizontal="center" readingOrder="0" vertical="center"/>
    </xf>
    <xf borderId="5" fillId="5" fontId="4" numFmtId="10" xfId="0" applyAlignment="1" applyBorder="1" applyFont="1" applyNumberFormat="1">
      <alignment horizontal="center" vertical="center"/>
    </xf>
    <xf borderId="0" fillId="16" fontId="4" numFmtId="4" xfId="0" applyAlignment="1" applyFont="1" applyNumberFormat="1">
      <alignment horizontal="center" readingOrder="0" vertical="center"/>
    </xf>
    <xf borderId="5" fillId="6" fontId="4" numFmtId="4" xfId="0" applyAlignment="1" applyBorder="1" applyFont="1" applyNumberFormat="1">
      <alignment horizontal="center" readingOrder="0" vertical="center"/>
    </xf>
    <xf borderId="5" fillId="6" fontId="4" numFmtId="4" xfId="0" applyAlignment="1" applyBorder="1" applyFont="1" applyNumberFormat="1">
      <alignment horizontal="center" vertical="center"/>
    </xf>
    <xf borderId="0" fillId="0" fontId="6" numFmtId="0" xfId="0" applyAlignment="1" applyFont="1">
      <alignment readingOrder="0"/>
    </xf>
    <xf borderId="26" fillId="4" fontId="1" numFmtId="0" xfId="0" applyAlignment="1" applyBorder="1" applyFont="1">
      <alignment horizontal="center" readingOrder="0" shrinkToFit="0" vertical="center" wrapText="1"/>
    </xf>
    <xf borderId="27" fillId="4" fontId="1" numFmtId="0" xfId="0" applyAlignment="1" applyBorder="1" applyFont="1">
      <alignment horizontal="center" readingOrder="0" shrinkToFit="0" vertical="center" wrapText="1"/>
    </xf>
    <xf borderId="45" fillId="4" fontId="1"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0" fillId="0" fontId="1" numFmtId="164" xfId="0" applyAlignment="1" applyFont="1" applyNumberFormat="1">
      <alignment readingOrder="0" vertical="center"/>
    </xf>
    <xf borderId="46" fillId="0" fontId="3" numFmtId="164" xfId="0" applyAlignment="1" applyBorder="1" applyFont="1" applyNumberFormat="1">
      <alignment vertical="center"/>
    </xf>
    <xf borderId="47" fillId="3" fontId="14" numFmtId="164" xfId="0" applyAlignment="1" applyBorder="1" applyFont="1" applyNumberFormat="1">
      <alignment horizontal="center" readingOrder="0" vertical="center"/>
    </xf>
    <xf borderId="47" fillId="0" fontId="2" numFmtId="0" xfId="0" applyBorder="1" applyFont="1"/>
    <xf borderId="47" fillId="0" fontId="6" numFmtId="164" xfId="0" applyAlignment="1" applyBorder="1" applyFont="1" applyNumberFormat="1">
      <alignment vertical="center"/>
    </xf>
    <xf borderId="48" fillId="0" fontId="3" numFmtId="164" xfId="0" applyAlignment="1" applyBorder="1" applyFont="1" applyNumberFormat="1">
      <alignment vertical="center"/>
    </xf>
    <xf borderId="0" fillId="0" fontId="3" numFmtId="164" xfId="0" applyAlignment="1" applyFont="1" applyNumberFormat="1">
      <alignment vertical="center"/>
    </xf>
    <xf borderId="49" fillId="0" fontId="3" numFmtId="164" xfId="0" applyAlignment="1" applyBorder="1" applyFont="1" applyNumberFormat="1">
      <alignment vertical="center"/>
    </xf>
    <xf borderId="0" fillId="0" fontId="6" numFmtId="164" xfId="0" applyAlignment="1" applyFont="1" applyNumberFormat="1">
      <alignment vertical="center"/>
    </xf>
    <xf borderId="50" fillId="0" fontId="3" numFmtId="164" xfId="0" applyAlignment="1" applyBorder="1" applyFont="1" applyNumberFormat="1">
      <alignment vertical="center"/>
    </xf>
    <xf borderId="33" fillId="2" fontId="4" numFmtId="164" xfId="0" applyAlignment="1" applyBorder="1" applyFont="1" applyNumberFormat="1">
      <alignment horizontal="center" vertical="center"/>
    </xf>
    <xf borderId="25" fillId="3" fontId="4" numFmtId="164" xfId="0" applyAlignment="1" applyBorder="1" applyFont="1" applyNumberFormat="1">
      <alignment horizontal="center" vertical="center"/>
    </xf>
    <xf borderId="0" fillId="3" fontId="4" numFmtId="164" xfId="0" applyAlignment="1" applyFont="1" applyNumberFormat="1">
      <alignment horizontal="center" vertical="center"/>
    </xf>
    <xf borderId="0" fillId="3" fontId="4" numFmtId="164" xfId="0" applyAlignment="1" applyFont="1" applyNumberFormat="1">
      <alignment horizontal="center" readingOrder="0" vertical="center"/>
    </xf>
    <xf borderId="0" fillId="0" fontId="6" numFmtId="0" xfId="0" applyAlignment="1" applyFont="1">
      <alignment vertical="center"/>
    </xf>
    <xf borderId="25" fillId="4" fontId="3" numFmtId="164" xfId="0" applyAlignment="1" applyBorder="1" applyFont="1" applyNumberFormat="1">
      <alignment horizontal="center" vertical="center"/>
    </xf>
    <xf borderId="0" fillId="4" fontId="3" numFmtId="164" xfId="0" applyAlignment="1" applyFont="1" applyNumberFormat="1">
      <alignment horizontal="center" readingOrder="0" vertical="center"/>
    </xf>
    <xf quotePrefix="1" borderId="0" fillId="4" fontId="3" numFmtId="0" xfId="0" applyAlignment="1" applyFont="1">
      <alignment horizontal="center" readingOrder="0" vertical="center"/>
    </xf>
    <xf borderId="0" fillId="4" fontId="3" numFmtId="164" xfId="0" applyAlignment="1" applyFont="1" applyNumberFormat="1">
      <alignment horizontal="center" readingOrder="0" vertical="center"/>
    </xf>
    <xf borderId="9" fillId="4" fontId="3" numFmtId="164" xfId="0" applyAlignment="1" applyBorder="1" applyFont="1" applyNumberFormat="1">
      <alignment horizontal="center" readingOrder="0" vertical="center"/>
    </xf>
    <xf borderId="25" fillId="5" fontId="3" numFmtId="164" xfId="0" applyAlignment="1" applyBorder="1" applyFont="1" applyNumberFormat="1">
      <alignment horizontal="center" vertical="center"/>
    </xf>
    <xf borderId="0" fillId="5" fontId="3" numFmtId="164" xfId="0" applyAlignment="1" applyFont="1" applyNumberFormat="1">
      <alignment horizontal="center" readingOrder="0" vertical="center"/>
    </xf>
    <xf borderId="0" fillId="5" fontId="3" numFmtId="164" xfId="0" applyAlignment="1" applyFont="1" applyNumberFormat="1">
      <alignment horizontal="center" vertical="center"/>
    </xf>
    <xf borderId="0" fillId="6" fontId="3" numFmtId="164" xfId="0" applyAlignment="1" applyFont="1" applyNumberFormat="1">
      <alignment horizontal="center" readingOrder="0" vertical="center"/>
    </xf>
    <xf borderId="0" fillId="7" fontId="3" numFmtId="164" xfId="0" applyAlignment="1" applyFont="1" applyNumberFormat="1">
      <alignment horizontal="center" readingOrder="0" vertical="center"/>
    </xf>
    <xf borderId="9" fillId="7" fontId="3" numFmtId="164" xfId="0" applyAlignment="1" applyBorder="1" applyFont="1" applyNumberFormat="1">
      <alignment horizontal="center" readingOrder="0" vertical="center"/>
    </xf>
    <xf borderId="25" fillId="8" fontId="3" numFmtId="164" xfId="0" applyAlignment="1" applyBorder="1" applyFont="1" applyNumberFormat="1">
      <alignment horizontal="center" vertical="center"/>
    </xf>
    <xf borderId="0" fillId="8" fontId="3" numFmtId="164" xfId="0" applyAlignment="1" applyFont="1" applyNumberFormat="1">
      <alignment horizontal="center" readingOrder="0" vertical="center"/>
    </xf>
    <xf borderId="0" fillId="9" fontId="3" numFmtId="164" xfId="0" applyAlignment="1" applyFont="1" applyNumberFormat="1">
      <alignment horizontal="center" vertical="center"/>
    </xf>
    <xf borderId="9" fillId="9" fontId="3" numFmtId="164" xfId="0" applyAlignment="1" applyBorder="1" applyFont="1" applyNumberFormat="1">
      <alignment horizontal="center" vertical="center"/>
    </xf>
    <xf borderId="25" fillId="5" fontId="3" numFmtId="164" xfId="0" applyAlignment="1" applyBorder="1" applyFont="1" applyNumberFormat="1">
      <alignment horizontal="center" readingOrder="0" vertical="center"/>
    </xf>
    <xf borderId="0" fillId="10" fontId="3" numFmtId="164" xfId="0" applyAlignment="1" applyFont="1" applyNumberFormat="1">
      <alignment horizontal="center" vertical="center"/>
    </xf>
    <xf borderId="9" fillId="10" fontId="3" numFmtId="164" xfId="0" applyAlignment="1" applyBorder="1" applyFont="1" applyNumberFormat="1">
      <alignment horizontal="center" vertical="center"/>
    </xf>
    <xf borderId="21" fillId="6" fontId="3" numFmtId="164" xfId="0" applyAlignment="1" applyBorder="1" applyFont="1" applyNumberFormat="1">
      <alignment horizontal="center" readingOrder="0" vertical="center"/>
    </xf>
    <xf borderId="5" fillId="6" fontId="3" numFmtId="164" xfId="0" applyAlignment="1" applyBorder="1" applyFont="1" applyNumberFormat="1">
      <alignment horizontal="center" vertical="center"/>
    </xf>
    <xf borderId="6" fillId="6" fontId="3" numFmtId="164" xfId="0" applyAlignment="1" applyBorder="1" applyFont="1" applyNumberFormat="1">
      <alignment horizontal="center" vertical="center"/>
    </xf>
    <xf borderId="0" fillId="5" fontId="3" numFmtId="164" xfId="0" applyAlignment="1" applyFont="1" applyNumberFormat="1">
      <alignment vertical="center"/>
    </xf>
    <xf borderId="0" fillId="5" fontId="5" numFmtId="164" xfId="0" applyAlignment="1" applyFont="1" applyNumberFormat="1">
      <alignment horizontal="center" vertical="center"/>
    </xf>
    <xf borderId="0" fillId="5" fontId="4" numFmtId="164" xfId="0" applyAlignment="1" applyFont="1" applyNumberFormat="1">
      <alignment horizontal="center" vertical="center"/>
    </xf>
    <xf borderId="0" fillId="0" fontId="4" numFmtId="164" xfId="0" applyAlignment="1" applyFont="1" applyNumberFormat="1">
      <alignment horizontal="center" vertical="center"/>
    </xf>
    <xf borderId="33" fillId="3" fontId="4" numFmtId="164" xfId="0" applyAlignment="1" applyBorder="1" applyFont="1" applyNumberFormat="1">
      <alignment horizontal="center" readingOrder="0" vertical="center"/>
    </xf>
    <xf borderId="25" fillId="4" fontId="3" numFmtId="164" xfId="0" applyAlignment="1" applyBorder="1" applyFont="1" applyNumberFormat="1">
      <alignment horizontal="center" readingOrder="0" vertical="center"/>
    </xf>
    <xf borderId="25" fillId="0" fontId="3" numFmtId="164" xfId="0" applyAlignment="1" applyBorder="1" applyFont="1" applyNumberFormat="1">
      <alignment horizontal="center" readingOrder="0" vertical="center"/>
    </xf>
    <xf borderId="9" fillId="5" fontId="9" numFmtId="164" xfId="0" applyAlignment="1" applyBorder="1" applyFont="1" applyNumberFormat="1">
      <alignment horizontal="center" readingOrder="0" vertical="center"/>
    </xf>
    <xf borderId="25" fillId="4" fontId="3" numFmtId="164" xfId="0" applyAlignment="1" applyBorder="1" applyFont="1" applyNumberFormat="1">
      <alignment horizontal="center" readingOrder="0" vertical="center"/>
    </xf>
    <xf quotePrefix="1" borderId="9" fillId="4" fontId="3" numFmtId="0" xfId="0" applyAlignment="1" applyBorder="1" applyFont="1">
      <alignment horizontal="center" readingOrder="0" vertical="center"/>
    </xf>
    <xf quotePrefix="1" borderId="21" fillId="0" fontId="3" numFmtId="0" xfId="0" applyAlignment="1" applyBorder="1" applyFont="1">
      <alignment horizontal="center" readingOrder="0" vertical="center"/>
    </xf>
    <xf borderId="6" fillId="5" fontId="9" numFmtId="164" xfId="0" applyAlignment="1" applyBorder="1" applyFont="1" applyNumberFormat="1">
      <alignment horizontal="center" vertical="center"/>
    </xf>
    <xf borderId="49" fillId="0" fontId="3" numFmtId="164" xfId="0" applyAlignment="1" applyBorder="1" applyFont="1" applyNumberFormat="1">
      <alignment horizontal="center" vertical="center"/>
    </xf>
    <xf borderId="21" fillId="0" fontId="3" numFmtId="164" xfId="0" applyAlignment="1" applyBorder="1" applyFont="1" applyNumberFormat="1">
      <alignment horizontal="center" vertical="center"/>
    </xf>
    <xf borderId="5" fillId="0" fontId="3" numFmtId="164" xfId="0" applyAlignment="1" applyBorder="1" applyFont="1" applyNumberFormat="1">
      <alignment horizontal="center" vertical="center"/>
    </xf>
    <xf borderId="6" fillId="0" fontId="3" numFmtId="164" xfId="0" applyAlignment="1" applyBorder="1" applyFont="1" applyNumberFormat="1">
      <alignment horizontal="center" vertical="center"/>
    </xf>
    <xf borderId="50" fillId="0" fontId="3" numFmtId="164" xfId="0" applyAlignment="1" applyBorder="1" applyFont="1" applyNumberFormat="1">
      <alignment horizontal="center" vertical="center"/>
    </xf>
    <xf borderId="0" fillId="0" fontId="3" numFmtId="164" xfId="0" applyAlignment="1" applyFont="1" applyNumberFormat="1">
      <alignment horizontal="center" vertical="center"/>
    </xf>
    <xf borderId="33" fillId="3" fontId="7" numFmtId="0" xfId="0" applyAlignment="1" applyBorder="1" applyFont="1">
      <alignment horizontal="center" readingOrder="0" vertical="center"/>
    </xf>
    <xf borderId="13" fillId="3" fontId="3" numFmtId="164" xfId="0" applyAlignment="1" applyBorder="1" applyFont="1" applyNumberFormat="1">
      <alignment horizontal="center" readingOrder="0" vertical="center"/>
    </xf>
    <xf borderId="25" fillId="0" fontId="2" numFmtId="0" xfId="0" applyBorder="1" applyFont="1"/>
    <xf borderId="9" fillId="0" fontId="3" numFmtId="164" xfId="0" applyAlignment="1" applyBorder="1" applyFont="1" applyNumberFormat="1">
      <alignment horizontal="center" vertical="center"/>
    </xf>
    <xf borderId="25" fillId="5" fontId="3" numFmtId="0" xfId="0" applyAlignment="1" applyBorder="1" applyFont="1">
      <alignment horizontal="left" readingOrder="0" vertical="center"/>
    </xf>
    <xf borderId="0" fillId="0" fontId="3" numFmtId="0" xfId="0" applyAlignment="1" applyFont="1">
      <alignment horizontal="center" vertical="center"/>
    </xf>
    <xf borderId="9" fillId="0" fontId="3" numFmtId="0" xfId="0" applyAlignment="1" applyBorder="1" applyFont="1">
      <alignment horizontal="center" vertical="center"/>
    </xf>
    <xf borderId="5" fillId="0" fontId="9" numFmtId="164" xfId="0" applyAlignment="1" applyBorder="1" applyFont="1" applyNumberFormat="1">
      <alignment horizontal="center" vertical="center"/>
    </xf>
    <xf borderId="6" fillId="0" fontId="9" numFmtId="164" xfId="0" applyAlignment="1" applyBorder="1" applyFont="1" applyNumberFormat="1">
      <alignment horizontal="center" vertical="center"/>
    </xf>
    <xf borderId="0" fillId="5" fontId="9" numFmtId="164" xfId="0" applyAlignment="1" applyFont="1" applyNumberFormat="1">
      <alignment horizontal="center" readingOrder="0" vertical="center"/>
    </xf>
    <xf borderId="21" fillId="0" fontId="3" numFmtId="164" xfId="0" applyAlignment="1" applyBorder="1" applyFont="1" applyNumberFormat="1">
      <alignment horizontal="center" readingOrder="0" vertical="center"/>
    </xf>
    <xf borderId="5" fillId="5" fontId="9" numFmtId="164" xfId="0" applyAlignment="1" applyBorder="1" applyFont="1" applyNumberFormat="1">
      <alignment horizontal="center" vertical="center"/>
    </xf>
    <xf borderId="51" fillId="0" fontId="3" numFmtId="164" xfId="0" applyAlignment="1" applyBorder="1" applyFont="1" applyNumberFormat="1">
      <alignment vertical="center"/>
    </xf>
    <xf borderId="52" fillId="5" fontId="3" numFmtId="164" xfId="0" applyAlignment="1" applyBorder="1" applyFont="1" applyNumberFormat="1">
      <alignment vertical="center"/>
    </xf>
    <xf borderId="52" fillId="5" fontId="5" numFmtId="164" xfId="0" applyAlignment="1" applyBorder="1" applyFont="1" applyNumberFormat="1">
      <alignment horizontal="center" vertical="center"/>
    </xf>
    <xf borderId="52" fillId="5" fontId="4" numFmtId="164" xfId="0" applyAlignment="1" applyBorder="1" applyFont="1" applyNumberFormat="1">
      <alignment horizontal="center" vertical="center"/>
    </xf>
    <xf borderId="52" fillId="5" fontId="3" numFmtId="164" xfId="0" applyAlignment="1" applyBorder="1" applyFont="1" applyNumberFormat="1">
      <alignment horizontal="center" vertical="center"/>
    </xf>
    <xf borderId="53" fillId="0" fontId="3" numFmtId="164" xfId="0" applyAlignment="1" applyBorder="1" applyFont="1" applyNumberFormat="1">
      <alignment vertical="center"/>
    </xf>
    <xf borderId="47" fillId="5" fontId="3" numFmtId="164" xfId="0" applyAlignment="1" applyBorder="1" applyFont="1" applyNumberFormat="1">
      <alignment vertical="center"/>
    </xf>
    <xf borderId="47" fillId="5" fontId="5" numFmtId="164" xfId="0" applyAlignment="1" applyBorder="1" applyFont="1" applyNumberFormat="1">
      <alignment horizontal="center" vertical="center"/>
    </xf>
    <xf borderId="47" fillId="5" fontId="4" numFmtId="164" xfId="0" applyAlignment="1" applyBorder="1" applyFont="1" applyNumberFormat="1">
      <alignment horizontal="center" vertical="center"/>
    </xf>
    <xf borderId="47" fillId="5" fontId="3" numFmtId="164" xfId="0" applyAlignment="1" applyBorder="1" applyFont="1" applyNumberFormat="1">
      <alignment horizontal="center" vertical="center"/>
    </xf>
    <xf borderId="0" fillId="3" fontId="14" numFmtId="164" xfId="0" applyAlignment="1" applyFont="1" applyNumberFormat="1">
      <alignment horizontal="center" readingOrder="0" vertical="center"/>
    </xf>
    <xf borderId="33" fillId="2" fontId="4" numFmtId="164" xfId="0" applyAlignment="1" applyBorder="1" applyFont="1" applyNumberFormat="1">
      <alignment horizontal="center" readingOrder="0" vertical="center"/>
    </xf>
    <xf borderId="25" fillId="0" fontId="9" numFmtId="164" xfId="0" applyAlignment="1" applyBorder="1" applyFont="1" applyNumberFormat="1">
      <alignment readingOrder="0" vertical="center"/>
    </xf>
    <xf borderId="9" fillId="0" fontId="3" numFmtId="164" xfId="0" applyAlignment="1" applyBorder="1" applyFont="1" applyNumberFormat="1">
      <alignment horizontal="center" readingOrder="0" vertical="center"/>
    </xf>
    <xf borderId="25" fillId="0" fontId="15" numFmtId="164" xfId="0" applyAlignment="1" applyBorder="1" applyFont="1" applyNumberFormat="1">
      <alignment readingOrder="0" vertical="center"/>
    </xf>
    <xf borderId="9" fillId="0" fontId="6" numFmtId="164" xfId="0" applyAlignment="1" applyBorder="1" applyFont="1" applyNumberFormat="1">
      <alignment horizontal="center" readingOrder="0" vertical="center"/>
    </xf>
    <xf borderId="25" fillId="0" fontId="3" numFmtId="164" xfId="0" applyAlignment="1" applyBorder="1" applyFont="1" applyNumberFormat="1">
      <alignment readingOrder="0" vertical="center"/>
    </xf>
    <xf borderId="0" fillId="0" fontId="6" numFmtId="164" xfId="0" applyAlignment="1" applyFont="1" applyNumberFormat="1">
      <alignment readingOrder="0" vertical="center"/>
    </xf>
    <xf borderId="0" fillId="0" fontId="3" numFmtId="164" xfId="0" applyAlignment="1" applyFont="1" applyNumberFormat="1">
      <alignment horizontal="center" readingOrder="0" vertical="center"/>
    </xf>
    <xf borderId="9" fillId="0" fontId="6" numFmtId="164" xfId="0" applyAlignment="1" applyBorder="1" applyFont="1" applyNumberFormat="1">
      <alignment horizontal="center" vertical="center"/>
    </xf>
    <xf borderId="0" fillId="0" fontId="3" numFmtId="164" xfId="0" applyAlignment="1" applyFont="1" applyNumberFormat="1">
      <alignment readingOrder="0" vertical="center"/>
    </xf>
    <xf borderId="21" fillId="0" fontId="3" numFmtId="164" xfId="0" applyAlignment="1" applyBorder="1" applyFont="1" applyNumberFormat="1">
      <alignment readingOrder="0" vertical="center"/>
    </xf>
    <xf borderId="5" fillId="0" fontId="3" numFmtId="164" xfId="0" applyAlignment="1" applyBorder="1" applyFont="1" applyNumberFormat="1">
      <alignment readingOrder="0" vertical="center"/>
    </xf>
    <xf borderId="21" fillId="0" fontId="8" numFmtId="164" xfId="0" applyAlignment="1" applyBorder="1" applyFont="1" applyNumberFormat="1">
      <alignment readingOrder="0" vertical="center"/>
    </xf>
    <xf borderId="26" fillId="2" fontId="4" numFmtId="164" xfId="0" applyAlignment="1" applyBorder="1" applyFont="1" applyNumberFormat="1">
      <alignment horizontal="center" readingOrder="0" vertical="center"/>
    </xf>
    <xf borderId="27" fillId="0" fontId="2" numFmtId="0" xfId="0" applyBorder="1" applyFont="1"/>
    <xf borderId="45" fillId="0" fontId="2" numFmtId="0" xfId="0" applyBorder="1" applyFont="1"/>
    <xf borderId="25" fillId="0" fontId="3" numFmtId="164" xfId="0" applyAlignment="1" applyBorder="1" applyFont="1" applyNumberFormat="1">
      <alignment vertical="center"/>
    </xf>
    <xf borderId="11" fillId="0" fontId="3" numFmtId="164" xfId="0" applyAlignment="1" applyBorder="1" applyFont="1" applyNumberFormat="1">
      <alignment readingOrder="0" vertical="center"/>
    </xf>
    <xf borderId="8" fillId="0" fontId="3" numFmtId="2" xfId="0" applyAlignment="1" applyBorder="1" applyFont="1" applyNumberFormat="1">
      <alignment horizontal="center" readingOrder="0" vertical="center"/>
    </xf>
    <xf borderId="8" fillId="0" fontId="3" numFmtId="2" xfId="0" applyAlignment="1" applyBorder="1" applyFont="1" applyNumberFormat="1">
      <alignment horizontal="center" vertical="center"/>
    </xf>
    <xf borderId="21" fillId="0" fontId="3" numFmtId="164" xfId="0" applyAlignment="1" applyBorder="1" applyFont="1" applyNumberFormat="1">
      <alignment vertical="center"/>
    </xf>
    <xf borderId="38" fillId="0" fontId="3" numFmtId="164" xfId="0" applyAlignment="1" applyBorder="1" applyFont="1" applyNumberFormat="1">
      <alignment readingOrder="0" vertical="center"/>
    </xf>
    <xf borderId="36" fillId="0" fontId="2" numFmtId="0" xfId="0" applyBorder="1" applyFont="1"/>
    <xf borderId="41" fillId="0" fontId="3" numFmtId="2" xfId="0" applyAlignment="1" applyBorder="1" applyFont="1" applyNumberFormat="1">
      <alignment horizontal="center" readingOrder="0" vertical="center"/>
    </xf>
    <xf borderId="6" fillId="0" fontId="3" numFmtId="164" xfId="0" applyAlignment="1" applyBorder="1" applyFont="1" applyNumberFormat="1">
      <alignment horizontal="center" readingOrder="0" vertical="center"/>
    </xf>
    <xf borderId="52" fillId="0" fontId="3" numFmtId="164" xfId="0" applyAlignment="1" applyBorder="1" applyFont="1" applyNumberFormat="1">
      <alignment vertical="center"/>
    </xf>
    <xf borderId="47" fillId="0" fontId="3" numFmtId="164" xfId="0" applyAlignment="1" applyBorder="1" applyFont="1" applyNumberFormat="1">
      <alignment vertical="center"/>
    </xf>
    <xf borderId="33" fillId="2" fontId="4" numFmtId="0" xfId="0" applyAlignment="1" applyBorder="1" applyFont="1">
      <alignment horizontal="center" vertical="center"/>
    </xf>
    <xf borderId="33" fillId="2" fontId="4" numFmtId="0" xfId="0" applyAlignment="1" applyBorder="1" applyFont="1">
      <alignment horizontal="center"/>
    </xf>
    <xf borderId="25" fillId="0" fontId="3" numFmtId="0" xfId="0" applyAlignment="1" applyBorder="1" applyFont="1">
      <alignment horizontal="center" readingOrder="0" vertical="center"/>
    </xf>
    <xf borderId="25" fillId="0" fontId="3" numFmtId="0" xfId="0" applyAlignment="1" applyBorder="1" applyFont="1">
      <alignment horizontal="center"/>
    </xf>
    <xf borderId="50" fillId="0" fontId="6" numFmtId="0" xfId="0" applyBorder="1" applyFont="1"/>
    <xf borderId="25" fillId="0" fontId="3" numFmtId="166" xfId="0" applyAlignment="1" applyBorder="1" applyFont="1" applyNumberFormat="1">
      <alignment horizontal="left" vertical="center"/>
    </xf>
    <xf borderId="0" fillId="0" fontId="3" numFmtId="4" xfId="0" applyAlignment="1" applyFont="1" applyNumberFormat="1">
      <alignment horizontal="center" vertical="center"/>
    </xf>
    <xf borderId="9" fillId="0" fontId="3" numFmtId="4" xfId="0" applyAlignment="1" applyBorder="1" applyFont="1" applyNumberFormat="1">
      <alignment horizontal="center" vertical="center"/>
    </xf>
    <xf borderId="21" fillId="0" fontId="3" numFmtId="0" xfId="0" applyBorder="1" applyFont="1"/>
    <xf borderId="21" fillId="0" fontId="3" numFmtId="166" xfId="0" applyAlignment="1" applyBorder="1" applyFont="1" applyNumberFormat="1">
      <alignment horizontal="left" vertical="center"/>
    </xf>
    <xf borderId="5" fillId="0" fontId="3" numFmtId="4" xfId="0" applyAlignment="1" applyBorder="1" applyFont="1" applyNumberFormat="1">
      <alignment horizontal="center" readingOrder="0" vertical="center"/>
    </xf>
    <xf borderId="0" fillId="0" fontId="3" numFmtId="4" xfId="0" applyFont="1" applyNumberFormat="1"/>
    <xf borderId="52" fillId="0" fontId="6" numFmtId="0" xfId="0" applyBorder="1" applyFont="1"/>
    <xf borderId="53" fillId="0" fontId="6" numFmtId="0" xfId="0" applyBorder="1" applyFont="1"/>
    <xf borderId="47" fillId="0" fontId="6" numFmtId="0" xfId="0" applyBorder="1" applyFont="1"/>
    <xf borderId="48" fillId="0" fontId="6" numFmtId="0" xfId="0" applyBorder="1" applyFont="1"/>
    <xf borderId="25" fillId="4" fontId="4" numFmtId="0" xfId="0" applyAlignment="1" applyBorder="1" applyFont="1">
      <alignment horizontal="center" vertical="center"/>
    </xf>
    <xf borderId="25" fillId="0" fontId="3" numFmtId="164" xfId="0" applyAlignment="1" applyBorder="1" applyFont="1" applyNumberFormat="1">
      <alignment readingOrder="0" shrinkToFit="0" vertical="center" wrapText="1"/>
    </xf>
    <xf quotePrefix="1" borderId="0" fillId="4" fontId="3" numFmtId="0" xfId="0" applyAlignment="1" applyFont="1">
      <alignment horizontal="center" readingOrder="0" vertical="center"/>
    </xf>
    <xf quotePrefix="1" borderId="9" fillId="4" fontId="3" numFmtId="0" xfId="0" applyAlignment="1" applyBorder="1" applyFont="1">
      <alignment horizontal="center" readingOrder="0" vertical="center"/>
    </xf>
    <xf borderId="0" fillId="5" fontId="6" numFmtId="0" xfId="0" applyFont="1"/>
    <xf borderId="25" fillId="5" fontId="3" numFmtId="1" xfId="0" applyBorder="1" applyFont="1" applyNumberFormat="1"/>
    <xf borderId="0" fillId="5" fontId="3" numFmtId="1" xfId="0" applyAlignment="1" applyFont="1" applyNumberFormat="1">
      <alignment horizontal="center" readingOrder="0" vertical="center"/>
    </xf>
    <xf borderId="9" fillId="5" fontId="3" numFmtId="1" xfId="0" applyAlignment="1" applyBorder="1" applyFont="1" applyNumberFormat="1">
      <alignment horizontal="center" readingOrder="0" vertical="center"/>
    </xf>
    <xf borderId="0" fillId="5" fontId="3" numFmtId="1" xfId="0" applyAlignment="1" applyFont="1" applyNumberFormat="1">
      <alignment horizontal="center" readingOrder="0" vertical="center"/>
    </xf>
    <xf borderId="0" fillId="5" fontId="6" numFmtId="1" xfId="0" applyAlignment="1" applyFont="1" applyNumberFormat="1">
      <alignment horizontal="center" readingOrder="0" vertical="center"/>
    </xf>
    <xf borderId="9" fillId="5" fontId="6" numFmtId="1" xfId="0" applyAlignment="1" applyBorder="1" applyFont="1" applyNumberFormat="1">
      <alignment horizontal="center" readingOrder="0" vertical="center"/>
    </xf>
    <xf borderId="49" fillId="0" fontId="3" numFmtId="1" xfId="0" applyAlignment="1" applyBorder="1" applyFont="1" applyNumberFormat="1">
      <alignment vertical="center"/>
    </xf>
    <xf borderId="0" fillId="5" fontId="3" numFmtId="166" xfId="0" applyAlignment="1" applyFont="1" applyNumberFormat="1">
      <alignment horizontal="center" readingOrder="0" vertical="center"/>
    </xf>
    <xf borderId="9" fillId="5" fontId="3" numFmtId="166" xfId="0" applyAlignment="1" applyBorder="1" applyFont="1" applyNumberFormat="1">
      <alignment horizontal="center" readingOrder="0" vertical="center"/>
    </xf>
    <xf borderId="0" fillId="5" fontId="6" numFmtId="1" xfId="0" applyFont="1" applyNumberFormat="1"/>
    <xf borderId="50" fillId="0" fontId="6" numFmtId="1" xfId="0" applyBorder="1" applyFont="1" applyNumberFormat="1"/>
    <xf borderId="0" fillId="0" fontId="6" numFmtId="1" xfId="0" applyFont="1" applyNumberFormat="1"/>
    <xf borderId="0" fillId="0" fontId="3" numFmtId="1" xfId="0" applyAlignment="1" applyFont="1" applyNumberFormat="1">
      <alignment vertical="center"/>
    </xf>
    <xf borderId="0" fillId="5" fontId="6" numFmtId="166" xfId="0" applyAlignment="1" applyFont="1" applyNumberFormat="1">
      <alignment horizontal="center" readingOrder="0" vertical="center"/>
    </xf>
    <xf borderId="9" fillId="5" fontId="6" numFmtId="166" xfId="0" applyAlignment="1" applyBorder="1" applyFont="1" applyNumberFormat="1">
      <alignment horizontal="center" readingOrder="0" vertical="center"/>
    </xf>
    <xf borderId="5" fillId="0" fontId="3" numFmtId="4" xfId="0" applyAlignment="1" applyBorder="1" applyFont="1" applyNumberFormat="1">
      <alignment horizontal="center" vertical="center"/>
    </xf>
    <xf borderId="6" fillId="0" fontId="3" numFmtId="4" xfId="0" applyAlignment="1" applyBorder="1" applyFont="1" applyNumberFormat="1">
      <alignment horizontal="center" vertical="center"/>
    </xf>
    <xf borderId="50" fillId="0" fontId="3" numFmtId="0" xfId="0" applyAlignment="1" applyBorder="1" applyFont="1">
      <alignment vertical="bottom"/>
    </xf>
    <xf borderId="25" fillId="0" fontId="3" numFmtId="1" xfId="0" applyBorder="1" applyFont="1" applyNumberFormat="1"/>
    <xf borderId="0" fillId="0" fontId="3" numFmtId="1" xfId="0" applyAlignment="1" applyFont="1" applyNumberFormat="1">
      <alignment horizontal="center" readingOrder="0" vertical="center"/>
    </xf>
    <xf borderId="9" fillId="0" fontId="3" numFmtId="1" xfId="0" applyAlignment="1" applyBorder="1" applyFont="1" applyNumberFormat="1">
      <alignment horizontal="center" readingOrder="0" vertical="center"/>
    </xf>
    <xf borderId="25" fillId="0" fontId="3" numFmtId="0" xfId="0" applyBorder="1" applyFont="1"/>
    <xf borderId="0" fillId="0" fontId="3" numFmtId="166" xfId="0" applyAlignment="1" applyFont="1" applyNumberFormat="1">
      <alignment horizontal="center" readingOrder="0" vertical="center"/>
    </xf>
    <xf borderId="9" fillId="0" fontId="3" numFmtId="166" xfId="0" applyAlignment="1" applyBorder="1" applyFont="1" applyNumberFormat="1">
      <alignment horizontal="center" readingOrder="0" vertical="center"/>
    </xf>
    <xf borderId="25" fillId="0" fontId="3" numFmtId="0" xfId="0" applyAlignment="1" applyBorder="1" applyFont="1">
      <alignment readingOrder="0"/>
    </xf>
    <xf borderId="0" fillId="0" fontId="3" numFmtId="166" xfId="0" applyAlignment="1" applyFont="1" applyNumberFormat="1">
      <alignment horizontal="center" readingOrder="0" vertical="center"/>
    </xf>
    <xf borderId="9" fillId="0" fontId="3" numFmtId="166" xfId="0" applyAlignment="1" applyBorder="1" applyFont="1" applyNumberFormat="1">
      <alignment horizontal="center" readingOrder="0" vertical="center"/>
    </xf>
    <xf borderId="50" fillId="0" fontId="3" numFmtId="1" xfId="0" applyAlignment="1" applyBorder="1" applyFont="1" applyNumberFormat="1">
      <alignment vertical="center"/>
    </xf>
    <xf borderId="0" fillId="0" fontId="3" numFmtId="4" xfId="0" applyAlignment="1" applyFont="1" applyNumberFormat="1">
      <alignment horizontal="center" readingOrder="0" vertical="center"/>
    </xf>
    <xf borderId="9" fillId="0" fontId="3" numFmtId="4" xfId="0" applyAlignment="1" applyBorder="1" applyFont="1" applyNumberFormat="1">
      <alignment horizontal="center" readingOrder="0" vertical="center"/>
    </xf>
    <xf borderId="33" fillId="2" fontId="4" numFmtId="0" xfId="0" applyAlignment="1" applyBorder="1" applyFont="1">
      <alignment horizontal="center" readingOrder="0" vertical="center"/>
    </xf>
    <xf borderId="0" fillId="5" fontId="16" numFmtId="164" xfId="0" applyAlignment="1" applyFont="1" applyNumberFormat="1">
      <alignment horizontal="left" readingOrder="0"/>
    </xf>
    <xf borderId="25" fillId="0" fontId="9" numFmtId="0" xfId="0" applyAlignment="1" applyBorder="1" applyFont="1">
      <alignment horizontal="center" vertical="center"/>
    </xf>
    <xf borderId="0" fillId="0" fontId="3" numFmtId="10" xfId="0" applyAlignment="1" applyFont="1" applyNumberFormat="1">
      <alignment horizontal="center" vertical="center"/>
    </xf>
    <xf borderId="9" fillId="0" fontId="3" numFmtId="10" xfId="0" applyAlignment="1" applyBorder="1" applyFont="1" applyNumberFormat="1">
      <alignment horizontal="center" vertical="center"/>
    </xf>
    <xf borderId="25" fillId="0" fontId="9" numFmtId="0" xfId="0" applyAlignment="1" applyBorder="1" applyFont="1">
      <alignment horizontal="center" readingOrder="0" vertical="center"/>
    </xf>
    <xf borderId="25" fillId="0" fontId="3" numFmtId="164" xfId="0" applyAlignment="1" applyBorder="1" applyFont="1" applyNumberFormat="1">
      <alignment shrinkToFit="0" vertical="center" wrapText="1"/>
    </xf>
    <xf borderId="21" fillId="0" fontId="9" numFmtId="0" xfId="0" applyAlignment="1" applyBorder="1" applyFont="1">
      <alignment horizontal="center" readingOrder="0" vertical="center"/>
    </xf>
    <xf borderId="5" fillId="0" fontId="3" numFmtId="10" xfId="0" applyAlignment="1" applyBorder="1" applyFont="1" applyNumberFormat="1">
      <alignment horizontal="center" vertical="center"/>
    </xf>
    <xf borderId="6" fillId="0" fontId="3" numFmtId="10" xfId="0" applyAlignment="1" applyBorder="1" applyFont="1" applyNumberFormat="1">
      <alignment horizontal="center" vertical="center"/>
    </xf>
    <xf borderId="21" fillId="0" fontId="3" numFmtId="164" xfId="0" applyAlignment="1" applyBorder="1" applyFont="1" applyNumberFormat="1">
      <alignment shrinkToFit="0" vertical="center" wrapText="1"/>
    </xf>
    <xf borderId="33" fillId="0" fontId="17" numFmtId="0" xfId="0" applyAlignment="1" applyBorder="1" applyFont="1">
      <alignment horizontal="center" readingOrder="0" shrinkToFit="0" vertical="center" wrapText="1"/>
    </xf>
    <xf borderId="21" fillId="0" fontId="2" numFmtId="0" xfId="0" applyBorder="1" applyFont="1"/>
    <xf borderId="21" fillId="3" fontId="13" numFmtId="0" xfId="0" applyAlignment="1" applyBorder="1" applyFont="1">
      <alignment horizontal="center" readingOrder="0" shrinkToFit="0" vertical="center" wrapText="1"/>
    </xf>
    <xf borderId="11" fillId="4" fontId="1" numFmtId="0" xfId="0" applyAlignment="1" applyBorder="1" applyFont="1">
      <alignment horizontal="center" readingOrder="0" vertical="center"/>
    </xf>
    <xf borderId="9" fillId="0" fontId="6" numFmtId="0" xfId="0" applyBorder="1" applyFont="1"/>
    <xf borderId="25" fillId="0" fontId="1" numFmtId="0" xfId="0" applyAlignment="1" applyBorder="1" applyFont="1">
      <alignment horizontal="center" readingOrder="0" shrinkToFit="0" vertical="center" wrapText="1"/>
    </xf>
    <xf borderId="8" fillId="18" fontId="6" numFmtId="0" xfId="0" applyAlignment="1" applyBorder="1" applyFill="1" applyFont="1">
      <alignment horizontal="center" readingOrder="0" vertical="center"/>
    </xf>
    <xf borderId="11" fillId="0" fontId="1" numFmtId="0" xfId="0" applyAlignment="1" applyBorder="1" applyFont="1">
      <alignment horizontal="center" readingOrder="0" shrinkToFit="0" vertical="center" wrapText="1"/>
    </xf>
    <xf borderId="8" fillId="18" fontId="6" numFmtId="0" xfId="0" applyAlignment="1" applyBorder="1" applyFont="1">
      <alignment horizontal="center" shrinkToFit="0" vertical="center" wrapText="1"/>
    </xf>
    <xf borderId="8" fillId="18" fontId="6" numFmtId="0" xfId="0" applyAlignment="1" applyBorder="1" applyFont="1">
      <alignment horizontal="center" vertical="center"/>
    </xf>
    <xf borderId="8" fillId="19" fontId="6" numFmtId="0" xfId="0" applyAlignment="1" applyBorder="1" applyFill="1" applyFont="1">
      <alignment horizontal="center" readingOrder="0" vertical="center"/>
    </xf>
    <xf borderId="8" fillId="19" fontId="6" numFmtId="0" xfId="0" applyAlignment="1" applyBorder="1" applyFont="1">
      <alignment horizontal="center" readingOrder="0" shrinkToFit="0" vertical="center" wrapText="1"/>
    </xf>
    <xf borderId="8" fillId="0" fontId="6" numFmtId="0" xfId="0" applyAlignment="1" applyBorder="1" applyFont="1">
      <alignment horizontal="center" vertical="center"/>
    </xf>
    <xf borderId="11" fillId="0" fontId="1" numFmtId="0" xfId="0" applyAlignment="1" applyBorder="1" applyFont="1">
      <alignment horizontal="center" readingOrder="0" vertical="center"/>
    </xf>
    <xf borderId="35" fillId="0" fontId="1" numFmtId="0" xfId="0" applyAlignment="1" applyBorder="1" applyFont="1">
      <alignment horizontal="center" readingOrder="0" shrinkToFit="0" vertical="center" wrapText="1"/>
    </xf>
    <xf borderId="41" fillId="5" fontId="6" numFmtId="0" xfId="0" applyAlignment="1" applyBorder="1" applyFont="1">
      <alignment horizontal="center" readingOrder="0" vertical="center"/>
    </xf>
    <xf borderId="34" fillId="4" fontId="1" numFmtId="0" xfId="0" applyAlignment="1" applyBorder="1" applyFont="1">
      <alignment horizontal="center" readingOrder="0" vertical="center"/>
    </xf>
    <xf borderId="25" fillId="0" fontId="1" numFmtId="0" xfId="0" applyAlignment="1" applyBorder="1" applyFont="1">
      <alignment horizontal="center" readingOrder="0" vertical="center"/>
    </xf>
    <xf borderId="38" fillId="0" fontId="1" numFmtId="0" xfId="0" applyAlignment="1" applyBorder="1" applyFont="1">
      <alignment horizontal="center" readingOrder="0" vertical="center"/>
    </xf>
    <xf borderId="41" fillId="18" fontId="6" numFmtId="0" xfId="0" applyAlignment="1" applyBorder="1" applyFont="1">
      <alignment horizontal="center" readingOrder="0" vertical="center"/>
    </xf>
    <xf borderId="0" fillId="0" fontId="6" numFmtId="0" xfId="0" applyAlignment="1" applyFont="1">
      <alignment horizontal="center" vertical="center"/>
    </xf>
    <xf borderId="41" fillId="18" fontId="6" numFmtId="0" xfId="0" applyAlignment="1" applyBorder="1" applyFont="1">
      <alignment horizontal="center" vertical="center"/>
    </xf>
    <xf borderId="35" fillId="0" fontId="1" numFmtId="0" xfId="0" applyAlignment="1" applyBorder="1" applyFont="1">
      <alignment horizontal="center" readingOrder="0" vertical="center"/>
    </xf>
    <xf borderId="26" fillId="0" fontId="1" numFmtId="0" xfId="0" applyAlignment="1" applyBorder="1" applyFont="1">
      <alignment horizontal="center" readingOrder="0" shrinkToFit="0" vertical="center" wrapText="1"/>
    </xf>
    <xf borderId="45" fillId="18" fontId="1" numFmtId="0" xfId="0" applyAlignment="1" applyBorder="1" applyFont="1">
      <alignment horizontal="center" readingOrder="0" shrinkToFit="0" vertical="center" wrapText="1"/>
    </xf>
    <xf borderId="9" fillId="0" fontId="6" numFmtId="0" xfId="0" applyAlignment="1" applyBorder="1" applyFont="1">
      <alignment horizontal="center" vertical="center"/>
    </xf>
    <xf borderId="8" fillId="18" fontId="6" numFmtId="0" xfId="0" applyAlignment="1" applyBorder="1" applyFont="1">
      <alignment horizontal="center" readingOrder="0" shrinkToFit="0" vertical="center" wrapText="1"/>
    </xf>
    <xf borderId="38" fillId="0" fontId="2" numFmtId="0" xfId="0" applyBorder="1" applyFont="1"/>
    <xf borderId="41" fillId="0" fontId="2" numFmtId="0" xfId="0" applyBorder="1" applyFont="1"/>
    <xf borderId="8" fillId="0" fontId="6" numFmtId="0" xfId="0" applyAlignment="1" applyBorder="1" applyFont="1">
      <alignment horizontal="center" shrinkToFit="0" vertical="center" wrapText="1"/>
    </xf>
    <xf borderId="45" fillId="0" fontId="1" numFmtId="0" xfId="0" applyAlignment="1" applyBorder="1" applyFont="1">
      <alignment horizontal="center" shrinkToFit="0" vertical="center" wrapText="1"/>
    </xf>
    <xf borderId="21" fillId="0" fontId="1" numFmtId="0" xfId="0" applyAlignment="1" applyBorder="1" applyFont="1">
      <alignment horizontal="center" readingOrder="0" vertical="center"/>
    </xf>
    <xf borderId="10" fillId="18" fontId="6" numFmtId="0" xfId="0" applyAlignment="1" applyBorder="1" applyFont="1">
      <alignment horizontal="center" readingOrder="0" vertical="center"/>
    </xf>
    <xf borderId="5" fillId="0" fontId="6" numFmtId="0" xfId="0" applyBorder="1" applyFont="1"/>
    <xf borderId="6" fillId="0" fontId="6" numFmtId="0" xfId="0" applyBorder="1" applyFont="1"/>
    <xf borderId="10" fillId="18" fontId="6" numFmtId="0" xfId="0" applyAlignment="1" applyBorder="1" applyFont="1">
      <alignment horizontal="center" vertical="center"/>
    </xf>
    <xf borderId="26" fillId="2" fontId="4" numFmtId="164" xfId="0" applyAlignment="1" applyBorder="1" applyFont="1" applyNumberFormat="1">
      <alignment horizontal="center" vertical="center"/>
    </xf>
    <xf borderId="0" fillId="20" fontId="4" numFmtId="164" xfId="0" applyAlignment="1" applyFill="1" applyFont="1" applyNumberFormat="1">
      <alignment horizontal="center" vertical="center"/>
    </xf>
    <xf borderId="11" fillId="3" fontId="4" numFmtId="164" xfId="0" applyAlignment="1" applyBorder="1" applyFont="1" applyNumberFormat="1">
      <alignment horizontal="center" vertical="center"/>
    </xf>
    <xf borderId="0" fillId="3" fontId="18" numFmtId="164" xfId="0" applyAlignment="1" applyFont="1" applyNumberFormat="1">
      <alignment horizontal="center" readingOrder="0" vertical="center"/>
    </xf>
    <xf borderId="26" fillId="2" fontId="1" numFmtId="164" xfId="0" applyAlignment="1" applyBorder="1" applyFont="1" applyNumberFormat="1">
      <alignment horizontal="center" readingOrder="0" vertical="center"/>
    </xf>
    <xf borderId="11" fillId="4" fontId="3" numFmtId="164" xfId="0" applyAlignment="1" applyBorder="1" applyFont="1" applyNumberFormat="1">
      <alignment horizontal="center" vertical="center"/>
    </xf>
    <xf borderId="11" fillId="5" fontId="6" numFmtId="0" xfId="0" applyAlignment="1" applyBorder="1" applyFont="1">
      <alignment horizontal="center" readingOrder="0" vertical="center"/>
    </xf>
    <xf borderId="8" fillId="5" fontId="6" numFmtId="1" xfId="0" applyAlignment="1" applyBorder="1" applyFont="1" applyNumberFormat="1">
      <alignment horizontal="center" readingOrder="0" vertical="center"/>
    </xf>
    <xf borderId="11" fillId="5" fontId="3" numFmtId="164" xfId="0" applyAlignment="1" applyBorder="1" applyFont="1" applyNumberFormat="1">
      <alignment horizontal="center" vertical="center"/>
    </xf>
    <xf borderId="0" fillId="5" fontId="3" numFmtId="164" xfId="0" applyAlignment="1" applyFont="1" applyNumberFormat="1">
      <alignment horizontal="center" readingOrder="0" shrinkToFit="0" vertical="center" wrapText="1"/>
    </xf>
    <xf borderId="8" fillId="5" fontId="3" numFmtId="164" xfId="0" applyAlignment="1" applyBorder="1" applyFont="1" applyNumberFormat="1">
      <alignment horizontal="center" readingOrder="0" shrinkToFit="0" vertical="center" wrapText="1"/>
    </xf>
    <xf borderId="11" fillId="5" fontId="6" numFmtId="164" xfId="0" applyAlignment="1" applyBorder="1" applyFont="1" applyNumberFormat="1">
      <alignment horizontal="center" readingOrder="0" shrinkToFit="0" vertical="center" wrapText="1"/>
    </xf>
    <xf borderId="0" fillId="0" fontId="6" numFmtId="164" xfId="0" applyAlignment="1" applyFont="1" applyNumberFormat="1">
      <alignment horizontal="center" vertical="center"/>
    </xf>
    <xf borderId="11" fillId="6" fontId="3" numFmtId="164" xfId="0" applyAlignment="1" applyBorder="1" applyFont="1" applyNumberFormat="1">
      <alignment horizontal="center" vertical="center"/>
    </xf>
    <xf borderId="0" fillId="6" fontId="3" numFmtId="1" xfId="0" applyAlignment="1" applyFont="1" applyNumberFormat="1">
      <alignment horizontal="center" readingOrder="0" vertical="center"/>
    </xf>
    <xf borderId="11" fillId="6" fontId="2" numFmtId="0" xfId="0" applyBorder="1" applyFont="1"/>
    <xf borderId="8" fillId="5" fontId="6" numFmtId="1" xfId="0" applyAlignment="1" applyBorder="1" applyFont="1" applyNumberFormat="1">
      <alignment horizontal="center" vertical="center"/>
    </xf>
    <xf borderId="0" fillId="7" fontId="3" numFmtId="2" xfId="0" applyAlignment="1" applyFont="1" applyNumberFormat="1">
      <alignment horizontal="center" readingOrder="0" vertical="center"/>
    </xf>
    <xf borderId="8" fillId="7" fontId="3" numFmtId="2" xfId="0" applyAlignment="1" applyBorder="1" applyFont="1" applyNumberFormat="1">
      <alignment horizontal="center" readingOrder="0" vertical="center"/>
    </xf>
    <xf borderId="11" fillId="5" fontId="6" numFmtId="164" xfId="0" applyAlignment="1" applyBorder="1" applyFont="1" applyNumberFormat="1">
      <alignment horizontal="center" readingOrder="0" vertical="center"/>
    </xf>
    <xf borderId="0" fillId="9" fontId="3" numFmtId="2" xfId="0" applyAlignment="1" applyFont="1" applyNumberFormat="1">
      <alignment horizontal="center" readingOrder="0" vertical="center"/>
    </xf>
    <xf borderId="8" fillId="9" fontId="3" numFmtId="2" xfId="0" applyAlignment="1" applyBorder="1" applyFont="1" applyNumberFormat="1">
      <alignment horizontal="center" readingOrder="0" vertical="center"/>
    </xf>
    <xf borderId="8" fillId="5" fontId="6" numFmtId="2" xfId="0" applyAlignment="1" applyBorder="1" applyFont="1" applyNumberFormat="1">
      <alignment horizontal="center" vertical="center"/>
    </xf>
    <xf borderId="0" fillId="6" fontId="3" numFmtId="2" xfId="0" applyAlignment="1" applyFont="1" applyNumberFormat="1">
      <alignment horizontal="center" readingOrder="0" vertical="center"/>
    </xf>
    <xf borderId="8" fillId="5" fontId="6" numFmtId="2" xfId="0" applyAlignment="1" applyBorder="1" applyFont="1" applyNumberFormat="1">
      <alignment horizontal="center" readingOrder="0" vertical="center"/>
    </xf>
    <xf borderId="0" fillId="10" fontId="3" numFmtId="2" xfId="0" applyAlignment="1" applyFont="1" applyNumberFormat="1">
      <alignment horizontal="center" readingOrder="0" vertical="center"/>
    </xf>
    <xf borderId="8" fillId="10" fontId="3" numFmtId="2" xfId="0" applyAlignment="1" applyBorder="1" applyFont="1" applyNumberFormat="1">
      <alignment horizontal="center" readingOrder="0" vertical="center"/>
    </xf>
    <xf borderId="38" fillId="5" fontId="6" numFmtId="164" xfId="0" applyAlignment="1" applyBorder="1" applyFont="1" applyNumberFormat="1">
      <alignment horizontal="center" readingOrder="0" vertical="center"/>
    </xf>
    <xf borderId="41" fillId="5" fontId="6" numFmtId="166" xfId="0" applyAlignment="1" applyBorder="1" applyFont="1" applyNumberFormat="1">
      <alignment horizontal="center" vertical="center"/>
    </xf>
    <xf borderId="11" fillId="5" fontId="3" numFmtId="164" xfId="0" applyAlignment="1" applyBorder="1" applyFont="1" applyNumberFormat="1">
      <alignment horizontal="center" readingOrder="0" vertical="center"/>
    </xf>
    <xf borderId="0" fillId="5" fontId="6" numFmtId="0" xfId="0" applyAlignment="1" applyFont="1">
      <alignment horizontal="center" readingOrder="0" vertical="center"/>
    </xf>
    <xf borderId="0" fillId="5" fontId="6" numFmtId="164" xfId="0" applyAlignment="1" applyFont="1" applyNumberFormat="1">
      <alignment horizontal="center" readingOrder="0" vertical="center"/>
    </xf>
    <xf borderId="38" fillId="6" fontId="4" numFmtId="164" xfId="0" applyAlignment="1" applyBorder="1" applyFont="1" applyNumberFormat="1">
      <alignment horizontal="center" readingOrder="0" vertical="center"/>
    </xf>
    <xf borderId="36" fillId="6" fontId="4" numFmtId="1" xfId="0" applyAlignment="1" applyBorder="1" applyFont="1" applyNumberFormat="1">
      <alignment horizontal="center" vertical="center"/>
    </xf>
    <xf borderId="36" fillId="6" fontId="4" numFmtId="2" xfId="0" applyAlignment="1" applyBorder="1" applyFont="1" applyNumberFormat="1">
      <alignment horizontal="center" vertical="center"/>
    </xf>
    <xf borderId="41" fillId="6" fontId="2" numFmtId="0" xfId="0" applyBorder="1" applyFont="1"/>
    <xf borderId="0" fillId="5" fontId="6" numFmtId="164" xfId="0" applyAlignment="1" applyFont="1" applyNumberFormat="1">
      <alignment vertical="center"/>
    </xf>
    <xf borderId="0" fillId="5" fontId="6" numFmtId="164" xfId="0" applyAlignment="1" applyFont="1" applyNumberFormat="1">
      <alignment horizontal="center" vertical="center"/>
    </xf>
    <xf borderId="8" fillId="0" fontId="3" numFmtId="1" xfId="0" applyAlignment="1" applyBorder="1" applyFont="1" applyNumberFormat="1">
      <alignment horizontal="center" vertical="center"/>
    </xf>
    <xf borderId="11" fillId="0" fontId="9" numFmtId="164" xfId="0" applyAlignment="1" applyBorder="1" applyFont="1" applyNumberFormat="1">
      <alignment readingOrder="0" vertical="center"/>
    </xf>
    <xf borderId="8" fillId="0" fontId="3" numFmtId="1" xfId="0" applyAlignment="1" applyBorder="1" applyFont="1" applyNumberFormat="1">
      <alignment horizontal="center" readingOrder="0" vertical="center"/>
    </xf>
    <xf borderId="38" fillId="0" fontId="3" numFmtId="164" xfId="0" applyAlignment="1" applyBorder="1" applyFont="1" applyNumberFormat="1">
      <alignment vertical="center"/>
    </xf>
    <xf borderId="41" fillId="0" fontId="3" numFmtId="1" xfId="0" applyAlignment="1" applyBorder="1" applyFont="1" applyNumberFormat="1">
      <alignment horizontal="center" readingOrder="0" vertical="center"/>
    </xf>
    <xf borderId="38" fillId="0" fontId="8" numFmtId="164" xfId="0" applyAlignment="1" applyBorder="1" applyFont="1" applyNumberFormat="1">
      <alignment readingOrder="0" vertical="center"/>
    </xf>
    <xf borderId="0" fillId="5" fontId="4" numFmtId="164" xfId="0" applyAlignment="1" applyFont="1" applyNumberFormat="1">
      <alignment horizontal="center" readingOrder="0" vertical="center"/>
    </xf>
    <xf borderId="8" fillId="0" fontId="3" numFmtId="166" xfId="0" applyAlignment="1" applyBorder="1" applyFont="1" applyNumberFormat="1">
      <alignment horizontal="center" readingOrder="0" vertical="center"/>
    </xf>
    <xf borderId="41" fillId="0" fontId="3" numFmtId="166" xfId="0" applyAlignment="1" applyBorder="1" applyFont="1" applyNumberFormat="1">
      <alignment horizontal="center" readingOrder="0" vertical="center"/>
    </xf>
    <xf borderId="52" fillId="0" fontId="6" numFmtId="164" xfId="0" applyAlignment="1" applyBorder="1" applyFont="1" applyNumberFormat="1">
      <alignment vertical="center"/>
    </xf>
    <xf borderId="0" fillId="5" fontId="4" numFmtId="0" xfId="0" applyAlignment="1" applyFont="1">
      <alignment horizontal="center" readingOrder="0"/>
    </xf>
    <xf borderId="0" fillId="5" fontId="3" numFmtId="164" xfId="0" applyAlignment="1" applyFont="1" applyNumberFormat="1">
      <alignment horizontal="center" readingOrder="0" vertical="center"/>
    </xf>
    <xf borderId="26" fillId="2" fontId="4" numFmtId="0" xfId="0" applyAlignment="1" applyBorder="1" applyFont="1">
      <alignment horizontal="center" readingOrder="0" vertical="center"/>
    </xf>
    <xf borderId="11" fillId="0" fontId="3" numFmtId="0" xfId="0" applyAlignment="1" applyBorder="1" applyFont="1">
      <alignment horizontal="center" readingOrder="0" vertical="center"/>
    </xf>
    <xf borderId="11" fillId="4" fontId="3" numFmtId="164" xfId="0" applyAlignment="1" applyBorder="1" applyFont="1" applyNumberFormat="1">
      <alignment horizontal="center" readingOrder="0" vertical="center"/>
    </xf>
    <xf borderId="11" fillId="5" fontId="3" numFmtId="0" xfId="0" applyAlignment="1" applyBorder="1" applyFont="1">
      <alignment horizontal="center" readingOrder="0" vertical="center"/>
    </xf>
    <xf borderId="11" fillId="0" fontId="3" numFmtId="166" xfId="0" applyAlignment="1" applyBorder="1" applyFont="1" applyNumberFormat="1">
      <alignment horizontal="center" readingOrder="0" vertical="center"/>
    </xf>
    <xf borderId="11" fillId="0" fontId="3" numFmtId="4" xfId="0" applyAlignment="1" applyBorder="1" applyFont="1" applyNumberFormat="1">
      <alignment horizontal="center" readingOrder="0" vertical="center"/>
    </xf>
    <xf borderId="8" fillId="5" fontId="3" numFmtId="166" xfId="0" applyAlignment="1" applyBorder="1" applyFont="1" applyNumberFormat="1">
      <alignment horizontal="center" readingOrder="0" vertical="center"/>
    </xf>
    <xf borderId="11" fillId="0" fontId="3" numFmtId="3" xfId="0" applyAlignment="1" applyBorder="1" applyFont="1" applyNumberFormat="1">
      <alignment horizontal="center" readingOrder="0" vertical="center"/>
    </xf>
    <xf borderId="11" fillId="0" fontId="3" numFmtId="3" xfId="0" applyAlignment="1" applyBorder="1" applyFont="1" applyNumberFormat="1">
      <alignment horizontal="center" vertical="center"/>
    </xf>
    <xf borderId="38" fillId="5" fontId="3" numFmtId="0" xfId="0" applyAlignment="1" applyBorder="1" applyFont="1">
      <alignment horizontal="center" readingOrder="0" vertical="center"/>
    </xf>
    <xf borderId="41" fillId="5" fontId="3" numFmtId="164" xfId="0" applyAlignment="1" applyBorder="1" applyFont="1" applyNumberFormat="1">
      <alignment horizontal="center" vertical="center"/>
    </xf>
    <xf borderId="11" fillId="0" fontId="3" numFmtId="167" xfId="0" applyAlignment="1" applyBorder="1" applyFont="1" applyNumberFormat="1">
      <alignment horizontal="center" readingOrder="0" vertical="center"/>
    </xf>
    <xf borderId="11" fillId="0" fontId="3" numFmtId="167" xfId="0" applyAlignment="1" applyBorder="1" applyFont="1" applyNumberFormat="1">
      <alignment horizontal="center" vertical="center"/>
    </xf>
    <xf borderId="0" fillId="0" fontId="6" numFmtId="166" xfId="0" applyAlignment="1" applyFont="1" applyNumberFormat="1">
      <alignment horizontal="center" vertical="center"/>
    </xf>
    <xf borderId="0" fillId="0" fontId="3" numFmtId="3" xfId="0" applyAlignment="1" applyFont="1" applyNumberFormat="1">
      <alignment horizontal="center" readingOrder="0" vertical="center"/>
    </xf>
    <xf borderId="11" fillId="0" fontId="3" numFmtId="168" xfId="0" applyAlignment="1" applyBorder="1" applyFont="1" applyNumberFormat="1">
      <alignment horizontal="center" readingOrder="0" vertical="center"/>
    </xf>
    <xf borderId="11" fillId="0" fontId="3" numFmtId="4" xfId="0" applyAlignment="1" applyBorder="1" applyFont="1" applyNumberFormat="1">
      <alignment horizontal="center" vertical="center"/>
    </xf>
    <xf borderId="8" fillId="0" fontId="3" numFmtId="3" xfId="0" applyAlignment="1" applyBorder="1" applyFont="1" applyNumberFormat="1">
      <alignment horizontal="center" readingOrder="0" vertical="center"/>
    </xf>
    <xf borderId="0" fillId="0" fontId="3" numFmtId="3" xfId="0" applyAlignment="1" applyFont="1" applyNumberFormat="1">
      <alignment horizontal="center" vertical="center"/>
    </xf>
    <xf borderId="0" fillId="0" fontId="3" numFmtId="168" xfId="0" applyAlignment="1" applyFont="1" applyNumberFormat="1">
      <alignment horizontal="center" readingOrder="0" vertical="center"/>
    </xf>
    <xf borderId="8" fillId="0" fontId="3" numFmtId="168" xfId="0" applyAlignment="1" applyBorder="1" applyFont="1" applyNumberFormat="1">
      <alignment horizontal="center" readingOrder="0" vertical="center"/>
    </xf>
    <xf borderId="38" fillId="0" fontId="3" numFmtId="166" xfId="0" applyAlignment="1" applyBorder="1" applyFont="1" applyNumberFormat="1">
      <alignment horizontal="center" readingOrder="0" vertical="center"/>
    </xf>
    <xf borderId="38" fillId="0" fontId="3" numFmtId="4" xfId="0" applyAlignment="1" applyBorder="1" applyFont="1" applyNumberFormat="1">
      <alignment horizontal="center" readingOrder="0" vertical="center"/>
    </xf>
    <xf borderId="36" fillId="0" fontId="3" numFmtId="3" xfId="0" applyAlignment="1" applyBorder="1" applyFont="1" applyNumberFormat="1">
      <alignment horizontal="center" readingOrder="0" vertical="center"/>
    </xf>
    <xf borderId="41" fillId="0" fontId="3" numFmtId="3" xfId="0" applyAlignment="1" applyBorder="1" applyFont="1" applyNumberFormat="1">
      <alignment horizontal="center" readingOrder="0" vertical="center"/>
    </xf>
    <xf borderId="0" fillId="0" fontId="3" numFmtId="166" xfId="0" applyAlignment="1" applyFont="1" applyNumberFormat="1">
      <alignment horizontal="left" vertical="center"/>
    </xf>
    <xf borderId="26" fillId="2" fontId="4" numFmtId="0" xfId="0" applyAlignment="1" applyBorder="1" applyFont="1">
      <alignment horizontal="center" readingOrder="0" shrinkToFit="0" vertical="center" wrapText="1"/>
    </xf>
    <xf borderId="26" fillId="2" fontId="4" numFmtId="0" xfId="0" applyAlignment="1" applyBorder="1" applyFont="1">
      <alignment horizontal="center"/>
    </xf>
    <xf borderId="0" fillId="5" fontId="4" numFmtId="0" xfId="0" applyAlignment="1" applyFont="1">
      <alignment horizontal="center"/>
    </xf>
    <xf borderId="26" fillId="2" fontId="4" numFmtId="0" xfId="0" applyAlignment="1" applyBorder="1" applyFont="1">
      <alignment horizontal="center" readingOrder="0"/>
    </xf>
    <xf borderId="11" fillId="0" fontId="2" numFmtId="0" xfId="0" applyBorder="1" applyFont="1"/>
    <xf borderId="11" fillId="5" fontId="3" numFmtId="0" xfId="0" applyAlignment="1" applyBorder="1" applyFont="1">
      <alignment readingOrder="0"/>
    </xf>
    <xf borderId="8" fillId="5" fontId="3" numFmtId="4" xfId="0" applyAlignment="1" applyBorder="1" applyFont="1" applyNumberFormat="1">
      <alignment horizontal="center" readingOrder="0" vertical="center"/>
    </xf>
    <xf borderId="8" fillId="5" fontId="3" numFmtId="2" xfId="0" applyAlignment="1" applyBorder="1" applyFont="1" applyNumberFormat="1">
      <alignment horizontal="center" readingOrder="0" vertical="center"/>
    </xf>
    <xf borderId="11" fillId="5" fontId="3" numFmtId="1" xfId="0" applyBorder="1" applyFont="1" applyNumberFormat="1"/>
    <xf borderId="8" fillId="5" fontId="3" numFmtId="1" xfId="0" applyAlignment="1" applyBorder="1" applyFont="1" applyNumberFormat="1">
      <alignment horizontal="center" readingOrder="0" vertical="center"/>
    </xf>
    <xf borderId="11" fillId="5" fontId="3" numFmtId="1" xfId="0" applyAlignment="1" applyBorder="1" applyFont="1" applyNumberFormat="1">
      <alignment readingOrder="0"/>
    </xf>
    <xf borderId="8" fillId="5" fontId="3" numFmtId="166" xfId="0" applyAlignment="1" applyBorder="1" applyFont="1" applyNumberFormat="1">
      <alignment horizontal="center" readingOrder="0" vertical="center"/>
    </xf>
    <xf borderId="38" fillId="5" fontId="3" numFmtId="1" xfId="0" applyAlignment="1" applyBorder="1" applyFont="1" applyNumberFormat="1">
      <alignment readingOrder="0"/>
    </xf>
    <xf borderId="41" fillId="5" fontId="3" numFmtId="2" xfId="0" applyAlignment="1" applyBorder="1" applyFont="1" applyNumberFormat="1">
      <alignment horizontal="center" readingOrder="0" vertical="center"/>
    </xf>
    <xf borderId="0" fillId="5" fontId="3" numFmtId="10" xfId="0" applyAlignment="1" applyFont="1" applyNumberFormat="1">
      <alignment horizontal="center" readingOrder="0" vertical="center"/>
    </xf>
    <xf borderId="0" fillId="5" fontId="3" numFmtId="10" xfId="0" applyAlignment="1" applyFont="1" applyNumberFormat="1">
      <alignment horizontal="center" readingOrder="0" vertical="center"/>
    </xf>
    <xf borderId="0" fillId="6" fontId="3" numFmtId="10" xfId="0" applyAlignment="1" applyFont="1" applyNumberFormat="1">
      <alignment horizontal="center" readingOrder="0" vertical="center"/>
    </xf>
    <xf borderId="0" fillId="9" fontId="3" numFmtId="164" xfId="0" applyAlignment="1" applyFont="1" applyNumberFormat="1">
      <alignment horizontal="center" readingOrder="0" vertical="center"/>
    </xf>
    <xf borderId="25" fillId="6" fontId="3" numFmtId="164" xfId="0" applyAlignment="1" applyBorder="1" applyFont="1" applyNumberFormat="1">
      <alignment horizontal="center" readingOrder="0" vertical="center"/>
    </xf>
    <xf borderId="0" fillId="10" fontId="3" numFmtId="164" xfId="0" applyAlignment="1" applyFont="1" applyNumberFormat="1">
      <alignment horizontal="center" readingOrder="0" vertical="center"/>
    </xf>
    <xf borderId="9" fillId="5" fontId="3" numFmtId="164" xfId="0" applyAlignment="1" applyBorder="1" applyFont="1" applyNumberFormat="1">
      <alignment horizontal="center" vertical="center"/>
    </xf>
    <xf borderId="5" fillId="6" fontId="3" numFmtId="10" xfId="0" applyAlignment="1" applyBorder="1" applyFont="1" applyNumberFormat="1">
      <alignment horizontal="center" readingOrder="0" vertical="center"/>
    </xf>
    <xf borderId="0" fillId="4" fontId="3" numFmtId="0" xfId="0" applyAlignment="1" applyFont="1">
      <alignment horizontal="center" readingOrder="0" vertical="center"/>
    </xf>
    <xf borderId="9" fillId="4" fontId="3" numFmtId="0" xfId="0" applyAlignment="1" applyBorder="1" applyFont="1">
      <alignment horizontal="center" readingOrder="0" vertical="center"/>
    </xf>
    <xf borderId="5" fillId="0" fontId="3" numFmtId="164" xfId="0" applyAlignment="1" applyBorder="1" applyFont="1" applyNumberFormat="1">
      <alignment horizontal="center" readingOrder="0" vertical="center"/>
    </xf>
    <xf borderId="9" fillId="0" fontId="3" numFmtId="0" xfId="0" applyAlignment="1" applyBorder="1" applyFont="1">
      <alignment horizontal="center" readingOrder="0" vertical="center"/>
    </xf>
    <xf borderId="25" fillId="2" fontId="4" numFmtId="164" xfId="0" applyAlignment="1" applyBorder="1" applyFont="1" applyNumberFormat="1">
      <alignment horizontal="center" readingOrder="0" vertical="center"/>
    </xf>
    <xf borderId="0" fillId="2" fontId="4" numFmtId="164" xfId="0" applyAlignment="1" applyFont="1" applyNumberFormat="1">
      <alignment horizontal="center" readingOrder="0" vertical="center"/>
    </xf>
    <xf borderId="0" fillId="0" fontId="6" numFmtId="0" xfId="0" applyFont="1"/>
    <xf borderId="5" fillId="0" fontId="3" numFmtId="164" xfId="0" applyAlignment="1" applyBorder="1" applyFont="1" applyNumberFormat="1">
      <alignment horizontal="left" vertical="center"/>
    </xf>
    <xf borderId="11" fillId="0" fontId="6" numFmtId="0" xfId="0" applyBorder="1" applyFont="1"/>
    <xf borderId="49" fillId="0" fontId="3" numFmtId="2" xfId="0" applyAlignment="1" applyBorder="1" applyFont="1" applyNumberFormat="1">
      <alignment horizontal="center" readingOrder="0" vertical="center"/>
    </xf>
    <xf borderId="36" fillId="0" fontId="3" numFmtId="2" xfId="0" applyAlignment="1" applyBorder="1" applyFont="1" applyNumberFormat="1">
      <alignment horizontal="center" readingOrder="0" vertical="center"/>
    </xf>
    <xf borderId="9" fillId="0" fontId="3" numFmtId="169" xfId="0" applyAlignment="1" applyBorder="1" applyFont="1" applyNumberFormat="1">
      <alignment horizontal="center" readingOrder="0" vertical="center"/>
    </xf>
    <xf borderId="6" fillId="0" fontId="3" numFmtId="0" xfId="0" applyAlignment="1" applyBorder="1" applyFont="1">
      <alignment horizontal="center" vertical="center"/>
    </xf>
    <xf borderId="8" fillId="5" fontId="3" numFmtId="165" xfId="0" applyAlignment="1" applyBorder="1" applyFont="1" applyNumberFormat="1">
      <alignment horizontal="center" readingOrder="0" vertical="center"/>
    </xf>
    <xf borderId="0" fillId="5" fontId="3" numFmtId="2" xfId="0" applyAlignment="1" applyFont="1" applyNumberFormat="1">
      <alignment horizontal="center" readingOrder="0" vertical="center"/>
    </xf>
    <xf borderId="0" fillId="5" fontId="3" numFmtId="2" xfId="0" applyAlignment="1" applyFont="1" applyNumberFormat="1">
      <alignment horizontal="center" vertical="center"/>
    </xf>
    <xf borderId="0" fillId="6" fontId="3" numFmtId="2" xfId="0" applyAlignment="1" applyFont="1" applyNumberFormat="1">
      <alignment horizontal="center" vertical="center"/>
    </xf>
    <xf borderId="9" fillId="7" fontId="3" numFmtId="2" xfId="0" applyAlignment="1" applyBorder="1" applyFont="1" applyNumberFormat="1">
      <alignment horizontal="center" readingOrder="0" vertical="center"/>
    </xf>
    <xf borderId="0" fillId="9" fontId="3" numFmtId="2" xfId="0" applyAlignment="1" applyFont="1" applyNumberFormat="1">
      <alignment horizontal="center" vertical="center"/>
    </xf>
    <xf borderId="9" fillId="9" fontId="3" numFmtId="2" xfId="0" applyAlignment="1" applyBorder="1" applyFont="1" applyNumberFormat="1">
      <alignment horizontal="center" vertical="center"/>
    </xf>
    <xf borderId="0" fillId="10" fontId="3" numFmtId="2" xfId="0" applyAlignment="1" applyFont="1" applyNumberFormat="1">
      <alignment horizontal="center" vertical="center"/>
    </xf>
    <xf borderId="9" fillId="10" fontId="3" numFmtId="2" xfId="0" applyAlignment="1" applyBorder="1" applyFont="1" applyNumberFormat="1">
      <alignment horizontal="center" readingOrder="0" vertical="center"/>
    </xf>
    <xf borderId="5" fillId="6" fontId="3" numFmtId="2" xfId="0" applyAlignment="1" applyBorder="1" applyFont="1" applyNumberFormat="1">
      <alignment horizontal="center" vertical="center"/>
    </xf>
    <xf borderId="6" fillId="6" fontId="3" numFmtId="2" xfId="0" applyAlignment="1" applyBorder="1" applyFont="1" applyNumberFormat="1">
      <alignment horizontal="center" vertical="center"/>
    </xf>
    <xf borderId="33" fillId="2" fontId="4" numFmtId="0" xfId="0" applyAlignment="1" applyBorder="1" applyFont="1">
      <alignment horizontal="center" readingOrder="0" shrinkToFit="0" wrapText="0"/>
    </xf>
    <xf borderId="25" fillId="0" fontId="6" numFmtId="0" xfId="0" applyBorder="1" applyFont="1"/>
    <xf borderId="0" fillId="4" fontId="3" numFmtId="0" xfId="0" applyAlignment="1" applyFont="1">
      <alignment horizontal="center" readingOrder="0"/>
    </xf>
    <xf borderId="0" fillId="0" fontId="6" numFmtId="0" xfId="0" applyAlignment="1" applyFont="1">
      <alignment horizontal="center" readingOrder="0" vertical="center"/>
    </xf>
    <xf borderId="49" fillId="0" fontId="6" numFmtId="0" xfId="0" applyBorder="1" applyFont="1"/>
    <xf borderId="25" fillId="0" fontId="6" numFmtId="0" xfId="0" applyAlignment="1" applyBorder="1" applyFont="1">
      <alignment readingOrder="0"/>
    </xf>
    <xf borderId="0" fillId="0" fontId="6" numFmtId="169" xfId="0" applyAlignment="1" applyFont="1" applyNumberFormat="1">
      <alignment horizontal="center" readingOrder="0" vertical="center"/>
    </xf>
    <xf borderId="21" fillId="0" fontId="3" numFmtId="0" xfId="0" applyAlignment="1" applyBorder="1" applyFont="1">
      <alignment readingOrder="0"/>
    </xf>
    <xf borderId="5" fillId="0" fontId="6" numFmtId="0" xfId="0" applyAlignment="1" applyBorder="1" applyFont="1">
      <alignment horizontal="center" readingOrder="0" vertical="center"/>
    </xf>
    <xf borderId="0" fillId="0" fontId="3" numFmtId="2" xfId="0" applyAlignment="1" applyFont="1" applyNumberFormat="1">
      <alignment horizontal="center" readingOrder="0" vertical="center"/>
    </xf>
    <xf borderId="41" fillId="5" fontId="3" numFmtId="165" xfId="0" applyAlignment="1" applyBorder="1" applyFont="1" applyNumberForma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rgb="FFFF9900"/>
          <bgColor rgb="FFFF9900"/>
        </patternFill>
      </fill>
      <border/>
    </dxf>
    <dxf>
      <font>
        <color rgb="FF000000"/>
      </font>
      <fill>
        <patternFill patternType="solid">
          <fgColor rgb="FFFF9900"/>
          <bgColor rgb="FFFF9900"/>
        </patternFill>
      </fill>
      <border/>
    </dxf>
    <dxf>
      <font/>
      <fill>
        <patternFill patternType="solid">
          <fgColor rgb="FFEA9999"/>
          <bgColor rgb="FFEA9999"/>
        </patternFill>
      </fill>
      <border/>
    </dxf>
  </dxfs>
  <tableStyles count="5">
    <tableStyle count="2" pivot="0" name="FH9_R04-style">
      <tableStyleElement dxfId="1" type="firstRowStripe"/>
      <tableStyleElement dxfId="2" type="secondRowStripe"/>
    </tableStyle>
    <tableStyle count="2" pivot="0" name="FH9_R04-style 2">
      <tableStyleElement dxfId="1" type="firstRowStripe"/>
      <tableStyleElement dxfId="2" type="secondRowStripe"/>
    </tableStyle>
    <tableStyle count="2" pivot="0" name="FH9_6kN_R04-style">
      <tableStyleElement dxfId="1" type="firstRowStripe"/>
      <tableStyleElement dxfId="2" type="secondRowStripe"/>
    </tableStyle>
    <tableStyle count="2" pivot="0" name="FH9_6kN_R04-style 2">
      <tableStyleElement dxfId="1" type="firstRowStripe"/>
      <tableStyleElement dxfId="2" type="secondRowStripe"/>
    </tableStyle>
    <tableStyle count="2" pivot="0" name="FH9_R05-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dro Sánchez-Moreno Royer" id="{6fe06210-ec4f-49ae-bdd7-4a5c908ac062}" providerId="google-sheets"/>
</x18tc:personList>
</file>

<file path=xl/tables/table1.xml><?xml version="1.0" encoding="utf-8"?>
<table xmlns="http://schemas.openxmlformats.org/spreadsheetml/2006/main" headerRowCount="0" ref="B5:Q15"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H9_R04-style" showColumnStripes="0" showFirstColumn="1" showLastColumn="1" showRowStripes="1"/>
</table>
</file>

<file path=xl/tables/table2.xml><?xml version="1.0" encoding="utf-8"?>
<table xmlns="http://schemas.openxmlformats.org/spreadsheetml/2006/main" headerRowCount="0" ref="N61:Q63" displayName="Table_2" name="Table_2" id="2">
  <tableColumns count="4">
    <tableColumn name="Column1" id="1"/>
    <tableColumn name="Column2" id="2"/>
    <tableColumn name="Column3" id="3"/>
    <tableColumn name="Column4" id="4"/>
  </tableColumns>
  <tableStyleInfo name="FH9_R04-style 2" showColumnStripes="0" showFirstColumn="1" showLastColumn="1" showRowStripes="1"/>
</table>
</file>

<file path=xl/tables/table3.xml><?xml version="1.0" encoding="utf-8"?>
<table xmlns="http://schemas.openxmlformats.org/spreadsheetml/2006/main" headerRowCount="0" ref="B5:Q15" displayName="Table_3" name="Table_3"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H9_6kN_R04-style" showColumnStripes="0" showFirstColumn="1" showLastColumn="1" showRowStripes="1"/>
</table>
</file>

<file path=xl/tables/table4.xml><?xml version="1.0" encoding="utf-8"?>
<table xmlns="http://schemas.openxmlformats.org/spreadsheetml/2006/main" headerRowCount="0" ref="N61:Q63" displayName="Table_4" name="Table_4" id="4">
  <tableColumns count="4">
    <tableColumn name="Column1" id="1"/>
    <tableColumn name="Column2" id="2"/>
    <tableColumn name="Column3" id="3"/>
    <tableColumn name="Column4" id="4"/>
  </tableColumns>
  <tableStyleInfo name="FH9_6kN_R04-style 2" showColumnStripes="0" showFirstColumn="1" showLastColumn="1" showRowStripes="1"/>
</table>
</file>

<file path=xl/tables/table5.xml><?xml version="1.0" encoding="utf-8"?>
<table xmlns="http://schemas.openxmlformats.org/spreadsheetml/2006/main" headerRowCount="0" ref="N61:Q63" displayName="Table_5" name="Table_5" id="5">
  <tableColumns count="4">
    <tableColumn name="Column1" id="1"/>
    <tableColumn name="Column2" id="2"/>
    <tableColumn name="Column3" id="3"/>
    <tableColumn name="Column4" id="4"/>
  </tableColumns>
  <tableStyleInfo name="FH9_R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2T17:41:54.00" personId="{6fe06210-ec4f-49ae-bdd7-4a5c908ac062}" id="{900a2549-8b50-4f41-8e22-cb866dab9d3c}" done="0">
    <x18tc:text xml:space="preserve">Add Mass</x18tc:text>
  </x18tc:threadedComment>
  <x18tc:threadedComment ref="A1" dT="2025-11-12T17:41:47.00" personId="{6fe06210-ec4f-49ae-bdd7-4a5c908ac062}" id="{c8180d58-82c4-4623-8a09-18a43c9072e6}" done="0">
    <x18tc:text xml:space="preserve">Add Mass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41" dT="2025-12-06T20:15:01.00" personId="{6fe06210-ec4f-49ae-bdd7-4a5c908ac062}" id="{eaed8be7-34dc-4995-a9ac-0e835e05b34a}" done="0">
    <x18tc:text xml:space="preserve">Firehorn 1 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7" width="12.63"/>
    <col customWidth="1" min="18" max="18" width="5.0"/>
    <col customWidth="1" min="19" max="19" width="19.75"/>
    <col customWidth="1" min="20" max="20" width="7.63"/>
    <col customWidth="1" min="21" max="21" width="8.13"/>
    <col customWidth="1" min="22" max="22" width="6.63"/>
  </cols>
  <sheetData>
    <row r="1">
      <c r="A1" s="1" t="s">
        <v>0</v>
      </c>
      <c r="B1" s="2"/>
      <c r="C1" s="2"/>
      <c r="D1" s="2"/>
      <c r="E1" s="2"/>
      <c r="F1" s="2"/>
      <c r="G1" s="2"/>
      <c r="H1" s="2"/>
      <c r="I1" s="2"/>
      <c r="J1" s="2"/>
      <c r="K1" s="2"/>
      <c r="L1" s="2"/>
      <c r="M1" s="2"/>
      <c r="N1" s="2"/>
      <c r="O1" s="2"/>
      <c r="P1" s="2"/>
      <c r="Q1" s="2"/>
      <c r="R1" s="3"/>
      <c r="S1" s="4"/>
      <c r="T1" s="4"/>
      <c r="U1" s="4"/>
      <c r="V1" s="4"/>
      <c r="W1" s="4"/>
      <c r="X1" s="4"/>
      <c r="Y1" s="4"/>
      <c r="Z1" s="4"/>
      <c r="AA1" s="4"/>
      <c r="AB1" s="4"/>
      <c r="AC1" s="4"/>
      <c r="AD1" s="4"/>
      <c r="AE1" s="4"/>
      <c r="AF1" s="4"/>
      <c r="AG1" s="4"/>
      <c r="AH1" s="4"/>
      <c r="AI1" s="4"/>
      <c r="AJ1" s="4"/>
      <c r="AK1" s="4"/>
    </row>
    <row r="2">
      <c r="A2" s="5"/>
      <c r="B2" s="6" t="s">
        <v>1</v>
      </c>
      <c r="C2" s="7"/>
      <c r="D2" s="7"/>
      <c r="E2" s="7"/>
      <c r="F2" s="7"/>
      <c r="G2" s="7"/>
      <c r="H2" s="7"/>
      <c r="I2" s="7"/>
      <c r="J2" s="7"/>
      <c r="K2" s="7"/>
      <c r="L2" s="7"/>
      <c r="M2" s="7"/>
      <c r="N2" s="7"/>
      <c r="O2" s="7"/>
      <c r="P2" s="7"/>
      <c r="Q2" s="8"/>
      <c r="R2" s="9"/>
      <c r="S2" s="4"/>
      <c r="T2" s="4"/>
      <c r="U2" s="4"/>
      <c r="V2" s="4"/>
      <c r="W2" s="4"/>
      <c r="X2" s="4"/>
      <c r="Y2" s="4"/>
      <c r="Z2" s="4"/>
      <c r="AA2" s="4"/>
      <c r="AB2" s="4"/>
      <c r="AC2" s="4"/>
      <c r="AD2" s="4"/>
      <c r="AE2" s="4"/>
      <c r="AF2" s="4"/>
      <c r="AG2" s="4"/>
      <c r="AH2" s="4"/>
      <c r="AI2" s="4"/>
      <c r="AJ2" s="4"/>
      <c r="AK2" s="4"/>
    </row>
    <row r="3">
      <c r="A3" s="5"/>
      <c r="B3" s="10" t="s">
        <v>2</v>
      </c>
      <c r="C3" s="11" t="s">
        <v>3</v>
      </c>
      <c r="E3" s="12"/>
      <c r="F3" s="11" t="s">
        <v>4</v>
      </c>
      <c r="H3" s="12"/>
      <c r="I3" s="11" t="s">
        <v>5</v>
      </c>
      <c r="K3" s="12"/>
      <c r="L3" s="11" t="s">
        <v>6</v>
      </c>
      <c r="N3" s="12"/>
      <c r="O3" s="11" t="s">
        <v>7</v>
      </c>
      <c r="Q3" s="13"/>
      <c r="R3" s="9"/>
      <c r="S3" s="4"/>
      <c r="T3" s="4"/>
      <c r="U3" s="4"/>
      <c r="V3" s="4"/>
      <c r="W3" s="4"/>
      <c r="X3" s="4"/>
      <c r="Y3" s="4"/>
      <c r="Z3" s="4"/>
      <c r="AA3" s="4"/>
      <c r="AB3" s="4"/>
      <c r="AC3" s="4"/>
      <c r="AD3" s="4"/>
      <c r="AE3" s="4"/>
      <c r="AF3" s="4"/>
      <c r="AG3" s="4"/>
      <c r="AH3" s="4"/>
      <c r="AI3" s="4"/>
      <c r="AJ3" s="4"/>
      <c r="AK3" s="4"/>
    </row>
    <row r="4">
      <c r="A4" s="5"/>
      <c r="B4" s="14"/>
      <c r="C4" s="15" t="s">
        <v>8</v>
      </c>
      <c r="D4" s="16" t="s">
        <v>9</v>
      </c>
      <c r="E4" s="17" t="s">
        <v>10</v>
      </c>
      <c r="F4" s="15" t="s">
        <v>8</v>
      </c>
      <c r="G4" s="16" t="s">
        <v>9</v>
      </c>
      <c r="H4" s="17" t="s">
        <v>10</v>
      </c>
      <c r="I4" s="15" t="s">
        <v>8</v>
      </c>
      <c r="J4" s="16" t="s">
        <v>9</v>
      </c>
      <c r="K4" s="17" t="s">
        <v>10</v>
      </c>
      <c r="L4" s="15" t="s">
        <v>8</v>
      </c>
      <c r="M4" s="16" t="s">
        <v>9</v>
      </c>
      <c r="N4" s="17" t="s">
        <v>10</v>
      </c>
      <c r="O4" s="18"/>
      <c r="P4" s="16" t="s">
        <v>9</v>
      </c>
      <c r="Q4" s="19" t="s">
        <v>10</v>
      </c>
      <c r="R4" s="9"/>
      <c r="S4" s="4"/>
      <c r="T4" s="4"/>
      <c r="U4" s="4"/>
      <c r="V4" s="4"/>
      <c r="W4" s="4"/>
      <c r="X4" s="4"/>
      <c r="Y4" s="4"/>
      <c r="Z4" s="4"/>
      <c r="AA4" s="4"/>
      <c r="AB4" s="4"/>
      <c r="AC4" s="4"/>
      <c r="AD4" s="4"/>
      <c r="AE4" s="4"/>
      <c r="AF4" s="4"/>
      <c r="AG4" s="4"/>
      <c r="AH4" s="4"/>
      <c r="AI4" s="4"/>
      <c r="AJ4" s="4"/>
      <c r="AK4" s="4"/>
    </row>
    <row r="5">
      <c r="A5" s="5"/>
      <c r="B5" s="20" t="s">
        <v>11</v>
      </c>
      <c r="C5" s="21">
        <v>1000.0</v>
      </c>
      <c r="D5" s="22">
        <v>1000.0</v>
      </c>
      <c r="E5" s="23">
        <v>1000.0</v>
      </c>
      <c r="F5" s="24">
        <f t="shared" ref="F5:F8" si="1">0.8*G5</f>
        <v>2.56</v>
      </c>
      <c r="G5" s="25">
        <v>3.2</v>
      </c>
      <c r="H5" s="26">
        <f t="shared" ref="H5:H8" si="2">1.2*G5</f>
        <v>3.84</v>
      </c>
      <c r="I5" s="27">
        <f t="shared" ref="I5:I13" si="3">0.8*J5</f>
        <v>2.4</v>
      </c>
      <c r="J5" s="28">
        <v>3.0</v>
      </c>
      <c r="K5" s="26">
        <f t="shared" ref="K5:K13" si="4">1.2*J5</f>
        <v>3.6</v>
      </c>
      <c r="L5" s="29">
        <v>0.0</v>
      </c>
      <c r="M5" s="28">
        <v>0.0</v>
      </c>
      <c r="N5" s="30">
        <v>0.0</v>
      </c>
      <c r="O5" s="24">
        <f t="shared" ref="O5:O13" si="5">L5+I5+F5</f>
        <v>4.96</v>
      </c>
      <c r="P5" s="28">
        <f t="shared" ref="P5:P13" si="6">G5+J5</f>
        <v>6.2</v>
      </c>
      <c r="Q5" s="31">
        <f t="shared" ref="Q5:Q13" si="7">N5+K5+H5</f>
        <v>7.44</v>
      </c>
      <c r="R5" s="9"/>
      <c r="S5" s="4"/>
      <c r="T5" s="4"/>
      <c r="U5" s="4"/>
      <c r="V5" s="4"/>
      <c r="W5" s="4"/>
      <c r="X5" s="4"/>
      <c r="Y5" s="4"/>
      <c r="Z5" s="4"/>
      <c r="AA5" s="4"/>
      <c r="AB5" s="4"/>
      <c r="AC5" s="4"/>
      <c r="AD5" s="4"/>
      <c r="AE5" s="4"/>
      <c r="AF5" s="4"/>
      <c r="AG5" s="4"/>
      <c r="AH5" s="4"/>
      <c r="AI5" s="4"/>
      <c r="AJ5" s="4"/>
      <c r="AK5" s="4"/>
    </row>
    <row r="6">
      <c r="A6" s="5"/>
      <c r="B6" s="32" t="s">
        <v>12</v>
      </c>
      <c r="C6" s="33">
        <v>700.0</v>
      </c>
      <c r="D6" s="34">
        <v>700.0</v>
      </c>
      <c r="E6" s="35">
        <v>700.0</v>
      </c>
      <c r="F6" s="24">
        <f t="shared" si="1"/>
        <v>4.8</v>
      </c>
      <c r="G6" s="36">
        <v>6.0</v>
      </c>
      <c r="H6" s="26">
        <f t="shared" si="2"/>
        <v>7.2</v>
      </c>
      <c r="I6" s="27">
        <f t="shared" si="3"/>
        <v>3.84</v>
      </c>
      <c r="J6" s="37">
        <v>4.8</v>
      </c>
      <c r="K6" s="26">
        <f t="shared" si="4"/>
        <v>5.76</v>
      </c>
      <c r="L6" s="29">
        <v>0.0</v>
      </c>
      <c r="M6" s="37">
        <v>0.0</v>
      </c>
      <c r="N6" s="30">
        <v>0.0</v>
      </c>
      <c r="O6" s="24">
        <f t="shared" si="5"/>
        <v>8.64</v>
      </c>
      <c r="P6" s="37">
        <f t="shared" si="6"/>
        <v>10.8</v>
      </c>
      <c r="Q6" s="31">
        <f t="shared" si="7"/>
        <v>12.96</v>
      </c>
      <c r="R6" s="9"/>
      <c r="S6" s="4"/>
      <c r="T6" s="4"/>
      <c r="U6" s="4"/>
      <c r="V6" s="4"/>
      <c r="W6" s="4"/>
      <c r="X6" s="4"/>
      <c r="Y6" s="4"/>
      <c r="Z6" s="4"/>
      <c r="AA6" s="4"/>
      <c r="AB6" s="4"/>
      <c r="AC6" s="4"/>
      <c r="AD6" s="4"/>
      <c r="AE6" s="4"/>
      <c r="AF6" s="4"/>
      <c r="AG6" s="4"/>
      <c r="AH6" s="4"/>
      <c r="AI6" s="4"/>
      <c r="AJ6" s="4"/>
      <c r="AK6" s="4"/>
    </row>
    <row r="7">
      <c r="A7" s="5"/>
      <c r="B7" s="20" t="s">
        <v>13</v>
      </c>
      <c r="C7" s="21">
        <v>350.0</v>
      </c>
      <c r="D7" s="22">
        <v>350.0</v>
      </c>
      <c r="E7" s="23">
        <v>350.0</v>
      </c>
      <c r="F7" s="24">
        <f t="shared" si="1"/>
        <v>4.8</v>
      </c>
      <c r="G7" s="25">
        <v>6.0</v>
      </c>
      <c r="H7" s="26">
        <f t="shared" si="2"/>
        <v>7.2</v>
      </c>
      <c r="I7" s="27">
        <f t="shared" si="3"/>
        <v>2.64</v>
      </c>
      <c r="J7" s="25">
        <v>3.3</v>
      </c>
      <c r="K7" s="26">
        <f t="shared" si="4"/>
        <v>3.96</v>
      </c>
      <c r="L7" s="29">
        <v>0.0</v>
      </c>
      <c r="M7" s="28">
        <v>0.0</v>
      </c>
      <c r="N7" s="30">
        <v>0.0</v>
      </c>
      <c r="O7" s="24">
        <f t="shared" si="5"/>
        <v>7.44</v>
      </c>
      <c r="P7" s="28">
        <f t="shared" si="6"/>
        <v>9.3</v>
      </c>
      <c r="Q7" s="31">
        <f t="shared" si="7"/>
        <v>11.16</v>
      </c>
      <c r="R7" s="9"/>
      <c r="S7" s="4"/>
      <c r="T7" s="4"/>
      <c r="U7" s="4"/>
      <c r="V7" s="4"/>
      <c r="W7" s="4"/>
      <c r="X7" s="4"/>
      <c r="Y7" s="4"/>
      <c r="Z7" s="4"/>
      <c r="AA7" s="4"/>
      <c r="AB7" s="4"/>
      <c r="AC7" s="4"/>
      <c r="AD7" s="4"/>
      <c r="AE7" s="4"/>
      <c r="AF7" s="4"/>
      <c r="AG7" s="4"/>
      <c r="AH7" s="4"/>
      <c r="AI7" s="4"/>
      <c r="AJ7" s="4"/>
      <c r="AK7" s="4"/>
    </row>
    <row r="8">
      <c r="A8" s="5"/>
      <c r="B8" s="32" t="s">
        <v>14</v>
      </c>
      <c r="C8" s="38">
        <v>700.0</v>
      </c>
      <c r="D8" s="39">
        <v>700.0</v>
      </c>
      <c r="E8" s="40">
        <v>700.0</v>
      </c>
      <c r="F8" s="24">
        <f t="shared" si="1"/>
        <v>5.6</v>
      </c>
      <c r="G8" s="36">
        <v>7.0</v>
      </c>
      <c r="H8" s="26">
        <f t="shared" si="2"/>
        <v>8.4</v>
      </c>
      <c r="I8" s="27">
        <f t="shared" si="3"/>
        <v>5.2</v>
      </c>
      <c r="J8" s="37">
        <v>6.5</v>
      </c>
      <c r="K8" s="26">
        <f t="shared" si="4"/>
        <v>7.8</v>
      </c>
      <c r="L8" s="41">
        <v>1.5</v>
      </c>
      <c r="M8" s="42">
        <v>1.5</v>
      </c>
      <c r="N8" s="43">
        <v>1.5</v>
      </c>
      <c r="O8" s="24">
        <f t="shared" si="5"/>
        <v>12.3</v>
      </c>
      <c r="P8" s="37">
        <f t="shared" si="6"/>
        <v>13.5</v>
      </c>
      <c r="Q8" s="31">
        <f t="shared" si="7"/>
        <v>17.7</v>
      </c>
      <c r="R8" s="9"/>
      <c r="S8" s="4"/>
      <c r="T8" s="4"/>
      <c r="U8" s="4"/>
      <c r="V8" s="4"/>
      <c r="W8" s="4"/>
      <c r="X8" s="4"/>
      <c r="Y8" s="4"/>
      <c r="Z8" s="4"/>
      <c r="AA8" s="4"/>
      <c r="AB8" s="4"/>
      <c r="AC8" s="4"/>
      <c r="AD8" s="4"/>
      <c r="AE8" s="4"/>
      <c r="AF8" s="4"/>
      <c r="AG8" s="4"/>
      <c r="AH8" s="4"/>
      <c r="AI8" s="4"/>
      <c r="AJ8" s="4"/>
      <c r="AK8" s="4"/>
    </row>
    <row r="9">
      <c r="A9" s="5"/>
      <c r="B9" s="44" t="s">
        <v>15</v>
      </c>
      <c r="C9" s="45">
        <f t="shared" ref="C9:E9" si="8">E34</f>
        <v>559</v>
      </c>
      <c r="D9" s="46">
        <f t="shared" si="8"/>
        <v>559</v>
      </c>
      <c r="E9" s="47">
        <f t="shared" si="8"/>
        <v>559</v>
      </c>
      <c r="F9" s="24">
        <f t="shared" ref="F9:H9" si="9">E36</f>
        <v>7.7</v>
      </c>
      <c r="G9" s="48">
        <f t="shared" si="9"/>
        <v>7.7</v>
      </c>
      <c r="H9" s="26">
        <f t="shared" si="9"/>
        <v>7.7</v>
      </c>
      <c r="I9" s="27">
        <f t="shared" si="3"/>
        <v>0</v>
      </c>
      <c r="J9" s="28">
        <v>0.0</v>
      </c>
      <c r="K9" s="26">
        <f t="shared" si="4"/>
        <v>0</v>
      </c>
      <c r="L9" s="49">
        <f t="shared" ref="L9:N9" si="10">E27*$O31</f>
        <v>13.05</v>
      </c>
      <c r="M9" s="50">
        <f t="shared" si="10"/>
        <v>15.3</v>
      </c>
      <c r="N9" s="51">
        <f t="shared" si="10"/>
        <v>16.2</v>
      </c>
      <c r="O9" s="24">
        <f t="shared" si="5"/>
        <v>20.75</v>
      </c>
      <c r="P9" s="28">
        <f t="shared" si="6"/>
        <v>7.7</v>
      </c>
      <c r="Q9" s="31">
        <f t="shared" si="7"/>
        <v>23.9</v>
      </c>
      <c r="R9" s="9"/>
      <c r="S9" s="4"/>
      <c r="T9" s="4"/>
      <c r="U9" s="4"/>
      <c r="V9" s="4"/>
      <c r="W9" s="4"/>
      <c r="X9" s="4"/>
      <c r="Y9" s="4"/>
      <c r="Z9" s="4"/>
      <c r="AA9" s="4"/>
      <c r="AB9" s="4"/>
      <c r="AC9" s="4"/>
      <c r="AD9" s="4"/>
      <c r="AE9" s="4"/>
      <c r="AF9" s="4"/>
      <c r="AG9" s="4"/>
      <c r="AH9" s="4"/>
      <c r="AI9" s="4"/>
      <c r="AJ9" s="4"/>
      <c r="AK9" s="4"/>
    </row>
    <row r="10">
      <c r="A10" s="5"/>
      <c r="B10" s="32" t="s">
        <v>16</v>
      </c>
      <c r="C10" s="38">
        <v>280.0</v>
      </c>
      <c r="D10" s="39">
        <v>280.0</v>
      </c>
      <c r="E10" s="40">
        <v>280.0</v>
      </c>
      <c r="F10" s="24">
        <f t="shared" ref="F10:F11" si="12">0.8*G10</f>
        <v>3.04</v>
      </c>
      <c r="G10" s="36">
        <v>3.8</v>
      </c>
      <c r="H10" s="26">
        <f t="shared" ref="H10:H11" si="13">1.2*G10</f>
        <v>4.56</v>
      </c>
      <c r="I10" s="27">
        <f t="shared" si="3"/>
        <v>2.24</v>
      </c>
      <c r="J10" s="37">
        <v>2.8</v>
      </c>
      <c r="K10" s="26">
        <f t="shared" si="4"/>
        <v>3.36</v>
      </c>
      <c r="L10" s="29">
        <v>0.0</v>
      </c>
      <c r="M10" s="37">
        <v>0.0</v>
      </c>
      <c r="N10" s="30">
        <v>0.0</v>
      </c>
      <c r="O10" s="24">
        <f t="shared" si="5"/>
        <v>5.28</v>
      </c>
      <c r="P10" s="37">
        <f t="shared" si="6"/>
        <v>6.6</v>
      </c>
      <c r="Q10" s="31">
        <f t="shared" si="7"/>
        <v>7.92</v>
      </c>
      <c r="R10" s="9"/>
      <c r="S10" s="4"/>
      <c r="T10" s="4"/>
      <c r="U10" s="4"/>
      <c r="V10" s="4"/>
      <c r="W10" s="4"/>
      <c r="X10" s="4"/>
      <c r="Y10" s="4"/>
      <c r="Z10" s="4"/>
      <c r="AA10" s="4"/>
      <c r="AB10" s="4"/>
      <c r="AC10" s="4"/>
      <c r="AD10" s="4"/>
      <c r="AE10" s="4"/>
      <c r="AF10" s="4"/>
      <c r="AG10" s="4"/>
      <c r="AH10" s="4"/>
      <c r="AI10" s="4"/>
      <c r="AJ10" s="4"/>
      <c r="AK10" s="4"/>
    </row>
    <row r="11">
      <c r="A11" s="5"/>
      <c r="B11" s="52" t="s">
        <v>17</v>
      </c>
      <c r="C11" s="33">
        <f t="shared" ref="C11:E11" si="11">C10+C9+C12+0.5*(C13-250)+0.3*C8</f>
        <v>1958</v>
      </c>
      <c r="D11" s="34">
        <f t="shared" si="11"/>
        <v>1958</v>
      </c>
      <c r="E11" s="35">
        <f t="shared" si="11"/>
        <v>1958</v>
      </c>
      <c r="F11" s="24">
        <f t="shared" si="12"/>
        <v>2.4</v>
      </c>
      <c r="G11" s="36">
        <v>3.0</v>
      </c>
      <c r="H11" s="26">
        <f t="shared" si="13"/>
        <v>3.6</v>
      </c>
      <c r="I11" s="27">
        <f t="shared" si="3"/>
        <v>2.4</v>
      </c>
      <c r="J11" s="36">
        <v>3.0</v>
      </c>
      <c r="K11" s="26">
        <f t="shared" si="4"/>
        <v>3.6</v>
      </c>
      <c r="L11" s="29">
        <v>0.0</v>
      </c>
      <c r="M11" s="36">
        <v>0.0</v>
      </c>
      <c r="N11" s="30">
        <v>0.0</v>
      </c>
      <c r="O11" s="24">
        <f t="shared" si="5"/>
        <v>4.8</v>
      </c>
      <c r="P11" s="37">
        <f t="shared" si="6"/>
        <v>6</v>
      </c>
      <c r="Q11" s="31">
        <f t="shared" si="7"/>
        <v>7.2</v>
      </c>
      <c r="R11" s="9"/>
      <c r="S11" s="4"/>
      <c r="T11" s="4"/>
      <c r="U11" s="4"/>
      <c r="V11" s="4"/>
      <c r="W11" s="4"/>
      <c r="X11" s="4"/>
      <c r="Y11" s="4"/>
      <c r="Z11" s="4"/>
      <c r="AA11" s="4"/>
      <c r="AB11" s="4"/>
      <c r="AC11" s="4"/>
      <c r="AD11" s="4"/>
      <c r="AE11" s="4"/>
      <c r="AF11" s="4"/>
      <c r="AG11" s="4"/>
      <c r="AH11" s="4"/>
      <c r="AI11" s="4"/>
      <c r="AJ11" s="4"/>
      <c r="AK11" s="4"/>
    </row>
    <row r="12">
      <c r="A12" s="5"/>
      <c r="B12" s="44" t="s">
        <v>18</v>
      </c>
      <c r="C12" s="45">
        <f t="shared" ref="C12:E12" si="14">H34</f>
        <v>559</v>
      </c>
      <c r="D12" s="46">
        <f t="shared" si="14"/>
        <v>559</v>
      </c>
      <c r="E12" s="47">
        <f t="shared" si="14"/>
        <v>559</v>
      </c>
      <c r="F12" s="24">
        <f>E36</f>
        <v>7.7</v>
      </c>
      <c r="G12" s="48">
        <f>I36</f>
        <v>7.7</v>
      </c>
      <c r="H12" s="26">
        <f>G36</f>
        <v>7.7</v>
      </c>
      <c r="I12" s="27">
        <f t="shared" si="3"/>
        <v>0</v>
      </c>
      <c r="J12" s="28">
        <v>0.0</v>
      </c>
      <c r="K12" s="26">
        <f t="shared" si="4"/>
        <v>0</v>
      </c>
      <c r="L12" s="53">
        <f t="shared" ref="L12:N12" si="15">H27*$O32</f>
        <v>18.9225</v>
      </c>
      <c r="M12" s="54">
        <f t="shared" si="15"/>
        <v>22.185</v>
      </c>
      <c r="N12" s="55">
        <f t="shared" si="15"/>
        <v>23.49</v>
      </c>
      <c r="O12" s="24">
        <f t="shared" si="5"/>
        <v>26.6225</v>
      </c>
      <c r="P12" s="28">
        <f t="shared" si="6"/>
        <v>7.7</v>
      </c>
      <c r="Q12" s="31">
        <f t="shared" si="7"/>
        <v>31.19</v>
      </c>
      <c r="R12" s="9"/>
      <c r="S12" s="4"/>
      <c r="T12" s="4"/>
      <c r="U12" s="4"/>
      <c r="V12" s="4"/>
      <c r="W12" s="4"/>
      <c r="X12" s="4"/>
      <c r="Y12" s="4"/>
      <c r="Z12" s="4"/>
      <c r="AA12" s="4"/>
      <c r="AB12" s="4"/>
      <c r="AC12" s="4"/>
      <c r="AD12" s="4"/>
      <c r="AE12" s="4"/>
      <c r="AF12" s="4"/>
      <c r="AG12" s="4"/>
      <c r="AH12" s="4"/>
      <c r="AI12" s="4"/>
      <c r="AJ12" s="4"/>
      <c r="AK12" s="4"/>
    </row>
    <row r="13">
      <c r="A13" s="5"/>
      <c r="B13" s="56" t="s">
        <v>19</v>
      </c>
      <c r="C13" s="57">
        <v>950.0</v>
      </c>
      <c r="D13" s="58">
        <v>950.0</v>
      </c>
      <c r="E13" s="59">
        <v>950.0</v>
      </c>
      <c r="F13" s="24">
        <f>0.8*G13</f>
        <v>5.6</v>
      </c>
      <c r="G13" s="60">
        <v>7.0</v>
      </c>
      <c r="H13" s="26">
        <f>1.2*G13</f>
        <v>8.4</v>
      </c>
      <c r="I13" s="27">
        <f t="shared" si="3"/>
        <v>7.2</v>
      </c>
      <c r="J13" s="61">
        <f>O45</f>
        <v>9</v>
      </c>
      <c r="K13" s="26">
        <f t="shared" si="4"/>
        <v>10.8</v>
      </c>
      <c r="L13" s="29">
        <v>0.0</v>
      </c>
      <c r="M13" s="61">
        <v>0.0</v>
      </c>
      <c r="N13" s="30">
        <v>0.0</v>
      </c>
      <c r="O13" s="24">
        <f t="shared" si="5"/>
        <v>12.8</v>
      </c>
      <c r="P13" s="61">
        <f t="shared" si="6"/>
        <v>16</v>
      </c>
      <c r="Q13" s="31">
        <f t="shared" si="7"/>
        <v>19.2</v>
      </c>
      <c r="R13" s="9"/>
      <c r="S13" s="4"/>
      <c r="T13" s="62"/>
      <c r="U13" s="62"/>
      <c r="V13" s="62"/>
      <c r="W13" s="62"/>
      <c r="X13" s="62"/>
      <c r="Y13" s="62"/>
      <c r="Z13" s="62"/>
      <c r="AA13" s="62"/>
      <c r="AB13" s="62"/>
      <c r="AC13" s="62"/>
      <c r="AD13" s="62"/>
      <c r="AE13" s="62"/>
      <c r="AF13" s="62"/>
      <c r="AG13" s="62"/>
      <c r="AH13" s="62"/>
      <c r="AI13" s="62"/>
      <c r="AJ13" s="62"/>
      <c r="AK13" s="62"/>
    </row>
    <row r="14">
      <c r="A14" s="5"/>
      <c r="B14" s="63" t="s">
        <v>20</v>
      </c>
      <c r="C14" s="64">
        <f t="shared" ref="C14:E14" si="16">SUM(C5:C13)-C11</f>
        <v>5098</v>
      </c>
      <c r="D14" s="65">
        <f t="shared" si="16"/>
        <v>5098</v>
      </c>
      <c r="E14" s="66">
        <f t="shared" si="16"/>
        <v>5098</v>
      </c>
      <c r="F14" s="64">
        <f t="shared" ref="F14:K14" si="17">SUM(F5:F13)</f>
        <v>44.2</v>
      </c>
      <c r="G14" s="65">
        <f t="shared" si="17"/>
        <v>51.4</v>
      </c>
      <c r="H14" s="66">
        <f t="shared" si="17"/>
        <v>58.6</v>
      </c>
      <c r="I14" s="64">
        <f t="shared" si="17"/>
        <v>25.92</v>
      </c>
      <c r="J14" s="65">
        <f t="shared" si="17"/>
        <v>32.4</v>
      </c>
      <c r="K14" s="66">
        <f t="shared" si="17"/>
        <v>38.88</v>
      </c>
      <c r="L14" s="64">
        <v>0.0</v>
      </c>
      <c r="M14" s="65">
        <v>0.0</v>
      </c>
      <c r="N14" s="66">
        <v>0.0</v>
      </c>
      <c r="O14" s="64">
        <f t="shared" ref="O14:Q14" si="18">F14+I14+L14</f>
        <v>70.12</v>
      </c>
      <c r="P14" s="65">
        <f t="shared" si="18"/>
        <v>83.8</v>
      </c>
      <c r="Q14" s="67">
        <f t="shared" si="18"/>
        <v>97.48</v>
      </c>
      <c r="R14" s="9"/>
      <c r="S14" s="4"/>
      <c r="T14" s="62"/>
      <c r="U14" s="62"/>
      <c r="V14" s="62"/>
      <c r="W14" s="62"/>
      <c r="X14" s="62"/>
      <c r="Y14" s="62"/>
      <c r="Z14" s="62"/>
      <c r="AA14" s="62"/>
      <c r="AB14" s="62"/>
      <c r="AC14" s="62"/>
      <c r="AD14" s="62"/>
      <c r="AE14" s="62"/>
      <c r="AF14" s="62"/>
      <c r="AG14" s="62"/>
      <c r="AH14" s="62"/>
      <c r="AI14" s="62"/>
      <c r="AJ14" s="62"/>
      <c r="AK14" s="62"/>
    </row>
    <row r="15">
      <c r="A15" s="5"/>
      <c r="B15" s="68" t="s">
        <v>21</v>
      </c>
      <c r="C15" s="69">
        <f t="shared" ref="C15:E15" si="19">SUM(C5:C13)-C11</f>
        <v>5098</v>
      </c>
      <c r="D15" s="70">
        <f t="shared" si="19"/>
        <v>5098</v>
      </c>
      <c r="E15" s="71">
        <f t="shared" si="19"/>
        <v>5098</v>
      </c>
      <c r="F15" s="69">
        <f>SUM(F5:F13)</f>
        <v>44.2</v>
      </c>
      <c r="G15" s="70">
        <f>G14</f>
        <v>51.4</v>
      </c>
      <c r="H15" s="71">
        <f t="shared" ref="H15:J15" si="20">SUM(H5:H13)</f>
        <v>58.6</v>
      </c>
      <c r="I15" s="69">
        <f t="shared" si="20"/>
        <v>25.92</v>
      </c>
      <c r="J15" s="70">
        <f t="shared" si="20"/>
        <v>32.4</v>
      </c>
      <c r="K15" s="71">
        <f>K14</f>
        <v>38.88</v>
      </c>
      <c r="L15" s="69">
        <f t="shared" ref="L15:N15" si="21">L8+L9+L12</f>
        <v>33.4725</v>
      </c>
      <c r="M15" s="70">
        <f t="shared" si="21"/>
        <v>38.985</v>
      </c>
      <c r="N15" s="71">
        <f t="shared" si="21"/>
        <v>41.19</v>
      </c>
      <c r="O15" s="69">
        <f t="shared" ref="O15:Q15" si="22">F15+I15+L15</f>
        <v>103.5925</v>
      </c>
      <c r="P15" s="70">
        <f t="shared" si="22"/>
        <v>122.785</v>
      </c>
      <c r="Q15" s="72">
        <f t="shared" si="22"/>
        <v>138.67</v>
      </c>
      <c r="R15" s="9"/>
      <c r="S15" s="4"/>
      <c r="T15" s="62"/>
      <c r="U15" s="62"/>
      <c r="V15" s="62"/>
      <c r="W15" s="62"/>
      <c r="X15" s="62"/>
      <c r="Y15" s="62"/>
      <c r="Z15" s="62"/>
      <c r="AA15" s="62"/>
      <c r="AB15" s="62"/>
      <c r="AC15" s="62"/>
      <c r="AD15" s="62"/>
      <c r="AE15" s="62"/>
      <c r="AF15" s="62"/>
      <c r="AG15" s="62"/>
      <c r="AH15" s="62"/>
      <c r="AI15" s="62"/>
      <c r="AJ15" s="62"/>
      <c r="AK15" s="62"/>
    </row>
    <row r="16">
      <c r="A16" s="73"/>
      <c r="B16" s="74"/>
      <c r="C16" s="74"/>
      <c r="D16" s="74"/>
      <c r="E16" s="74"/>
      <c r="F16" s="75"/>
      <c r="G16" s="76"/>
      <c r="H16" s="74"/>
      <c r="I16" s="77"/>
      <c r="J16" s="78"/>
      <c r="K16" s="74"/>
      <c r="L16" s="74"/>
      <c r="M16" s="74"/>
      <c r="N16" s="74"/>
      <c r="O16" s="74"/>
      <c r="P16" s="74"/>
      <c r="Q16" s="74"/>
      <c r="R16" s="9"/>
      <c r="S16" s="4"/>
      <c r="T16" s="62"/>
      <c r="U16" s="62"/>
      <c r="V16" s="62"/>
      <c r="W16" s="62"/>
      <c r="X16" s="62"/>
      <c r="Y16" s="62"/>
      <c r="Z16" s="62"/>
      <c r="AA16" s="62"/>
      <c r="AB16" s="62"/>
      <c r="AC16" s="62"/>
      <c r="AD16" s="62"/>
      <c r="AE16" s="62"/>
      <c r="AF16" s="62"/>
      <c r="AG16" s="62"/>
      <c r="AH16" s="62"/>
      <c r="AI16" s="62"/>
      <c r="AJ16" s="62"/>
      <c r="AK16" s="62"/>
    </row>
    <row r="17">
      <c r="A17" s="73"/>
      <c r="B17" s="79"/>
      <c r="C17" s="80" t="s">
        <v>8</v>
      </c>
      <c r="D17" s="81" t="s">
        <v>9</v>
      </c>
      <c r="E17" s="82" t="s">
        <v>10</v>
      </c>
      <c r="F17" s="75"/>
      <c r="G17" s="83" t="s">
        <v>22</v>
      </c>
      <c r="H17" s="84"/>
      <c r="I17" s="80" t="s">
        <v>8</v>
      </c>
      <c r="J17" s="81" t="s">
        <v>9</v>
      </c>
      <c r="K17" s="82" t="s">
        <v>10</v>
      </c>
      <c r="M17" s="74"/>
      <c r="N17" s="74"/>
      <c r="O17" s="74"/>
      <c r="P17" s="74"/>
      <c r="Q17" s="74"/>
      <c r="R17" s="9"/>
      <c r="S17" s="4"/>
      <c r="T17" s="62"/>
      <c r="U17" s="62"/>
      <c r="V17" s="62"/>
      <c r="W17" s="62"/>
      <c r="X17" s="62"/>
      <c r="Y17" s="62"/>
      <c r="Z17" s="62"/>
      <c r="AA17" s="62"/>
      <c r="AB17" s="62"/>
      <c r="AC17" s="62"/>
      <c r="AD17" s="62"/>
      <c r="AE17" s="62"/>
      <c r="AF17" s="62"/>
      <c r="AG17" s="62"/>
      <c r="AH17" s="62"/>
      <c r="AI17" s="62"/>
      <c r="AJ17" s="62"/>
      <c r="AK17" s="62"/>
    </row>
    <row r="18">
      <c r="A18" s="73"/>
      <c r="B18" s="85" t="s">
        <v>23</v>
      </c>
      <c r="C18" s="86">
        <f t="shared" ref="C18:E18" si="23">C14/(0.01+$N25)/1000</f>
        <v>20.392</v>
      </c>
      <c r="D18" s="87">
        <f t="shared" si="23"/>
        <v>20.392</v>
      </c>
      <c r="E18" s="88">
        <f t="shared" si="23"/>
        <v>20.392</v>
      </c>
      <c r="F18" s="75"/>
      <c r="G18" s="89" t="s">
        <v>24</v>
      </c>
      <c r="I18" s="90">
        <f t="shared" ref="I18:K18" si="24">(F14+I14-I13)*1000</f>
        <v>62920</v>
      </c>
      <c r="J18" s="91">
        <f t="shared" si="24"/>
        <v>74800</v>
      </c>
      <c r="K18" s="92">
        <f t="shared" si="24"/>
        <v>86680</v>
      </c>
      <c r="M18" s="74"/>
      <c r="N18" s="74"/>
      <c r="O18" s="74"/>
      <c r="P18" s="74"/>
      <c r="Q18" s="74"/>
      <c r="R18" s="9"/>
      <c r="S18" s="4"/>
      <c r="T18" s="62"/>
      <c r="U18" s="62"/>
      <c r="V18" s="62"/>
      <c r="W18" s="62"/>
      <c r="X18" s="62"/>
      <c r="Y18" s="62"/>
      <c r="Z18" s="62"/>
      <c r="AA18" s="62"/>
      <c r="AB18" s="62"/>
      <c r="AC18" s="62"/>
      <c r="AD18" s="62"/>
      <c r="AE18" s="62"/>
      <c r="AF18" s="62"/>
      <c r="AG18" s="62"/>
      <c r="AH18" s="62"/>
      <c r="AI18" s="62"/>
      <c r="AJ18" s="62"/>
      <c r="AK18" s="62"/>
    </row>
    <row r="19">
      <c r="A19" s="73"/>
      <c r="B19" s="74"/>
      <c r="C19" s="74"/>
      <c r="D19" s="74"/>
      <c r="E19" s="74"/>
      <c r="F19" s="75"/>
      <c r="G19" s="93" t="s">
        <v>25</v>
      </c>
      <c r="I19" s="94">
        <f t="shared" ref="I19:K19" si="25">1000*O15</f>
        <v>103592.5</v>
      </c>
      <c r="J19" s="95">
        <f t="shared" si="25"/>
        <v>122785</v>
      </c>
      <c r="K19" s="96">
        <f t="shared" si="25"/>
        <v>138670</v>
      </c>
      <c r="M19" s="74"/>
      <c r="N19" s="74"/>
      <c r="O19" s="74"/>
      <c r="P19" s="74"/>
      <c r="Q19" s="74"/>
      <c r="R19" s="9"/>
      <c r="S19" s="4"/>
      <c r="T19" s="62"/>
      <c r="U19" s="62"/>
      <c r="V19" s="62"/>
      <c r="W19" s="62"/>
      <c r="X19" s="62"/>
      <c r="Y19" s="62"/>
      <c r="Z19" s="62"/>
      <c r="AA19" s="62"/>
      <c r="AB19" s="62"/>
      <c r="AC19" s="62"/>
      <c r="AD19" s="62"/>
      <c r="AE19" s="62"/>
      <c r="AF19" s="62"/>
      <c r="AG19" s="62"/>
      <c r="AH19" s="62"/>
      <c r="AI19" s="62"/>
      <c r="AJ19" s="62"/>
      <c r="AK19" s="62"/>
    </row>
    <row r="20">
      <c r="A20" s="73"/>
      <c r="B20" s="74"/>
      <c r="C20" s="74"/>
      <c r="D20" s="74"/>
      <c r="E20" s="74"/>
      <c r="F20" s="75"/>
      <c r="G20" s="97" t="s">
        <v>26</v>
      </c>
      <c r="H20" s="98"/>
      <c r="I20" s="99">
        <f t="shared" ref="I20:K20" si="26">C15/10</f>
        <v>509.8</v>
      </c>
      <c r="J20" s="100">
        <f t="shared" si="26"/>
        <v>509.8</v>
      </c>
      <c r="K20" s="101">
        <f t="shared" si="26"/>
        <v>509.8</v>
      </c>
      <c r="M20" s="74"/>
      <c r="N20" s="74"/>
      <c r="O20" s="74"/>
      <c r="P20" s="74"/>
      <c r="Q20" s="74"/>
      <c r="R20" s="9"/>
      <c r="S20" s="4"/>
      <c r="T20" s="62"/>
      <c r="U20" s="62"/>
      <c r="V20" s="62"/>
      <c r="W20" s="62"/>
      <c r="X20" s="62"/>
      <c r="Y20" s="62"/>
      <c r="Z20" s="62"/>
      <c r="AA20" s="62"/>
      <c r="AB20" s="62"/>
      <c r="AC20" s="62"/>
      <c r="AD20" s="62"/>
      <c r="AE20" s="62"/>
      <c r="AF20" s="62"/>
      <c r="AG20" s="62"/>
      <c r="AH20" s="62"/>
      <c r="AI20" s="62"/>
      <c r="AJ20" s="62"/>
      <c r="AK20" s="62"/>
    </row>
    <row r="21">
      <c r="A21" s="73"/>
      <c r="B21" s="74"/>
      <c r="C21" s="74"/>
      <c r="D21" s="74"/>
      <c r="E21" s="74"/>
      <c r="F21" s="75"/>
      <c r="G21" s="76"/>
      <c r="H21" s="74"/>
      <c r="I21" s="77"/>
      <c r="J21" s="78"/>
      <c r="K21" s="74"/>
      <c r="L21" s="74"/>
      <c r="M21" s="74"/>
      <c r="N21" s="74"/>
      <c r="O21" s="74"/>
      <c r="P21" s="74"/>
      <c r="Q21" s="74"/>
      <c r="R21" s="9"/>
      <c r="S21" s="4"/>
      <c r="T21" s="62"/>
      <c r="Y21" s="62"/>
      <c r="Z21" s="62"/>
      <c r="AA21" s="62"/>
      <c r="AB21" s="62"/>
      <c r="AC21" s="62"/>
      <c r="AD21" s="62"/>
      <c r="AE21" s="62"/>
      <c r="AF21" s="62"/>
      <c r="AG21" s="62"/>
      <c r="AH21" s="62"/>
      <c r="AI21" s="62"/>
      <c r="AJ21" s="62"/>
      <c r="AK21" s="62"/>
    </row>
    <row r="22">
      <c r="A22" s="102"/>
      <c r="B22" s="103"/>
      <c r="C22" s="103"/>
      <c r="D22" s="103"/>
      <c r="E22" s="103"/>
      <c r="F22" s="104"/>
      <c r="G22" s="105"/>
      <c r="H22" s="103"/>
      <c r="I22" s="106"/>
      <c r="J22" s="107"/>
      <c r="K22" s="103"/>
      <c r="L22" s="103"/>
      <c r="M22" s="103"/>
      <c r="N22" s="103"/>
      <c r="O22" s="103"/>
      <c r="P22" s="103"/>
      <c r="Q22" s="103"/>
      <c r="R22" s="108"/>
      <c r="S22" s="4"/>
      <c r="T22" s="62"/>
      <c r="U22" s="62"/>
      <c r="V22" s="62"/>
      <c r="W22" s="62"/>
      <c r="X22" s="62"/>
      <c r="Y22" s="62"/>
      <c r="Z22" s="62"/>
      <c r="AA22" s="62"/>
      <c r="AB22" s="62"/>
      <c r="AC22" s="62"/>
      <c r="AD22" s="62"/>
      <c r="AE22" s="62"/>
      <c r="AF22" s="62"/>
      <c r="AG22" s="62"/>
      <c r="AH22" s="62"/>
      <c r="AI22" s="62"/>
      <c r="AJ22" s="62"/>
      <c r="AK22" s="62"/>
    </row>
    <row r="23">
      <c r="A23" s="109"/>
      <c r="B23" s="110"/>
      <c r="C23" s="110"/>
      <c r="D23" s="110"/>
      <c r="E23" s="110"/>
      <c r="F23" s="110"/>
      <c r="G23" s="110"/>
      <c r="H23" s="110"/>
      <c r="I23" s="110"/>
      <c r="J23" s="110"/>
      <c r="K23" s="62"/>
      <c r="L23" s="110"/>
      <c r="M23" s="110"/>
      <c r="N23" s="110"/>
      <c r="O23" s="110"/>
      <c r="P23" s="110"/>
      <c r="Q23" s="110"/>
      <c r="R23" s="111"/>
      <c r="S23" s="4"/>
      <c r="T23" s="62"/>
      <c r="U23" s="62"/>
      <c r="V23" s="62"/>
      <c r="W23" s="62"/>
      <c r="X23" s="62"/>
      <c r="Y23" s="62"/>
      <c r="Z23" s="62"/>
      <c r="AA23" s="62"/>
      <c r="AB23" s="62"/>
      <c r="AC23" s="62"/>
      <c r="AD23" s="62"/>
      <c r="AE23" s="62"/>
      <c r="AF23" s="62"/>
      <c r="AG23" s="62"/>
      <c r="AH23" s="62"/>
      <c r="AI23" s="62"/>
      <c r="AJ23" s="62"/>
      <c r="AK23" s="62"/>
    </row>
    <row r="24">
      <c r="A24" s="112"/>
      <c r="B24" s="6" t="s">
        <v>27</v>
      </c>
      <c r="C24" s="7"/>
      <c r="D24" s="7"/>
      <c r="E24" s="7"/>
      <c r="F24" s="7"/>
      <c r="G24" s="7"/>
      <c r="H24" s="7"/>
      <c r="I24" s="7"/>
      <c r="J24" s="8"/>
      <c r="K24" s="113"/>
      <c r="L24" s="6" t="s">
        <v>28</v>
      </c>
      <c r="M24" s="7"/>
      <c r="N24" s="7"/>
      <c r="O24" s="7"/>
      <c r="P24" s="7"/>
      <c r="Q24" s="8"/>
      <c r="R24" s="9"/>
      <c r="S24" s="4"/>
      <c r="T24" s="62"/>
      <c r="U24" s="62"/>
      <c r="V24" s="62"/>
      <c r="W24" s="62"/>
      <c r="X24" s="62"/>
      <c r="Y24" s="62"/>
      <c r="Z24" s="62"/>
      <c r="AA24" s="62"/>
      <c r="AB24" s="62"/>
      <c r="AC24" s="62"/>
      <c r="AD24" s="62"/>
      <c r="AE24" s="62"/>
      <c r="AF24" s="62"/>
      <c r="AG24" s="62"/>
      <c r="AH24" s="62"/>
      <c r="AI24" s="62"/>
      <c r="AJ24" s="62"/>
      <c r="AK24" s="62"/>
    </row>
    <row r="25">
      <c r="A25" s="112"/>
      <c r="B25" s="114" t="s">
        <v>29</v>
      </c>
      <c r="D25" s="13"/>
      <c r="E25" s="115" t="s">
        <v>30</v>
      </c>
      <c r="H25" s="115" t="s">
        <v>31</v>
      </c>
      <c r="J25" s="13"/>
      <c r="K25" s="113"/>
      <c r="L25" s="116" t="s">
        <v>32</v>
      </c>
      <c r="N25" s="117">
        <v>0.24</v>
      </c>
      <c r="O25" s="118" t="s">
        <v>33</v>
      </c>
      <c r="Q25" s="119">
        <v>1.2</v>
      </c>
      <c r="R25" s="9"/>
      <c r="S25" s="4"/>
      <c r="T25" s="62"/>
      <c r="U25" s="62"/>
      <c r="V25" s="62"/>
      <c r="W25" s="62"/>
      <c r="X25" s="62"/>
      <c r="Y25" s="62"/>
      <c r="Z25" s="62"/>
      <c r="AA25" s="62"/>
      <c r="AB25" s="62"/>
      <c r="AC25" s="62"/>
      <c r="AD25" s="62"/>
      <c r="AE25" s="62"/>
      <c r="AF25" s="62"/>
      <c r="AG25" s="62"/>
      <c r="AH25" s="62"/>
      <c r="AI25" s="62"/>
      <c r="AJ25" s="62"/>
      <c r="AK25" s="62"/>
    </row>
    <row r="26">
      <c r="A26" s="112"/>
      <c r="B26" s="7"/>
      <c r="C26" s="7"/>
      <c r="D26" s="8"/>
      <c r="E26" s="120" t="s">
        <v>8</v>
      </c>
      <c r="F26" s="121" t="s">
        <v>9</v>
      </c>
      <c r="G26" s="120" t="s">
        <v>10</v>
      </c>
      <c r="H26" s="120" t="s">
        <v>8</v>
      </c>
      <c r="I26" s="121" t="s">
        <v>9</v>
      </c>
      <c r="J26" s="122" t="s">
        <v>10</v>
      </c>
      <c r="K26" s="113"/>
      <c r="L26" s="123" t="s">
        <v>34</v>
      </c>
      <c r="N26" s="124">
        <f>Q27*3.1415*Q28*N25</f>
        <v>8.821332</v>
      </c>
      <c r="O26" s="125" t="s">
        <v>35</v>
      </c>
      <c r="Q26" s="119">
        <v>2.0</v>
      </c>
      <c r="R26" s="9"/>
      <c r="S26" s="4"/>
      <c r="T26" s="62"/>
      <c r="U26" s="62"/>
      <c r="V26" s="62"/>
      <c r="W26" s="62"/>
      <c r="X26" s="62"/>
      <c r="Y26" s="62"/>
      <c r="Z26" s="62"/>
      <c r="AA26" s="62"/>
      <c r="AB26" s="62"/>
      <c r="AC26" s="62"/>
      <c r="AD26" s="62"/>
      <c r="AE26" s="62"/>
      <c r="AF26" s="62"/>
      <c r="AG26" s="62"/>
      <c r="AH26" s="62"/>
      <c r="AI26" s="62"/>
      <c r="AJ26" s="62"/>
      <c r="AK26" s="62"/>
    </row>
    <row r="27">
      <c r="A27" s="112"/>
      <c r="B27" s="126" t="s">
        <v>36</v>
      </c>
      <c r="D27" s="127"/>
      <c r="E27" s="128">
        <f t="shared" ref="E27:G27" si="27">D54*$O40/$O31</f>
        <v>0.01611111111</v>
      </c>
      <c r="F27" s="128">
        <f t="shared" si="27"/>
        <v>0.01888888889</v>
      </c>
      <c r="G27" s="128">
        <f t="shared" si="27"/>
        <v>0.02</v>
      </c>
      <c r="H27" s="129">
        <f t="shared" ref="H27:J27" si="28">D54*$O41/$O32</f>
        <v>0.01658413672</v>
      </c>
      <c r="I27" s="129">
        <f t="shared" si="28"/>
        <v>0.01944347064</v>
      </c>
      <c r="J27" s="130">
        <f t="shared" si="28"/>
        <v>0.02058720421</v>
      </c>
      <c r="K27" s="113"/>
      <c r="L27" s="116" t="s">
        <v>37</v>
      </c>
      <c r="N27" s="131">
        <v>23.0</v>
      </c>
      <c r="O27" s="116" t="s">
        <v>38</v>
      </c>
      <c r="Q27" s="132">
        <v>7800.0</v>
      </c>
      <c r="R27" s="9"/>
      <c r="S27" s="4"/>
      <c r="T27" s="62"/>
      <c r="U27" s="62"/>
      <c r="V27" s="62"/>
      <c r="W27" s="62"/>
      <c r="X27" s="62"/>
      <c r="Y27" s="62"/>
      <c r="Z27" s="62"/>
      <c r="AA27" s="62"/>
      <c r="AB27" s="62"/>
      <c r="AC27" s="62"/>
      <c r="AD27" s="62"/>
      <c r="AE27" s="62"/>
      <c r="AF27" s="62"/>
      <c r="AG27" s="62"/>
      <c r="AH27" s="62"/>
      <c r="AI27" s="62"/>
      <c r="AJ27" s="62"/>
      <c r="AK27" s="62"/>
    </row>
    <row r="28">
      <c r="A28" s="112"/>
      <c r="B28" s="133" t="s">
        <v>39</v>
      </c>
      <c r="D28" s="134"/>
      <c r="E28" s="135">
        <f t="shared" ref="E28:J28" si="29">1000*E27</f>
        <v>16.11111111</v>
      </c>
      <c r="F28" s="135">
        <f t="shared" si="29"/>
        <v>18.88888889</v>
      </c>
      <c r="G28" s="135">
        <f t="shared" si="29"/>
        <v>20</v>
      </c>
      <c r="H28" s="136">
        <f t="shared" si="29"/>
        <v>16.58413672</v>
      </c>
      <c r="I28" s="136">
        <f t="shared" si="29"/>
        <v>19.44347064</v>
      </c>
      <c r="J28" s="137">
        <f t="shared" si="29"/>
        <v>20.58720421</v>
      </c>
      <c r="K28" s="113"/>
      <c r="L28" s="138" t="s">
        <v>40</v>
      </c>
      <c r="M28" s="139"/>
      <c r="N28" s="140">
        <v>0.9</v>
      </c>
      <c r="O28" s="141" t="s">
        <v>41</v>
      </c>
      <c r="P28" s="7"/>
      <c r="Q28" s="142">
        <v>0.0015</v>
      </c>
      <c r="R28" s="111"/>
      <c r="S28" s="4"/>
      <c r="T28" s="62"/>
      <c r="U28" s="62"/>
      <c r="V28" s="62"/>
      <c r="W28" s="62"/>
      <c r="X28" s="62"/>
      <c r="Y28" s="62"/>
      <c r="Z28" s="62"/>
      <c r="AA28" s="62"/>
      <c r="AB28" s="62"/>
      <c r="AC28" s="62"/>
      <c r="AD28" s="62"/>
      <c r="AE28" s="62"/>
      <c r="AF28" s="62"/>
      <c r="AG28" s="62"/>
      <c r="AH28" s="62"/>
      <c r="AI28" s="62"/>
      <c r="AJ28" s="62"/>
      <c r="AK28" s="62"/>
    </row>
    <row r="29">
      <c r="A29" s="112"/>
      <c r="B29" s="143" t="s">
        <v>42</v>
      </c>
      <c r="D29" s="127"/>
      <c r="E29" s="135">
        <f t="shared" ref="E29:J29" si="30">$N28*$N27-E28</f>
        <v>4.588888889</v>
      </c>
      <c r="F29" s="135">
        <f t="shared" si="30"/>
        <v>1.811111111</v>
      </c>
      <c r="G29" s="135">
        <f t="shared" si="30"/>
        <v>0.7</v>
      </c>
      <c r="H29" s="136">
        <f t="shared" si="30"/>
        <v>4.115863278</v>
      </c>
      <c r="I29" s="136">
        <f t="shared" si="30"/>
        <v>1.25652936</v>
      </c>
      <c r="J29" s="137">
        <f t="shared" si="30"/>
        <v>0.1127957932</v>
      </c>
      <c r="K29" s="4"/>
      <c r="L29" s="144"/>
      <c r="M29" s="144"/>
      <c r="N29" s="144"/>
      <c r="O29" s="144"/>
      <c r="P29" s="62"/>
      <c r="Q29" s="62"/>
      <c r="R29" s="111"/>
      <c r="S29" s="4"/>
      <c r="T29" s="62"/>
      <c r="U29" s="62"/>
      <c r="V29" s="62"/>
      <c r="W29" s="62"/>
      <c r="X29" s="62"/>
      <c r="Y29" s="62"/>
      <c r="Z29" s="62"/>
      <c r="AA29" s="62"/>
      <c r="AB29" s="62"/>
      <c r="AC29" s="62"/>
      <c r="AD29" s="62"/>
      <c r="AE29" s="62"/>
      <c r="AF29" s="62"/>
      <c r="AG29" s="62"/>
      <c r="AH29" s="62"/>
      <c r="AI29" s="62"/>
      <c r="AJ29" s="62"/>
      <c r="AK29" s="62"/>
    </row>
    <row r="30">
      <c r="A30" s="112"/>
      <c r="B30" s="145" t="s">
        <v>43</v>
      </c>
      <c r="D30" s="134"/>
      <c r="E30" s="146">
        <f t="shared" ref="E30:J30" si="31">$N27/E28-1</f>
        <v>0.4275862069</v>
      </c>
      <c r="F30" s="146">
        <f t="shared" si="31"/>
        <v>0.2176470588</v>
      </c>
      <c r="G30" s="146">
        <f t="shared" si="31"/>
        <v>0.15</v>
      </c>
      <c r="H30" s="147">
        <f t="shared" si="31"/>
        <v>0.3868674858</v>
      </c>
      <c r="I30" s="147">
        <f t="shared" si="31"/>
        <v>0.1829163849</v>
      </c>
      <c r="J30" s="148">
        <f t="shared" si="31"/>
        <v>0.117198808</v>
      </c>
      <c r="K30" s="113"/>
      <c r="L30" s="149" t="s">
        <v>44</v>
      </c>
      <c r="M30" s="150"/>
      <c r="N30" s="150"/>
      <c r="O30" s="151"/>
      <c r="P30" s="62"/>
      <c r="Q30" s="62"/>
      <c r="R30" s="111"/>
      <c r="S30" s="4"/>
      <c r="T30" s="62"/>
      <c r="U30" s="62"/>
      <c r="V30" s="62"/>
      <c r="W30" s="62"/>
      <c r="X30" s="62"/>
      <c r="Y30" s="62"/>
      <c r="Z30" s="62"/>
      <c r="AA30" s="62"/>
      <c r="AB30" s="62"/>
      <c r="AC30" s="62"/>
      <c r="AD30" s="62"/>
      <c r="AE30" s="62"/>
      <c r="AF30" s="62"/>
      <c r="AG30" s="62"/>
      <c r="AH30" s="62"/>
      <c r="AI30" s="62"/>
      <c r="AJ30" s="62"/>
      <c r="AK30" s="62"/>
    </row>
    <row r="31">
      <c r="A31" s="109"/>
      <c r="B31" s="126" t="s">
        <v>45</v>
      </c>
      <c r="E31" s="152">
        <f t="shared" ref="E31:J31" si="32">4*$N27/3.1415/$N25/$N25/1000</f>
        <v>0.5084266186</v>
      </c>
      <c r="F31" s="153">
        <f t="shared" si="32"/>
        <v>0.5084266186</v>
      </c>
      <c r="G31" s="153">
        <f t="shared" si="32"/>
        <v>0.5084266186</v>
      </c>
      <c r="H31" s="154">
        <f t="shared" si="32"/>
        <v>0.5084266186</v>
      </c>
      <c r="I31" s="154">
        <f t="shared" si="32"/>
        <v>0.5084266186</v>
      </c>
      <c r="J31" s="155">
        <f t="shared" si="32"/>
        <v>0.5084266186</v>
      </c>
      <c r="K31" s="4"/>
      <c r="L31" s="156" t="s">
        <v>46</v>
      </c>
      <c r="M31" s="157"/>
      <c r="N31" s="157"/>
      <c r="O31" s="158">
        <v>810.0</v>
      </c>
      <c r="P31" s="62"/>
      <c r="Q31" s="62"/>
      <c r="R31" s="111"/>
      <c r="S31" s="4"/>
      <c r="T31" s="62"/>
      <c r="U31" s="62"/>
      <c r="V31" s="62"/>
      <c r="W31" s="62"/>
      <c r="X31" s="62"/>
      <c r="Y31" s="62"/>
      <c r="Z31" s="62"/>
      <c r="AA31" s="62"/>
      <c r="AB31" s="62"/>
      <c r="AC31" s="62"/>
      <c r="AD31" s="62"/>
      <c r="AE31" s="62"/>
      <c r="AF31" s="62"/>
      <c r="AG31" s="62"/>
      <c r="AH31" s="62"/>
      <c r="AI31" s="62"/>
      <c r="AJ31" s="62"/>
      <c r="AK31" s="62"/>
    </row>
    <row r="32">
      <c r="A32" s="109"/>
      <c r="B32" s="143" t="s">
        <v>3</v>
      </c>
      <c r="E32" s="152">
        <f t="shared" ref="E32:G32" si="33">E31*1000</f>
        <v>508.4266186</v>
      </c>
      <c r="F32" s="153">
        <f t="shared" si="33"/>
        <v>508.4266186</v>
      </c>
      <c r="G32" s="153">
        <f t="shared" si="33"/>
        <v>508.4266186</v>
      </c>
      <c r="H32" s="154">
        <f t="shared" ref="H32:J32" si="34">1000*H31</f>
        <v>508.4266186</v>
      </c>
      <c r="I32" s="154">
        <f t="shared" si="34"/>
        <v>508.4266186</v>
      </c>
      <c r="J32" s="155">
        <f t="shared" si="34"/>
        <v>508.4266186</v>
      </c>
      <c r="K32" s="4"/>
      <c r="L32" s="159" t="s">
        <v>47</v>
      </c>
      <c r="M32" s="160"/>
      <c r="N32" s="160"/>
      <c r="O32" s="161">
        <v>1141.0</v>
      </c>
      <c r="P32" s="62"/>
      <c r="Q32" s="62"/>
      <c r="R32" s="111"/>
      <c r="S32" s="4"/>
      <c r="T32" s="62"/>
      <c r="U32" s="62"/>
      <c r="V32" s="62"/>
      <c r="W32" s="62"/>
      <c r="X32" s="62"/>
      <c r="Y32" s="62"/>
      <c r="Z32" s="62"/>
      <c r="AA32" s="62"/>
      <c r="AB32" s="62"/>
      <c r="AC32" s="62"/>
      <c r="AD32" s="62"/>
      <c r="AE32" s="62"/>
      <c r="AF32" s="62"/>
      <c r="AG32" s="62"/>
      <c r="AH32" s="62"/>
      <c r="AI32" s="62"/>
      <c r="AJ32" s="62"/>
      <c r="AK32" s="62"/>
    </row>
    <row r="33">
      <c r="A33" s="109"/>
      <c r="B33" s="145" t="s">
        <v>48</v>
      </c>
      <c r="E33" s="162">
        <f t="shared" ref="E33:G33" si="35">ROUNDUP(MAX(E32,H32),0)</f>
        <v>509</v>
      </c>
      <c r="F33" s="135">
        <f t="shared" si="35"/>
        <v>509</v>
      </c>
      <c r="G33" s="135">
        <f t="shared" si="35"/>
        <v>509</v>
      </c>
      <c r="H33" s="136">
        <f t="shared" ref="H33:J33" si="36">E33</f>
        <v>509</v>
      </c>
      <c r="I33" s="136">
        <f t="shared" si="36"/>
        <v>509</v>
      </c>
      <c r="J33" s="137">
        <f t="shared" si="36"/>
        <v>509</v>
      </c>
      <c r="K33" s="4"/>
      <c r="L33" s="156" t="s">
        <v>49</v>
      </c>
      <c r="M33" s="157"/>
      <c r="N33" s="157"/>
      <c r="O33" s="158">
        <v>5000.0</v>
      </c>
      <c r="P33" s="62"/>
      <c r="Q33" s="62"/>
      <c r="R33" s="111"/>
      <c r="S33" s="4"/>
      <c r="T33" s="62"/>
      <c r="U33" s="62"/>
      <c r="V33" s="62"/>
      <c r="W33" s="62"/>
      <c r="X33" s="62"/>
      <c r="Y33" s="62"/>
      <c r="Z33" s="62"/>
      <c r="AA33" s="62"/>
      <c r="AB33" s="62"/>
      <c r="AC33" s="62"/>
      <c r="AD33" s="62"/>
      <c r="AE33" s="62"/>
      <c r="AF33" s="62"/>
      <c r="AG33" s="62"/>
      <c r="AH33" s="62"/>
      <c r="AI33" s="62"/>
      <c r="AJ33" s="62"/>
      <c r="AK33" s="62"/>
    </row>
    <row r="34">
      <c r="A34" s="109"/>
      <c r="B34" s="163" t="s">
        <v>50</v>
      </c>
      <c r="C34" s="160"/>
      <c r="D34" s="160"/>
      <c r="E34" s="164">
        <f t="shared" ref="E34:J34" si="37">E33+50</f>
        <v>559</v>
      </c>
      <c r="F34" s="165">
        <f t="shared" si="37"/>
        <v>559</v>
      </c>
      <c r="G34" s="165">
        <f t="shared" si="37"/>
        <v>559</v>
      </c>
      <c r="H34" s="166">
        <f t="shared" si="37"/>
        <v>559</v>
      </c>
      <c r="I34" s="166">
        <f t="shared" si="37"/>
        <v>559</v>
      </c>
      <c r="J34" s="167">
        <f t="shared" si="37"/>
        <v>559</v>
      </c>
      <c r="K34" s="168"/>
      <c r="L34" s="145" t="s">
        <v>51</v>
      </c>
      <c r="O34" s="169">
        <v>2.205</v>
      </c>
      <c r="P34" s="62"/>
      <c r="Q34" s="62"/>
      <c r="R34" s="111"/>
      <c r="S34" s="4"/>
      <c r="T34" s="62"/>
      <c r="U34" s="62"/>
      <c r="V34" s="62"/>
      <c r="W34" s="62"/>
      <c r="X34" s="62"/>
      <c r="Y34" s="62"/>
      <c r="Z34" s="62"/>
      <c r="AA34" s="62"/>
      <c r="AB34" s="62"/>
      <c r="AC34" s="62"/>
      <c r="AD34" s="62"/>
      <c r="AE34" s="62"/>
      <c r="AF34" s="62"/>
      <c r="AG34" s="62"/>
      <c r="AH34" s="62"/>
      <c r="AI34" s="62"/>
      <c r="AJ34" s="62"/>
      <c r="AK34" s="62"/>
    </row>
    <row r="35">
      <c r="A35" s="112"/>
      <c r="B35" s="126" t="s">
        <v>52</v>
      </c>
      <c r="D35" s="127"/>
      <c r="E35" s="153">
        <f t="shared" ref="E35:J35" si="38">$N26*E31+$Q25+$Q26</f>
        <v>7.685</v>
      </c>
      <c r="F35" s="153">
        <f t="shared" si="38"/>
        <v>7.685</v>
      </c>
      <c r="G35" s="153">
        <f t="shared" si="38"/>
        <v>7.685</v>
      </c>
      <c r="H35" s="154">
        <f t="shared" si="38"/>
        <v>7.685</v>
      </c>
      <c r="I35" s="154">
        <f t="shared" si="38"/>
        <v>7.685</v>
      </c>
      <c r="J35" s="155">
        <f t="shared" si="38"/>
        <v>7.685</v>
      </c>
      <c r="K35" s="4"/>
      <c r="L35" s="143" t="s">
        <v>53</v>
      </c>
      <c r="O35" s="170">
        <v>0.9</v>
      </c>
      <c r="P35" s="62"/>
      <c r="Q35" s="62"/>
      <c r="R35" s="111"/>
      <c r="S35" s="4"/>
      <c r="T35" s="62"/>
      <c r="U35" s="62"/>
      <c r="V35" s="62"/>
      <c r="W35" s="62"/>
      <c r="X35" s="62"/>
      <c r="Y35" s="62"/>
      <c r="Z35" s="62"/>
      <c r="AA35" s="62"/>
      <c r="AB35" s="62"/>
      <c r="AC35" s="62"/>
      <c r="AD35" s="62"/>
      <c r="AE35" s="62"/>
      <c r="AF35" s="62"/>
      <c r="AG35" s="62"/>
      <c r="AH35" s="62"/>
      <c r="AI35" s="62"/>
      <c r="AJ35" s="62"/>
      <c r="AK35" s="62"/>
    </row>
    <row r="36">
      <c r="A36" s="109"/>
      <c r="B36" s="171" t="s">
        <v>54</v>
      </c>
      <c r="C36" s="139"/>
      <c r="D36" s="172"/>
      <c r="E36" s="173">
        <f t="shared" ref="E36:G36" si="39">ROUNDUP(MAX(E35,H35),1)</f>
        <v>7.7</v>
      </c>
      <c r="F36" s="173">
        <f t="shared" si="39"/>
        <v>7.7</v>
      </c>
      <c r="G36" s="173">
        <f t="shared" si="39"/>
        <v>7.7</v>
      </c>
      <c r="H36" s="174">
        <f t="shared" ref="H36:J36" si="40">E36</f>
        <v>7.7</v>
      </c>
      <c r="I36" s="174">
        <f t="shared" si="40"/>
        <v>7.7</v>
      </c>
      <c r="J36" s="175">
        <f t="shared" si="40"/>
        <v>7.7</v>
      </c>
      <c r="K36" s="176"/>
      <c r="L36" s="177" t="s">
        <v>55</v>
      </c>
      <c r="M36" s="160"/>
      <c r="N36" s="160"/>
      <c r="O36" s="161">
        <v>1.305</v>
      </c>
      <c r="P36" s="62"/>
      <c r="Q36" s="62"/>
      <c r="R36" s="111"/>
      <c r="S36" s="4"/>
      <c r="T36" s="62"/>
      <c r="U36" s="62"/>
      <c r="V36" s="62"/>
      <c r="W36" s="62"/>
      <c r="X36" s="62"/>
      <c r="Y36" s="62"/>
      <c r="Z36" s="62"/>
      <c r="AA36" s="62"/>
      <c r="AB36" s="62"/>
      <c r="AC36" s="62"/>
      <c r="AD36" s="62"/>
      <c r="AE36" s="62"/>
      <c r="AF36" s="62"/>
      <c r="AG36" s="62"/>
      <c r="AH36" s="62"/>
      <c r="AI36" s="62"/>
      <c r="AJ36" s="62"/>
      <c r="AK36" s="62"/>
    </row>
    <row r="37">
      <c r="A37" s="109"/>
      <c r="B37" s="4"/>
      <c r="C37" s="4"/>
      <c r="D37" s="4"/>
      <c r="E37" s="4"/>
      <c r="F37" s="4"/>
      <c r="G37" s="4"/>
      <c r="H37" s="4"/>
      <c r="I37" s="4"/>
      <c r="J37" s="4"/>
      <c r="K37" s="4"/>
      <c r="L37" s="178" t="s">
        <v>56</v>
      </c>
      <c r="M37" s="157"/>
      <c r="N37" s="157"/>
      <c r="O37" s="179">
        <v>1.0</v>
      </c>
      <c r="P37" s="62"/>
      <c r="Q37" s="62"/>
      <c r="R37" s="111"/>
      <c r="S37" s="4"/>
      <c r="T37" s="62"/>
      <c r="U37" s="62"/>
      <c r="V37" s="62"/>
      <c r="W37" s="62"/>
      <c r="X37" s="62"/>
      <c r="Y37" s="62"/>
      <c r="Z37" s="62"/>
      <c r="AA37" s="62"/>
      <c r="AB37" s="62"/>
      <c r="AC37" s="62"/>
      <c r="AD37" s="62"/>
      <c r="AE37" s="62"/>
      <c r="AF37" s="62"/>
      <c r="AG37" s="62"/>
      <c r="AH37" s="62"/>
      <c r="AI37" s="62"/>
      <c r="AJ37" s="62"/>
      <c r="AK37" s="62"/>
    </row>
    <row r="38">
      <c r="A38" s="109"/>
      <c r="B38" s="4"/>
      <c r="C38" s="4"/>
      <c r="D38" s="4"/>
      <c r="E38" s="4"/>
      <c r="F38" s="116"/>
      <c r="G38" s="116"/>
      <c r="H38" s="116"/>
      <c r="I38" s="4"/>
      <c r="J38" s="4"/>
      <c r="K38" s="4"/>
      <c r="L38" s="180" t="s">
        <v>57</v>
      </c>
      <c r="O38" s="181">
        <f>O33*O37</f>
        <v>5000</v>
      </c>
      <c r="P38" s="62"/>
      <c r="Q38" s="62"/>
      <c r="R38" s="111"/>
      <c r="S38" s="4"/>
      <c r="T38" s="62"/>
      <c r="U38" s="62"/>
      <c r="V38" s="62"/>
      <c r="W38" s="62"/>
      <c r="X38" s="62"/>
      <c r="Y38" s="62"/>
      <c r="Z38" s="62"/>
      <c r="AA38" s="62"/>
      <c r="AB38" s="62"/>
      <c r="AC38" s="62"/>
      <c r="AD38" s="62"/>
      <c r="AE38" s="62"/>
      <c r="AF38" s="62"/>
      <c r="AG38" s="62"/>
      <c r="AH38" s="62"/>
      <c r="AI38" s="62"/>
      <c r="AJ38" s="62"/>
      <c r="AK38" s="62"/>
    </row>
    <row r="39">
      <c r="A39" s="109"/>
      <c r="B39" s="4"/>
      <c r="C39" s="4"/>
      <c r="D39" s="4"/>
      <c r="E39" s="4"/>
      <c r="F39" s="116"/>
      <c r="G39" s="116"/>
      <c r="H39" s="116"/>
      <c r="I39" s="4"/>
      <c r="J39" s="4"/>
      <c r="K39" s="4"/>
      <c r="L39" s="178" t="s">
        <v>58</v>
      </c>
      <c r="M39" s="157"/>
      <c r="N39" s="157"/>
      <c r="O39" s="182">
        <f>O37*O34</f>
        <v>2.205</v>
      </c>
      <c r="P39" s="62"/>
      <c r="Q39" s="62"/>
      <c r="R39" s="111"/>
      <c r="S39" s="4"/>
      <c r="T39" s="62"/>
      <c r="U39" s="62"/>
      <c r="V39" s="62"/>
      <c r="W39" s="62"/>
      <c r="X39" s="62"/>
      <c r="Y39" s="62"/>
      <c r="Z39" s="62"/>
      <c r="AA39" s="62"/>
      <c r="AB39" s="62"/>
      <c r="AC39" s="62"/>
      <c r="AD39" s="62"/>
      <c r="AE39" s="62"/>
      <c r="AF39" s="62"/>
      <c r="AG39" s="62"/>
      <c r="AH39" s="62"/>
      <c r="AI39" s="62"/>
      <c r="AJ39" s="62"/>
      <c r="AK39" s="62"/>
    </row>
    <row r="40">
      <c r="A40" s="109"/>
      <c r="B40" s="4"/>
      <c r="C40" s="4"/>
      <c r="D40" s="4"/>
      <c r="E40" s="4"/>
      <c r="F40" s="116"/>
      <c r="G40" s="116"/>
      <c r="H40" s="116"/>
      <c r="I40" s="4"/>
      <c r="J40" s="4"/>
      <c r="K40" s="4"/>
      <c r="L40" s="145" t="s">
        <v>59</v>
      </c>
      <c r="O40" s="183">
        <f>O37*O35</f>
        <v>0.9</v>
      </c>
      <c r="P40" s="62"/>
      <c r="Q40" s="62"/>
      <c r="R40" s="111"/>
      <c r="S40" s="4"/>
      <c r="T40" s="62"/>
      <c r="U40" s="62"/>
      <c r="V40" s="62"/>
      <c r="W40" s="62"/>
      <c r="X40" s="62"/>
      <c r="Y40" s="62"/>
      <c r="Z40" s="62"/>
      <c r="AA40" s="62"/>
      <c r="AB40" s="62"/>
      <c r="AC40" s="62"/>
      <c r="AD40" s="62"/>
      <c r="AE40" s="62"/>
      <c r="AF40" s="62"/>
      <c r="AG40" s="62"/>
      <c r="AH40" s="62"/>
      <c r="AI40" s="62"/>
      <c r="AJ40" s="62"/>
      <c r="AK40" s="62"/>
    </row>
    <row r="41">
      <c r="A41" s="109"/>
      <c r="B41" s="4"/>
      <c r="C41" s="4"/>
      <c r="D41" s="4"/>
      <c r="E41" s="4"/>
      <c r="F41" s="116"/>
      <c r="G41" s="116"/>
      <c r="H41" s="116"/>
      <c r="I41" s="4"/>
      <c r="J41" s="4"/>
      <c r="K41" s="4"/>
      <c r="L41" s="143" t="s">
        <v>60</v>
      </c>
      <c r="O41" s="170">
        <f>O36*O37</f>
        <v>1.305</v>
      </c>
      <c r="P41" s="62"/>
      <c r="Q41" s="62"/>
      <c r="R41" s="111"/>
      <c r="S41" s="4"/>
      <c r="T41" s="62"/>
      <c r="U41" s="62"/>
      <c r="V41" s="62"/>
      <c r="W41" s="62"/>
      <c r="X41" s="62"/>
      <c r="Y41" s="62"/>
      <c r="Z41" s="62"/>
      <c r="AA41" s="62"/>
      <c r="AB41" s="62"/>
      <c r="AC41" s="62"/>
      <c r="AD41" s="62"/>
      <c r="AE41" s="62"/>
      <c r="AF41" s="62"/>
      <c r="AG41" s="62"/>
      <c r="AH41" s="62"/>
      <c r="AI41" s="62"/>
      <c r="AJ41" s="62"/>
      <c r="AK41" s="62"/>
    </row>
    <row r="42">
      <c r="A42" s="109"/>
      <c r="B42" s="4"/>
      <c r="C42" s="4"/>
      <c r="D42" s="4"/>
      <c r="E42" s="4"/>
      <c r="F42" s="116"/>
      <c r="G42" s="116"/>
      <c r="H42" s="116"/>
      <c r="I42" s="4"/>
      <c r="J42" s="4"/>
      <c r="K42" s="4"/>
      <c r="L42" s="143" t="s">
        <v>61</v>
      </c>
      <c r="O42" s="170">
        <f>1000*O40/O31</f>
        <v>1.111111111</v>
      </c>
      <c r="P42" s="62"/>
      <c r="Q42" s="62"/>
      <c r="R42" s="111"/>
      <c r="S42" s="4"/>
      <c r="T42" s="62"/>
      <c r="U42" s="62"/>
      <c r="V42" s="62"/>
      <c r="W42" s="62"/>
      <c r="X42" s="62"/>
      <c r="Y42" s="62"/>
      <c r="Z42" s="62"/>
      <c r="AA42" s="62"/>
      <c r="AB42" s="62"/>
      <c r="AC42" s="62"/>
      <c r="AD42" s="62"/>
      <c r="AE42" s="62"/>
      <c r="AF42" s="62"/>
      <c r="AG42" s="62"/>
      <c r="AH42" s="62"/>
      <c r="AI42" s="62"/>
      <c r="AJ42" s="62"/>
      <c r="AK42" s="62"/>
    </row>
    <row r="43">
      <c r="A43" s="109"/>
      <c r="B43" s="4"/>
      <c r="C43" s="4"/>
      <c r="D43" s="4"/>
      <c r="E43" s="4"/>
      <c r="F43" s="116"/>
      <c r="G43" s="116"/>
      <c r="H43" s="116"/>
      <c r="I43" s="4"/>
      <c r="J43" s="4"/>
      <c r="K43" s="4"/>
      <c r="L43" s="177" t="s">
        <v>62</v>
      </c>
      <c r="M43" s="184"/>
      <c r="N43" s="184"/>
      <c r="O43" s="161">
        <f>1000*O36/O32</f>
        <v>1.143733567</v>
      </c>
      <c r="P43" s="62"/>
      <c r="Q43" s="62"/>
      <c r="R43" s="111"/>
      <c r="S43" s="4"/>
      <c r="T43" s="62"/>
      <c r="U43" s="62"/>
      <c r="V43" s="62"/>
      <c r="W43" s="62"/>
      <c r="X43" s="62"/>
      <c r="Y43" s="62"/>
      <c r="Z43" s="62"/>
      <c r="AA43" s="62"/>
      <c r="AB43" s="62"/>
      <c r="AC43" s="62"/>
      <c r="AD43" s="62"/>
      <c r="AE43" s="62"/>
      <c r="AF43" s="62"/>
      <c r="AG43" s="62"/>
      <c r="AH43" s="62"/>
      <c r="AI43" s="62"/>
      <c r="AJ43" s="62"/>
      <c r="AK43" s="62"/>
    </row>
    <row r="44">
      <c r="A44" s="109"/>
      <c r="B44" s="4"/>
      <c r="C44" s="4"/>
      <c r="D44" s="4"/>
      <c r="E44" s="4"/>
      <c r="F44" s="116"/>
      <c r="G44" s="116"/>
      <c r="H44" s="116"/>
      <c r="I44" s="4"/>
      <c r="J44" s="4"/>
      <c r="K44" s="4"/>
      <c r="L44" s="185" t="s">
        <v>63</v>
      </c>
      <c r="M44" s="186"/>
      <c r="N44" s="186"/>
      <c r="O44" s="187">
        <v>98.92</v>
      </c>
      <c r="P44" s="62"/>
      <c r="Q44" s="62"/>
      <c r="R44" s="111"/>
      <c r="S44" s="4"/>
      <c r="T44" s="62"/>
      <c r="U44" s="62"/>
      <c r="V44" s="62"/>
      <c r="W44" s="62"/>
      <c r="X44" s="62"/>
      <c r="Y44" s="62"/>
      <c r="Z44" s="62"/>
      <c r="AA44" s="62"/>
      <c r="AB44" s="62"/>
      <c r="AC44" s="62"/>
      <c r="AD44" s="62"/>
      <c r="AE44" s="62"/>
      <c r="AF44" s="62"/>
      <c r="AG44" s="62"/>
      <c r="AH44" s="62"/>
      <c r="AI44" s="62"/>
      <c r="AJ44" s="62"/>
      <c r="AK44" s="62"/>
    </row>
    <row r="45">
      <c r="A45" s="109"/>
      <c r="B45" s="4"/>
      <c r="C45" s="4"/>
      <c r="D45" s="4"/>
      <c r="E45" s="4"/>
      <c r="F45" s="116"/>
      <c r="G45" s="116"/>
      <c r="H45" s="116"/>
      <c r="I45" s="4"/>
      <c r="J45" s="4"/>
      <c r="K45" s="4"/>
      <c r="L45" s="188" t="s">
        <v>64</v>
      </c>
      <c r="M45" s="98"/>
      <c r="N45" s="98"/>
      <c r="O45" s="189">
        <v>9.0</v>
      </c>
      <c r="P45" s="62"/>
      <c r="Q45" s="62"/>
      <c r="R45" s="111"/>
      <c r="S45" s="4"/>
      <c r="T45" s="62"/>
      <c r="U45" s="62"/>
      <c r="V45" s="62"/>
      <c r="W45" s="62"/>
      <c r="X45" s="62"/>
      <c r="Y45" s="62"/>
      <c r="Z45" s="62"/>
      <c r="AA45" s="62"/>
      <c r="AB45" s="62"/>
      <c r="AC45" s="62"/>
      <c r="AD45" s="62"/>
      <c r="AE45" s="62"/>
      <c r="AF45" s="62"/>
      <c r="AG45" s="62"/>
      <c r="AH45" s="62"/>
      <c r="AI45" s="62"/>
      <c r="AJ45" s="62"/>
      <c r="AK45" s="62"/>
    </row>
    <row r="46">
      <c r="A46" s="109"/>
      <c r="B46" s="4"/>
      <c r="C46" s="4"/>
      <c r="D46" s="4"/>
      <c r="E46" s="4"/>
      <c r="F46" s="116"/>
      <c r="G46" s="116"/>
      <c r="H46" s="116"/>
      <c r="I46" s="4"/>
      <c r="J46" s="4"/>
      <c r="K46" s="4"/>
      <c r="L46" s="116"/>
      <c r="M46" s="116"/>
      <c r="N46" s="116"/>
      <c r="O46" s="190"/>
      <c r="P46" s="62"/>
      <c r="Q46" s="62"/>
      <c r="R46" s="111"/>
      <c r="S46" s="4"/>
      <c r="T46" s="62"/>
      <c r="U46" s="62"/>
      <c r="V46" s="62"/>
      <c r="W46" s="62"/>
      <c r="X46" s="62"/>
      <c r="Y46" s="62"/>
      <c r="Z46" s="62"/>
      <c r="AA46" s="62"/>
      <c r="AB46" s="62"/>
      <c r="AC46" s="62"/>
      <c r="AD46" s="62"/>
      <c r="AE46" s="62"/>
      <c r="AF46" s="62"/>
      <c r="AG46" s="62"/>
      <c r="AH46" s="62"/>
      <c r="AI46" s="62"/>
      <c r="AJ46" s="62"/>
      <c r="AK46" s="62"/>
    </row>
    <row r="47">
      <c r="A47" s="191"/>
      <c r="B47" s="192"/>
      <c r="C47" s="192"/>
      <c r="D47" s="192"/>
      <c r="E47" s="192"/>
      <c r="F47" s="193"/>
      <c r="G47" s="193"/>
      <c r="H47" s="193"/>
      <c r="I47" s="192"/>
      <c r="J47" s="192"/>
      <c r="K47" s="192"/>
      <c r="L47" s="194"/>
      <c r="M47" s="194"/>
      <c r="N47" s="194"/>
      <c r="O47" s="194"/>
      <c r="P47" s="194"/>
      <c r="Q47" s="194"/>
      <c r="R47" s="195"/>
      <c r="S47" s="4"/>
      <c r="T47" s="62"/>
      <c r="U47" s="62"/>
      <c r="V47" s="62"/>
      <c r="W47" s="62"/>
      <c r="X47" s="62"/>
      <c r="Y47" s="62"/>
      <c r="Z47" s="62"/>
      <c r="AA47" s="62"/>
      <c r="AB47" s="62"/>
      <c r="AC47" s="62"/>
      <c r="AD47" s="62"/>
      <c r="AE47" s="62"/>
      <c r="AF47" s="62"/>
      <c r="AG47" s="62"/>
      <c r="AH47" s="62"/>
      <c r="AI47" s="62"/>
      <c r="AJ47" s="62"/>
      <c r="AK47" s="62"/>
    </row>
    <row r="48">
      <c r="A48" s="109"/>
      <c r="B48" s="144"/>
      <c r="C48" s="144"/>
      <c r="D48" s="144"/>
      <c r="E48" s="144"/>
      <c r="F48" s="196"/>
      <c r="G48" s="118"/>
      <c r="H48" s="196"/>
      <c r="I48" s="144"/>
      <c r="J48" s="144"/>
      <c r="K48" s="144"/>
      <c r="L48" s="144"/>
      <c r="M48" s="4"/>
      <c r="N48" s="4"/>
      <c r="O48" s="4"/>
      <c r="P48" s="62"/>
      <c r="Q48" s="62"/>
      <c r="R48" s="111"/>
      <c r="S48" s="4"/>
      <c r="T48" s="62"/>
      <c r="U48" s="62"/>
      <c r="V48" s="62"/>
      <c r="W48" s="62"/>
      <c r="X48" s="62"/>
      <c r="Y48" s="62"/>
      <c r="Z48" s="62"/>
      <c r="AA48" s="62"/>
      <c r="AB48" s="62"/>
      <c r="AC48" s="62"/>
      <c r="AD48" s="62"/>
      <c r="AE48" s="62"/>
      <c r="AF48" s="62"/>
      <c r="AG48" s="62"/>
      <c r="AH48" s="62"/>
      <c r="AI48" s="62"/>
      <c r="AJ48" s="62"/>
      <c r="AK48" s="62"/>
    </row>
    <row r="49">
      <c r="A49" s="112"/>
      <c r="B49" s="6" t="s">
        <v>65</v>
      </c>
      <c r="C49" s="7"/>
      <c r="D49" s="7"/>
      <c r="E49" s="7"/>
      <c r="F49" s="8"/>
      <c r="G49" s="197"/>
      <c r="H49" s="6" t="s">
        <v>66</v>
      </c>
      <c r="I49" s="7"/>
      <c r="J49" s="7"/>
      <c r="K49" s="7"/>
      <c r="L49" s="8"/>
      <c r="M49" s="4"/>
      <c r="N49" s="4"/>
      <c r="O49" s="4"/>
      <c r="P49" s="62"/>
      <c r="Q49" s="62"/>
      <c r="R49" s="111"/>
      <c r="S49" s="4"/>
      <c r="T49" s="62"/>
      <c r="U49" s="62"/>
      <c r="V49" s="62"/>
      <c r="W49" s="62"/>
      <c r="X49" s="62"/>
      <c r="Y49" s="62"/>
      <c r="Z49" s="62"/>
      <c r="AA49" s="62"/>
      <c r="AB49" s="62"/>
      <c r="AC49" s="62"/>
      <c r="AD49" s="62"/>
      <c r="AE49" s="62"/>
      <c r="AF49" s="62"/>
      <c r="AG49" s="62"/>
      <c r="AH49" s="62"/>
      <c r="AI49" s="62"/>
      <c r="AJ49" s="62"/>
      <c r="AK49" s="62"/>
    </row>
    <row r="50">
      <c r="A50" s="112"/>
      <c r="B50" s="121" t="s">
        <v>67</v>
      </c>
      <c r="C50" s="8"/>
      <c r="D50" s="120" t="s">
        <v>8</v>
      </c>
      <c r="E50" s="198" t="s">
        <v>9</v>
      </c>
      <c r="F50" s="122" t="s">
        <v>10</v>
      </c>
      <c r="G50" s="197"/>
      <c r="H50" s="121" t="s">
        <v>68</v>
      </c>
      <c r="I50" s="8"/>
      <c r="J50" s="120" t="s">
        <v>8</v>
      </c>
      <c r="K50" s="198" t="s">
        <v>9</v>
      </c>
      <c r="L50" s="122" t="s">
        <v>10</v>
      </c>
      <c r="M50" s="4"/>
      <c r="N50" s="4"/>
      <c r="O50" s="4"/>
      <c r="P50" s="62"/>
      <c r="Q50" s="62"/>
      <c r="R50" s="111"/>
      <c r="S50" s="4"/>
      <c r="T50" s="62"/>
      <c r="Y50" s="62"/>
      <c r="Z50" s="62"/>
      <c r="AA50" s="62"/>
      <c r="AB50" s="62"/>
      <c r="AC50" s="62"/>
      <c r="AD50" s="62"/>
      <c r="AE50" s="62"/>
      <c r="AF50" s="62"/>
      <c r="AG50" s="62"/>
      <c r="AH50" s="62"/>
      <c r="AI50" s="62"/>
      <c r="AJ50" s="62"/>
      <c r="AK50" s="62"/>
    </row>
    <row r="51">
      <c r="A51" s="112"/>
      <c r="B51" s="199" t="s">
        <v>69</v>
      </c>
      <c r="C51" s="200"/>
      <c r="D51" s="201">
        <f t="shared" ref="D51:F51" si="41">L8+L9+L12+I13</f>
        <v>40.6725</v>
      </c>
      <c r="E51" s="201">
        <f t="shared" si="41"/>
        <v>47.985</v>
      </c>
      <c r="F51" s="202">
        <f t="shared" si="41"/>
        <v>51.99</v>
      </c>
      <c r="G51" s="203"/>
      <c r="H51" s="116" t="s">
        <v>70</v>
      </c>
      <c r="I51" s="200"/>
      <c r="J51" s="204">
        <f>K51</f>
        <v>3.828173375</v>
      </c>
      <c r="K51" s="205">
        <f>O44/25.84</f>
        <v>3.828173375</v>
      </c>
      <c r="L51" s="206">
        <f>K51</f>
        <v>3.828173375</v>
      </c>
      <c r="M51" s="4"/>
      <c r="N51" s="4"/>
      <c r="O51" s="4"/>
      <c r="P51" s="62"/>
      <c r="Q51" s="62"/>
      <c r="R51" s="111"/>
      <c r="S51" s="4"/>
      <c r="T51" s="62"/>
      <c r="Y51" s="62"/>
      <c r="Z51" s="62"/>
      <c r="AA51" s="62"/>
      <c r="AB51" s="62"/>
      <c r="AC51" s="62"/>
      <c r="AD51" s="62"/>
      <c r="AE51" s="62"/>
      <c r="AF51" s="62"/>
      <c r="AG51" s="62"/>
      <c r="AH51" s="62"/>
      <c r="AI51" s="62"/>
      <c r="AJ51" s="62"/>
      <c r="AK51" s="62"/>
    </row>
    <row r="52">
      <c r="A52" s="112"/>
      <c r="B52" s="207" t="s">
        <v>71</v>
      </c>
      <c r="C52" s="208"/>
      <c r="D52" s="209">
        <f t="shared" ref="D52:F52" si="42">SUM(C8:C13)-C11</f>
        <v>3048</v>
      </c>
      <c r="E52" s="209">
        <f t="shared" si="42"/>
        <v>3048</v>
      </c>
      <c r="F52" s="210">
        <f t="shared" si="42"/>
        <v>3048</v>
      </c>
      <c r="G52" s="211"/>
      <c r="H52" s="123" t="s">
        <v>72</v>
      </c>
      <c r="I52" s="208"/>
      <c r="J52" s="212">
        <f t="shared" ref="J52:L52" si="43">D61/2.564</f>
        <v>118.174727</v>
      </c>
      <c r="K52" s="213">
        <f t="shared" si="43"/>
        <v>117.3946958</v>
      </c>
      <c r="L52" s="214">
        <f t="shared" si="43"/>
        <v>0</v>
      </c>
      <c r="M52" s="4"/>
      <c r="N52" s="4"/>
      <c r="O52" s="4"/>
      <c r="P52" s="62"/>
      <c r="Q52" s="62"/>
      <c r="R52" s="111"/>
      <c r="S52" s="4"/>
      <c r="T52" s="62"/>
      <c r="Y52" s="62"/>
      <c r="Z52" s="62"/>
      <c r="AA52" s="62"/>
      <c r="AB52" s="62"/>
      <c r="AC52" s="62"/>
      <c r="AD52" s="62"/>
      <c r="AE52" s="62"/>
      <c r="AF52" s="62"/>
      <c r="AG52" s="62"/>
      <c r="AH52" s="62"/>
      <c r="AI52" s="62"/>
      <c r="AJ52" s="62"/>
      <c r="AK52" s="62"/>
    </row>
    <row r="53">
      <c r="A53" s="112"/>
      <c r="B53" s="199" t="s">
        <v>73</v>
      </c>
      <c r="C53" s="200"/>
      <c r="D53" s="201">
        <f t="shared" ref="D53:F53" si="44">L8+L9+L12</f>
        <v>33.4725</v>
      </c>
      <c r="E53" s="201">
        <f t="shared" si="44"/>
        <v>38.985</v>
      </c>
      <c r="F53" s="202">
        <f t="shared" si="44"/>
        <v>41.19</v>
      </c>
      <c r="G53" s="113"/>
      <c r="H53" s="215" t="s">
        <v>74</v>
      </c>
      <c r="I53" s="216"/>
      <c r="J53" s="217">
        <f t="shared" ref="J53:L53" si="45">O15*2.205</f>
        <v>228.4214625</v>
      </c>
      <c r="K53" s="218">
        <f t="shared" si="45"/>
        <v>270.740925</v>
      </c>
      <c r="L53" s="219">
        <f t="shared" si="45"/>
        <v>305.76735</v>
      </c>
      <c r="M53" s="4"/>
      <c r="N53" s="4"/>
      <c r="O53" s="4"/>
      <c r="P53" s="62"/>
      <c r="Q53" s="62"/>
      <c r="R53" s="111"/>
      <c r="S53" s="4"/>
      <c r="T53" s="62"/>
      <c r="U53" s="62"/>
      <c r="V53" s="62"/>
      <c r="W53" s="62"/>
      <c r="X53" s="62"/>
      <c r="Y53" s="62"/>
      <c r="Z53" s="62"/>
      <c r="AA53" s="62"/>
      <c r="AB53" s="62"/>
      <c r="AC53" s="62"/>
      <c r="AD53" s="62"/>
      <c r="AE53" s="62"/>
      <c r="AF53" s="62"/>
      <c r="AG53" s="62"/>
      <c r="AH53" s="62"/>
      <c r="AI53" s="62"/>
      <c r="AJ53" s="62"/>
      <c r="AK53" s="62"/>
    </row>
    <row r="54">
      <c r="A54" s="112"/>
      <c r="B54" s="220" t="s">
        <v>75</v>
      </c>
      <c r="C54" s="221"/>
      <c r="D54" s="222">
        <v>14.5</v>
      </c>
      <c r="E54" s="222">
        <v>17.0</v>
      </c>
      <c r="F54" s="223">
        <v>18.0</v>
      </c>
      <c r="G54" s="4"/>
      <c r="H54" s="199"/>
      <c r="J54" s="224"/>
      <c r="K54" s="224"/>
      <c r="L54" s="224"/>
      <c r="M54" s="4"/>
      <c r="N54" s="4"/>
      <c r="O54" s="4"/>
      <c r="P54" s="62"/>
      <c r="Q54" s="62"/>
      <c r="R54" s="111"/>
      <c r="S54" s="4"/>
      <c r="T54" s="62"/>
      <c r="U54" s="62"/>
      <c r="V54" s="62"/>
      <c r="W54" s="62"/>
      <c r="X54" s="62"/>
      <c r="Y54" s="62"/>
      <c r="Z54" s="62"/>
      <c r="AA54" s="62"/>
      <c r="AB54" s="62"/>
      <c r="AC54" s="62"/>
      <c r="AD54" s="62"/>
      <c r="AE54" s="62"/>
      <c r="AF54" s="62"/>
      <c r="AG54" s="62"/>
      <c r="AH54" s="62"/>
      <c r="AI54" s="62"/>
      <c r="AJ54" s="62"/>
      <c r="AK54" s="62"/>
    </row>
    <row r="55">
      <c r="A55" s="109"/>
      <c r="B55" s="144"/>
      <c r="C55" s="144"/>
      <c r="D55" s="144"/>
      <c r="E55" s="144"/>
      <c r="F55" s="144"/>
      <c r="G55" s="4"/>
      <c r="H55" s="4"/>
      <c r="I55" s="4"/>
      <c r="J55" s="4"/>
      <c r="K55" s="4"/>
      <c r="L55" s="4"/>
      <c r="M55" s="4"/>
      <c r="N55" s="4"/>
      <c r="O55" s="4"/>
      <c r="P55" s="62"/>
      <c r="Q55" s="62"/>
      <c r="R55" s="111"/>
      <c r="S55" s="4"/>
      <c r="T55" s="62"/>
      <c r="U55" s="62"/>
      <c r="V55" s="62"/>
      <c r="W55" s="62"/>
      <c r="X55" s="62"/>
      <c r="Y55" s="62"/>
      <c r="Z55" s="62"/>
      <c r="AA55" s="62"/>
      <c r="AB55" s="62"/>
      <c r="AC55" s="62"/>
      <c r="AD55" s="62"/>
      <c r="AE55" s="62"/>
      <c r="AF55" s="62"/>
      <c r="AG55" s="62"/>
      <c r="AH55" s="62"/>
      <c r="AI55" s="62"/>
      <c r="AJ55" s="62"/>
      <c r="AK55" s="62"/>
    </row>
    <row r="56">
      <c r="A56" s="112"/>
      <c r="B56" s="225" t="s">
        <v>76</v>
      </c>
      <c r="C56" s="221"/>
      <c r="D56" s="226">
        <f t="shared" ref="D56:F56" si="46">$O38*(0.51+D54-1)</f>
        <v>70050</v>
      </c>
      <c r="E56" s="226">
        <f t="shared" si="46"/>
        <v>82550</v>
      </c>
      <c r="F56" s="227">
        <f t="shared" si="46"/>
        <v>87550</v>
      </c>
      <c r="G56" s="4"/>
      <c r="H56" s="4"/>
      <c r="I56" s="4"/>
      <c r="J56" s="4"/>
      <c r="K56" s="4"/>
      <c r="L56" s="4"/>
      <c r="M56" s="4"/>
      <c r="N56" s="4"/>
      <c r="O56" s="4"/>
      <c r="P56" s="62"/>
      <c r="Q56" s="62"/>
      <c r="R56" s="111"/>
      <c r="S56" s="4"/>
      <c r="T56" s="62"/>
      <c r="U56" s="62"/>
      <c r="V56" s="62"/>
      <c r="W56" s="62"/>
      <c r="X56" s="62"/>
      <c r="Y56" s="62"/>
      <c r="Z56" s="62"/>
      <c r="AA56" s="62"/>
      <c r="AB56" s="62"/>
      <c r="AC56" s="62"/>
      <c r="AD56" s="62"/>
      <c r="AE56" s="62"/>
      <c r="AF56" s="62"/>
      <c r="AG56" s="62"/>
      <c r="AH56" s="62"/>
      <c r="AI56" s="62"/>
      <c r="AJ56" s="62"/>
      <c r="AK56" s="62"/>
    </row>
    <row r="57">
      <c r="A57" s="191"/>
      <c r="B57" s="192"/>
      <c r="C57" s="192"/>
      <c r="D57" s="192"/>
      <c r="E57" s="192"/>
      <c r="F57" s="192"/>
      <c r="G57" s="192"/>
      <c r="H57" s="192"/>
      <c r="I57" s="192"/>
      <c r="J57" s="192"/>
      <c r="K57" s="192"/>
      <c r="L57" s="192"/>
      <c r="M57" s="192"/>
      <c r="N57" s="192"/>
      <c r="O57" s="192"/>
      <c r="P57" s="194"/>
      <c r="Q57" s="194"/>
      <c r="R57" s="195"/>
      <c r="S57" s="4"/>
      <c r="T57" s="62"/>
      <c r="U57" s="62"/>
      <c r="V57" s="62"/>
      <c r="W57" s="62"/>
      <c r="X57" s="62"/>
      <c r="Y57" s="62"/>
      <c r="Z57" s="62"/>
      <c r="AA57" s="62"/>
      <c r="AB57" s="62"/>
      <c r="AC57" s="62"/>
      <c r="AD57" s="62"/>
      <c r="AE57" s="62"/>
      <c r="AF57" s="62"/>
      <c r="AG57" s="62"/>
      <c r="AH57" s="62"/>
      <c r="AI57" s="62"/>
      <c r="AJ57" s="62"/>
      <c r="AK57" s="62"/>
    </row>
    <row r="58">
      <c r="A58" s="109"/>
      <c r="B58" s="110"/>
      <c r="C58" s="110"/>
      <c r="D58" s="110"/>
      <c r="E58" s="110"/>
      <c r="F58" s="110"/>
      <c r="G58" s="62"/>
      <c r="H58" s="110"/>
      <c r="I58" s="110"/>
      <c r="J58" s="110"/>
      <c r="K58" s="110"/>
      <c r="L58" s="110"/>
      <c r="M58" s="62"/>
      <c r="N58" s="110"/>
      <c r="O58" s="110"/>
      <c r="P58" s="110"/>
      <c r="Q58" s="110"/>
      <c r="R58" s="111"/>
      <c r="S58" s="4"/>
      <c r="T58" s="62"/>
      <c r="U58" s="62"/>
      <c r="V58" s="62"/>
      <c r="W58" s="62"/>
      <c r="X58" s="62"/>
      <c r="Y58" s="62"/>
      <c r="Z58" s="62"/>
      <c r="AA58" s="62"/>
      <c r="AB58" s="62"/>
      <c r="AC58" s="62"/>
      <c r="AD58" s="62"/>
      <c r="AE58" s="62"/>
      <c r="AF58" s="62"/>
      <c r="AG58" s="62"/>
      <c r="AH58" s="62"/>
      <c r="AI58" s="62"/>
      <c r="AJ58" s="62"/>
      <c r="AK58" s="62"/>
    </row>
    <row r="59">
      <c r="A59" s="112"/>
      <c r="B59" s="121" t="s">
        <v>77</v>
      </c>
      <c r="C59" s="7"/>
      <c r="D59" s="7"/>
      <c r="E59" s="7"/>
      <c r="F59" s="8"/>
      <c r="G59" s="113"/>
      <c r="H59" s="121" t="s">
        <v>78</v>
      </c>
      <c r="I59" s="7"/>
      <c r="J59" s="7"/>
      <c r="K59" s="7"/>
      <c r="L59" s="8"/>
      <c r="M59" s="113"/>
      <c r="N59" s="228" t="s">
        <v>79</v>
      </c>
      <c r="O59" s="7"/>
      <c r="P59" s="7"/>
      <c r="Q59" s="8"/>
      <c r="R59" s="111"/>
      <c r="S59" s="4"/>
      <c r="T59" s="62"/>
      <c r="U59" s="62"/>
      <c r="V59" s="62"/>
      <c r="W59" s="62"/>
      <c r="X59" s="62"/>
      <c r="Y59" s="62"/>
      <c r="Z59" s="62"/>
      <c r="AA59" s="62"/>
      <c r="AB59" s="62"/>
      <c r="AC59" s="62"/>
      <c r="AD59" s="62"/>
      <c r="AE59" s="62"/>
      <c r="AF59" s="62"/>
      <c r="AG59" s="62"/>
      <c r="AH59" s="62"/>
      <c r="AI59" s="62"/>
      <c r="AJ59" s="62"/>
      <c r="AK59" s="62"/>
    </row>
    <row r="60">
      <c r="A60" s="112"/>
      <c r="B60" s="121" t="s">
        <v>29</v>
      </c>
      <c r="C60" s="8"/>
      <c r="D60" s="120" t="s">
        <v>8</v>
      </c>
      <c r="E60" s="198" t="s">
        <v>9</v>
      </c>
      <c r="F60" s="122" t="s">
        <v>10</v>
      </c>
      <c r="G60" s="113"/>
      <c r="H60" s="115" t="s">
        <v>29</v>
      </c>
      <c r="I60" s="13"/>
      <c r="J60" s="229" t="s">
        <v>8</v>
      </c>
      <c r="K60" s="230" t="s">
        <v>9</v>
      </c>
      <c r="L60" s="231" t="s">
        <v>10</v>
      </c>
      <c r="M60" s="113"/>
      <c r="N60" s="232" t="s">
        <v>29</v>
      </c>
      <c r="O60" s="233" t="s">
        <v>8</v>
      </c>
      <c r="P60" s="234" t="s">
        <v>9</v>
      </c>
      <c r="Q60" s="235" t="s">
        <v>10</v>
      </c>
      <c r="R60" s="111"/>
      <c r="S60" s="4"/>
      <c r="T60" s="62"/>
      <c r="U60" s="62"/>
      <c r="V60" s="62"/>
      <c r="W60" s="62"/>
      <c r="X60" s="62"/>
      <c r="Y60" s="62"/>
      <c r="Z60" s="62"/>
      <c r="AA60" s="62"/>
      <c r="AB60" s="62"/>
      <c r="AC60" s="62"/>
      <c r="AD60" s="62"/>
      <c r="AE60" s="62"/>
      <c r="AF60" s="62"/>
      <c r="AG60" s="62"/>
      <c r="AH60" s="62"/>
      <c r="AI60" s="62"/>
      <c r="AJ60" s="62"/>
      <c r="AK60" s="62"/>
    </row>
    <row r="61">
      <c r="A61" s="112"/>
      <c r="B61" s="116" t="s">
        <v>80</v>
      </c>
      <c r="C61" s="200"/>
      <c r="D61" s="236">
        <v>303.0</v>
      </c>
      <c r="E61" s="236">
        <v>301.0</v>
      </c>
      <c r="F61" s="202"/>
      <c r="G61" s="113"/>
      <c r="H61" s="116" t="s">
        <v>81</v>
      </c>
      <c r="I61" s="200"/>
      <c r="J61" s="237"/>
      <c r="K61" s="238">
        <v>29713.0</v>
      </c>
      <c r="L61" s="239"/>
      <c r="M61" s="113"/>
      <c r="N61" s="239" t="s">
        <v>82</v>
      </c>
      <c r="O61" s="240">
        <f t="shared" ref="O61:Q61" si="47">-(D63-J64)/D63</f>
        <v>-1</v>
      </c>
      <c r="P61" s="240">
        <f t="shared" si="47"/>
        <v>-0.1481440633</v>
      </c>
      <c r="Q61" s="241" t="str">
        <f t="shared" si="47"/>
        <v>#DIV/0!</v>
      </c>
      <c r="R61" s="111"/>
      <c r="S61" s="4"/>
      <c r="T61" s="62"/>
      <c r="U61" s="62"/>
      <c r="V61" s="62"/>
      <c r="W61" s="62"/>
      <c r="X61" s="62"/>
      <c r="Y61" s="62"/>
      <c r="Z61" s="62"/>
      <c r="AA61" s="62"/>
      <c r="AB61" s="62"/>
      <c r="AC61" s="62"/>
      <c r="AD61" s="62"/>
      <c r="AE61" s="62"/>
      <c r="AF61" s="62"/>
      <c r="AG61" s="62"/>
      <c r="AH61" s="62"/>
      <c r="AI61" s="62"/>
      <c r="AJ61" s="62"/>
      <c r="AK61" s="62"/>
    </row>
    <row r="62">
      <c r="A62" s="112"/>
      <c r="B62" s="123" t="s">
        <v>83</v>
      </c>
      <c r="C62" s="208"/>
      <c r="D62" s="242">
        <v>29.5</v>
      </c>
      <c r="E62" s="242">
        <v>26.3</v>
      </c>
      <c r="F62" s="210"/>
      <c r="G62" s="113"/>
      <c r="H62" s="123" t="s">
        <v>84</v>
      </c>
      <c r="I62" s="208"/>
      <c r="J62" s="243"/>
      <c r="K62" s="244">
        <v>1547.8</v>
      </c>
      <c r="L62" s="245"/>
      <c r="M62" s="113"/>
      <c r="N62" s="245" t="s">
        <v>85</v>
      </c>
      <c r="O62" s="246">
        <f t="shared" ref="O62:Q62" si="48">-(D65-J65)/D65</f>
        <v>-1</v>
      </c>
      <c r="P62" s="246">
        <f t="shared" si="48"/>
        <v>-0.002650277432</v>
      </c>
      <c r="Q62" s="247" t="str">
        <f t="shared" si="48"/>
        <v>#DIV/0!</v>
      </c>
      <c r="R62" s="111"/>
      <c r="S62" s="4"/>
      <c r="T62" s="62"/>
      <c r="U62" s="62"/>
      <c r="V62" s="62"/>
      <c r="W62" s="62"/>
      <c r="X62" s="62"/>
      <c r="Y62" s="62"/>
      <c r="Z62" s="62"/>
      <c r="AA62" s="62"/>
      <c r="AB62" s="62"/>
      <c r="AC62" s="62"/>
      <c r="AD62" s="62"/>
      <c r="AE62" s="62"/>
      <c r="AF62" s="62"/>
      <c r="AG62" s="62"/>
      <c r="AH62" s="62"/>
      <c r="AI62" s="62"/>
      <c r="AJ62" s="62"/>
      <c r="AK62" s="62"/>
    </row>
    <row r="63">
      <c r="A63" s="112"/>
      <c r="B63" s="116" t="s">
        <v>86</v>
      </c>
      <c r="C63" s="200"/>
      <c r="D63" s="236">
        <v>10136.0</v>
      </c>
      <c r="E63" s="248">
        <v>10631.0</v>
      </c>
      <c r="F63" s="249">
        <v>0.0</v>
      </c>
      <c r="G63" s="113"/>
      <c r="H63" s="250" t="s">
        <v>87</v>
      </c>
      <c r="I63" s="216"/>
      <c r="J63" s="251"/>
      <c r="K63" s="252">
        <v>47.2</v>
      </c>
      <c r="L63" s="253"/>
      <c r="M63" s="113"/>
      <c r="N63" s="254" t="s">
        <v>88</v>
      </c>
      <c r="O63" s="255">
        <f t="shared" ref="O63:Q63" si="49">-(D64-J63)/D64</f>
        <v>-1</v>
      </c>
      <c r="P63" s="255">
        <f t="shared" si="49"/>
        <v>-0.07992202729</v>
      </c>
      <c r="Q63" s="256" t="str">
        <f t="shared" si="49"/>
        <v>#DIV/0!</v>
      </c>
      <c r="R63" s="111"/>
      <c r="S63" s="4"/>
      <c r="T63" s="62"/>
      <c r="U63" s="62"/>
      <c r="V63" s="62"/>
      <c r="W63" s="62"/>
      <c r="X63" s="62"/>
      <c r="Y63" s="62"/>
      <c r="Z63" s="62"/>
      <c r="AA63" s="62"/>
      <c r="AB63" s="62"/>
      <c r="AC63" s="62"/>
      <c r="AD63" s="62"/>
      <c r="AE63" s="62"/>
      <c r="AF63" s="62"/>
      <c r="AG63" s="62"/>
      <c r="AH63" s="62"/>
      <c r="AI63" s="62"/>
      <c r="AJ63" s="62"/>
      <c r="AK63" s="62"/>
    </row>
    <row r="64">
      <c r="A64" s="112"/>
      <c r="B64" s="123" t="s">
        <v>87</v>
      </c>
      <c r="C64" s="208"/>
      <c r="D64" s="242">
        <v>47.8</v>
      </c>
      <c r="E64" s="242">
        <v>51.3</v>
      </c>
      <c r="F64" s="210"/>
      <c r="G64" s="113"/>
      <c r="H64" s="123" t="s">
        <v>86</v>
      </c>
      <c r="I64" s="208"/>
      <c r="J64" s="248">
        <f t="shared" ref="J64:L64" si="50">J61/3.281</f>
        <v>0</v>
      </c>
      <c r="K64" s="248">
        <f t="shared" si="50"/>
        <v>9056.080463</v>
      </c>
      <c r="L64" s="257">
        <f t="shared" si="50"/>
        <v>0</v>
      </c>
      <c r="M64" s="4"/>
      <c r="N64" s="4"/>
      <c r="O64" s="4"/>
      <c r="P64" s="62"/>
      <c r="Q64" s="62"/>
      <c r="R64" s="111"/>
      <c r="S64" s="4"/>
      <c r="T64" s="62"/>
      <c r="U64" s="62"/>
      <c r="V64" s="62"/>
      <c r="W64" s="62"/>
      <c r="X64" s="62"/>
      <c r="Y64" s="62"/>
      <c r="Z64" s="62"/>
      <c r="AA64" s="62"/>
      <c r="AB64" s="62"/>
      <c r="AC64" s="62"/>
      <c r="AD64" s="62"/>
      <c r="AE64" s="62"/>
      <c r="AF64" s="62"/>
      <c r="AG64" s="62"/>
      <c r="AH64" s="62"/>
      <c r="AI64" s="62"/>
      <c r="AJ64" s="62"/>
      <c r="AK64" s="62"/>
    </row>
    <row r="65">
      <c r="A65" s="5"/>
      <c r="B65" s="116" t="s">
        <v>89</v>
      </c>
      <c r="C65" s="200"/>
      <c r="D65" s="236">
        <v>504.0</v>
      </c>
      <c r="E65" s="236">
        <v>473.0</v>
      </c>
      <c r="F65" s="202"/>
      <c r="G65" s="113"/>
      <c r="H65" s="116" t="s">
        <v>89</v>
      </c>
      <c r="I65" s="200"/>
      <c r="J65" s="201">
        <f t="shared" ref="J65:L65" si="51">J62/3.281</f>
        <v>0</v>
      </c>
      <c r="K65" s="201">
        <f t="shared" si="51"/>
        <v>471.7464188</v>
      </c>
      <c r="L65" s="202">
        <f t="shared" si="51"/>
        <v>0</v>
      </c>
      <c r="M65" s="4"/>
      <c r="N65" s="4"/>
      <c r="O65" s="4"/>
      <c r="P65" s="62"/>
      <c r="Q65" s="62"/>
      <c r="R65" s="111"/>
      <c r="S65" s="4"/>
      <c r="T65" s="62"/>
      <c r="U65" s="62"/>
      <c r="V65" s="62"/>
      <c r="W65" s="62"/>
      <c r="X65" s="62"/>
      <c r="Y65" s="62"/>
      <c r="Z65" s="62"/>
      <c r="AA65" s="62"/>
      <c r="AB65" s="62"/>
      <c r="AC65" s="62"/>
      <c r="AD65" s="62"/>
      <c r="AE65" s="62"/>
      <c r="AF65" s="62"/>
      <c r="AG65" s="62"/>
      <c r="AH65" s="62"/>
      <c r="AI65" s="62"/>
      <c r="AJ65" s="62"/>
      <c r="AK65" s="62"/>
    </row>
    <row r="66">
      <c r="A66" s="5"/>
      <c r="B66" s="123" t="s">
        <v>90</v>
      </c>
      <c r="C66" s="208"/>
      <c r="D66" s="242">
        <v>1.547</v>
      </c>
      <c r="E66" s="242">
        <v>1.457</v>
      </c>
      <c r="F66" s="210"/>
      <c r="G66" s="113"/>
      <c r="H66" s="258" t="s">
        <v>91</v>
      </c>
      <c r="I66" s="221"/>
      <c r="J66" s="259"/>
      <c r="K66" s="260">
        <v>1.425</v>
      </c>
      <c r="L66" s="261"/>
      <c r="M66" s="4"/>
      <c r="N66" s="4"/>
      <c r="O66" s="4"/>
      <c r="P66" s="62"/>
      <c r="Q66" s="62"/>
      <c r="R66" s="111"/>
      <c r="S66" s="4"/>
      <c r="T66" s="62"/>
      <c r="U66" s="62"/>
      <c r="V66" s="62"/>
      <c r="W66" s="62"/>
      <c r="X66" s="62"/>
      <c r="Y66" s="62"/>
      <c r="Z66" s="62"/>
      <c r="AA66" s="62"/>
      <c r="AB66" s="62"/>
      <c r="AC66" s="62"/>
      <c r="AD66" s="62"/>
      <c r="AE66" s="62"/>
      <c r="AF66" s="62"/>
      <c r="AG66" s="62"/>
      <c r="AH66" s="62"/>
      <c r="AI66" s="62"/>
      <c r="AJ66" s="62"/>
      <c r="AK66" s="62"/>
    </row>
    <row r="67">
      <c r="A67" s="5"/>
      <c r="B67" s="116" t="s">
        <v>92</v>
      </c>
      <c r="C67" s="200"/>
      <c r="D67" s="236">
        <v>40.3</v>
      </c>
      <c r="E67" s="236">
        <v>31.3</v>
      </c>
      <c r="F67" s="202"/>
      <c r="G67" s="4"/>
      <c r="H67" s="4"/>
      <c r="I67" s="4"/>
      <c r="J67" s="4"/>
      <c r="K67" s="4"/>
      <c r="L67" s="4"/>
      <c r="M67" s="4"/>
      <c r="N67" s="4"/>
      <c r="O67" s="4"/>
      <c r="P67" s="62"/>
      <c r="Q67" s="62"/>
      <c r="R67" s="111"/>
      <c r="S67" s="4"/>
      <c r="T67" s="62"/>
      <c r="U67" s="62"/>
      <c r="V67" s="62"/>
      <c r="W67" s="62"/>
      <c r="X67" s="62"/>
      <c r="Y67" s="62"/>
      <c r="Z67" s="62"/>
      <c r="AA67" s="62"/>
      <c r="AB67" s="62"/>
      <c r="AC67" s="62"/>
      <c r="AD67" s="62"/>
      <c r="AE67" s="62"/>
      <c r="AF67" s="62"/>
      <c r="AG67" s="62"/>
      <c r="AH67" s="62"/>
      <c r="AI67" s="62"/>
      <c r="AJ67" s="62"/>
      <c r="AK67" s="62"/>
    </row>
    <row r="68">
      <c r="A68" s="5"/>
      <c r="B68" s="258" t="s">
        <v>93</v>
      </c>
      <c r="C68" s="221"/>
      <c r="D68" s="259">
        <f t="shared" ref="D68:F68" si="52">D67/9.81</f>
        <v>4.108053007</v>
      </c>
      <c r="E68" s="259">
        <f t="shared" si="52"/>
        <v>3.190621814</v>
      </c>
      <c r="F68" s="261">
        <f t="shared" si="52"/>
        <v>0</v>
      </c>
      <c r="G68" s="4"/>
      <c r="H68" s="4"/>
      <c r="I68" s="4"/>
      <c r="J68" s="4"/>
      <c r="K68" s="4"/>
      <c r="L68" s="4"/>
      <c r="M68" s="4"/>
      <c r="N68" s="4"/>
      <c r="O68" s="4"/>
      <c r="P68" s="62"/>
      <c r="Q68" s="62"/>
      <c r="R68" s="111"/>
      <c r="S68" s="4"/>
      <c r="T68" s="62"/>
      <c r="U68" s="62"/>
      <c r="V68" s="62"/>
      <c r="W68" s="62"/>
      <c r="X68" s="62"/>
      <c r="Y68" s="62"/>
      <c r="Z68" s="62"/>
      <c r="AA68" s="62"/>
      <c r="AB68" s="62"/>
      <c r="AC68" s="62"/>
      <c r="AD68" s="62"/>
      <c r="AE68" s="62"/>
      <c r="AF68" s="62"/>
      <c r="AG68" s="62"/>
      <c r="AH68" s="62"/>
      <c r="AI68" s="62"/>
      <c r="AJ68" s="62"/>
      <c r="AK68" s="62"/>
    </row>
    <row r="69">
      <c r="A69" s="102"/>
      <c r="B69" s="192"/>
      <c r="C69" s="192"/>
      <c r="D69" s="192"/>
      <c r="E69" s="194"/>
      <c r="F69" s="194"/>
      <c r="G69" s="194"/>
      <c r="H69" s="194"/>
      <c r="I69" s="194"/>
      <c r="J69" s="194"/>
      <c r="K69" s="194"/>
      <c r="L69" s="194"/>
      <c r="M69" s="194"/>
      <c r="N69" s="194"/>
      <c r="O69" s="194"/>
      <c r="P69" s="194"/>
      <c r="Q69" s="194"/>
      <c r="R69" s="195"/>
      <c r="S69" s="4"/>
      <c r="T69" s="62"/>
      <c r="U69" s="62"/>
      <c r="V69" s="62"/>
      <c r="W69" s="62"/>
      <c r="X69" s="62"/>
      <c r="Y69" s="62"/>
      <c r="Z69" s="62"/>
      <c r="AA69" s="62"/>
      <c r="AB69" s="62"/>
      <c r="AC69" s="62"/>
      <c r="AD69" s="62"/>
      <c r="AE69" s="62"/>
      <c r="AF69" s="62"/>
      <c r="AG69" s="62"/>
      <c r="AH69" s="62"/>
      <c r="AI69" s="62"/>
      <c r="AJ69" s="62"/>
      <c r="AK69" s="62"/>
    </row>
    <row r="70">
      <c r="A70" s="4"/>
      <c r="B70" s="4"/>
      <c r="C70" s="4"/>
      <c r="D70" s="4"/>
      <c r="E70" s="62"/>
      <c r="F70" s="62"/>
      <c r="G70" s="62"/>
      <c r="H70" s="62"/>
      <c r="I70" s="62"/>
      <c r="J70" s="62"/>
      <c r="K70" s="62"/>
      <c r="L70" s="62"/>
      <c r="M70" s="62"/>
      <c r="N70" s="62"/>
      <c r="O70" s="62"/>
      <c r="P70" s="62"/>
      <c r="Q70" s="62"/>
      <c r="R70" s="62"/>
      <c r="S70" s="4"/>
      <c r="T70" s="62"/>
      <c r="U70" s="62"/>
      <c r="V70" s="62"/>
      <c r="W70" s="62"/>
      <c r="X70" s="62"/>
      <c r="Y70" s="62"/>
      <c r="Z70" s="62"/>
      <c r="AA70" s="62"/>
      <c r="AB70" s="62"/>
      <c r="AC70" s="62"/>
      <c r="AD70" s="62"/>
      <c r="AE70" s="62"/>
      <c r="AF70" s="62"/>
      <c r="AG70" s="62"/>
      <c r="AH70" s="62"/>
      <c r="AI70" s="62"/>
      <c r="AJ70" s="62"/>
      <c r="AK70" s="62"/>
    </row>
    <row r="71">
      <c r="A71" s="4"/>
      <c r="B71" s="4"/>
      <c r="C71" s="4"/>
      <c r="D71" s="4"/>
      <c r="E71" s="62"/>
      <c r="F71" s="62"/>
      <c r="G71" s="62"/>
      <c r="H71" s="62"/>
      <c r="I71" s="62"/>
      <c r="J71" s="62"/>
      <c r="K71" s="62"/>
      <c r="L71" s="62"/>
      <c r="M71" s="62"/>
      <c r="N71" s="62"/>
      <c r="O71" s="62"/>
      <c r="P71" s="62"/>
      <c r="Q71" s="62"/>
      <c r="R71" s="62"/>
      <c r="S71" s="4"/>
      <c r="T71" s="4"/>
      <c r="U71" s="62"/>
      <c r="V71" s="62"/>
      <c r="W71" s="4"/>
      <c r="X71" s="4"/>
      <c r="Y71" s="4"/>
      <c r="Z71" s="4"/>
      <c r="AA71" s="4"/>
      <c r="AB71" s="4"/>
      <c r="AC71" s="4"/>
      <c r="AD71" s="4"/>
      <c r="AE71" s="4"/>
      <c r="AF71" s="4"/>
      <c r="AG71" s="4"/>
      <c r="AH71" s="4"/>
      <c r="AI71" s="4"/>
      <c r="AJ71" s="4"/>
      <c r="AK71" s="4"/>
    </row>
    <row r="72">
      <c r="A72" s="4"/>
      <c r="B72" s="4"/>
      <c r="C72" s="4"/>
      <c r="D72" s="4"/>
      <c r="E72" s="62"/>
      <c r="F72" s="62"/>
      <c r="G72" s="62"/>
      <c r="H72" s="62"/>
      <c r="I72" s="62"/>
      <c r="J72" s="62"/>
      <c r="K72" s="62"/>
      <c r="L72" s="62"/>
      <c r="M72" s="62"/>
      <c r="N72" s="62"/>
      <c r="O72" s="62"/>
      <c r="P72" s="62"/>
      <c r="Q72" s="62"/>
      <c r="R72" s="62"/>
      <c r="S72" s="4"/>
      <c r="T72" s="4"/>
      <c r="U72" s="62"/>
      <c r="V72" s="62"/>
      <c r="W72" s="4"/>
      <c r="X72" s="4"/>
      <c r="Y72" s="4"/>
      <c r="Z72" s="4"/>
      <c r="AA72" s="4"/>
      <c r="AB72" s="4"/>
      <c r="AC72" s="4"/>
      <c r="AD72" s="4"/>
      <c r="AE72" s="4"/>
      <c r="AF72" s="4"/>
      <c r="AG72" s="4"/>
      <c r="AH72" s="4"/>
      <c r="AI72" s="4"/>
      <c r="AJ72" s="4"/>
      <c r="AK72" s="4"/>
    </row>
    <row r="73">
      <c r="A73" s="4"/>
      <c r="B73" s="4"/>
      <c r="C73" s="4"/>
      <c r="D73" s="4"/>
      <c r="E73" s="4"/>
      <c r="F73" s="4"/>
      <c r="G73" s="4"/>
      <c r="H73" s="4"/>
      <c r="I73" s="4"/>
      <c r="J73" s="4"/>
      <c r="K73" s="4"/>
      <c r="L73" s="4"/>
      <c r="M73" s="4"/>
      <c r="N73" s="4"/>
      <c r="O73" s="4"/>
      <c r="P73" s="4"/>
      <c r="Q73" s="4"/>
      <c r="R73" s="4"/>
      <c r="S73" s="4"/>
      <c r="T73" s="4"/>
      <c r="U73" s="62"/>
      <c r="V73" s="62"/>
      <c r="W73" s="4"/>
      <c r="X73" s="4"/>
      <c r="Y73" s="4"/>
      <c r="Z73" s="4"/>
      <c r="AA73" s="4"/>
      <c r="AB73" s="4"/>
      <c r="AC73" s="4"/>
      <c r="AD73" s="4"/>
      <c r="AE73" s="4"/>
      <c r="AF73" s="4"/>
      <c r="AG73" s="4"/>
      <c r="AH73" s="4"/>
      <c r="AI73" s="4"/>
      <c r="AJ73" s="4"/>
      <c r="AK73" s="4"/>
    </row>
    <row r="74">
      <c r="A74" s="4"/>
      <c r="B74" s="4"/>
      <c r="C74" s="62"/>
      <c r="D74" s="62"/>
      <c r="E74" s="4"/>
      <c r="F74" s="4"/>
      <c r="G74" s="4"/>
      <c r="H74" s="4"/>
      <c r="I74" s="4"/>
      <c r="J74" s="4"/>
      <c r="K74" s="4"/>
      <c r="L74" s="4"/>
      <c r="M74" s="4"/>
      <c r="N74" s="4"/>
      <c r="O74" s="4"/>
      <c r="P74" s="4"/>
      <c r="Q74" s="4"/>
      <c r="R74" s="4"/>
      <c r="S74" s="4"/>
      <c r="T74" s="4"/>
      <c r="U74" s="62"/>
      <c r="V74" s="62"/>
      <c r="W74" s="4"/>
      <c r="X74" s="4"/>
      <c r="Y74" s="4"/>
      <c r="Z74" s="4"/>
      <c r="AA74" s="4"/>
      <c r="AB74" s="4"/>
      <c r="AC74" s="4"/>
      <c r="AD74" s="4"/>
      <c r="AE74" s="4"/>
      <c r="AF74" s="4"/>
      <c r="AG74" s="4"/>
      <c r="AH74" s="4"/>
      <c r="AI74" s="4"/>
      <c r="AJ74" s="4"/>
      <c r="AK74" s="4"/>
    </row>
    <row r="75">
      <c r="A75" s="4"/>
      <c r="B75" s="4"/>
      <c r="C75" s="62"/>
      <c r="D75" s="62"/>
      <c r="E75" s="4"/>
      <c r="F75" s="262" t="s">
        <v>94</v>
      </c>
      <c r="G75" s="4"/>
      <c r="H75" s="4"/>
      <c r="I75" s="4"/>
      <c r="J75" s="4"/>
      <c r="K75" s="4"/>
      <c r="L75" s="4"/>
      <c r="M75" s="4"/>
      <c r="N75" s="4"/>
      <c r="O75" s="4"/>
      <c r="P75" s="4"/>
      <c r="Q75" s="4"/>
      <c r="R75" s="4"/>
      <c r="S75" s="4"/>
      <c r="T75" s="4"/>
      <c r="U75" s="62"/>
      <c r="V75" s="62"/>
      <c r="W75" s="4"/>
      <c r="X75" s="4"/>
      <c r="Y75" s="4"/>
      <c r="Z75" s="4"/>
      <c r="AA75" s="4"/>
      <c r="AB75" s="4"/>
      <c r="AC75" s="4"/>
      <c r="AD75" s="4"/>
      <c r="AE75" s="4"/>
      <c r="AF75" s="4"/>
      <c r="AG75" s="4"/>
      <c r="AH75" s="4"/>
      <c r="AI75" s="4"/>
      <c r="AJ75" s="4"/>
      <c r="AK75" s="4"/>
    </row>
    <row r="76">
      <c r="A76" s="4"/>
      <c r="B76" s="4"/>
      <c r="C76" s="4"/>
      <c r="D76" s="4"/>
      <c r="E76" s="4"/>
      <c r="F76" s="4"/>
      <c r="G76" s="263"/>
      <c r="H76" s="4"/>
      <c r="I76" s="4"/>
      <c r="J76" s="4"/>
      <c r="K76" s="4"/>
      <c r="L76" s="4"/>
      <c r="M76" s="4"/>
      <c r="N76" s="4"/>
      <c r="O76" s="4"/>
      <c r="P76" s="4"/>
      <c r="Q76" s="4"/>
      <c r="R76" s="4"/>
      <c r="S76" s="4"/>
      <c r="T76" s="4"/>
      <c r="U76" s="62"/>
      <c r="V76" s="62"/>
      <c r="W76" s="4"/>
      <c r="X76" s="4"/>
      <c r="Y76" s="4"/>
      <c r="Z76" s="4"/>
      <c r="AA76" s="4"/>
      <c r="AB76" s="4"/>
      <c r="AC76" s="4"/>
      <c r="AD76" s="4"/>
      <c r="AE76" s="4"/>
      <c r="AF76" s="4"/>
      <c r="AG76" s="4"/>
      <c r="AH76" s="4"/>
      <c r="AI76" s="4"/>
      <c r="AJ76" s="4"/>
      <c r="AK76" s="4"/>
    </row>
    <row r="77">
      <c r="A77" s="4"/>
      <c r="B77" s="4"/>
      <c r="C77" s="4"/>
      <c r="D77" s="4"/>
      <c r="E77" s="4"/>
      <c r="F77" s="4"/>
      <c r="G77" s="263"/>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c r="A78" s="4"/>
      <c r="B78" s="4"/>
      <c r="C78" s="4"/>
      <c r="D78" s="4"/>
      <c r="E78" s="4"/>
      <c r="F78" s="4"/>
      <c r="G78" s="263"/>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c r="A79" s="4"/>
      <c r="B79" s="4"/>
      <c r="C79" s="4"/>
      <c r="D79" s="4"/>
      <c r="E79" s="4"/>
      <c r="F79" s="4"/>
      <c r="G79" s="263"/>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sheetData>
  <mergeCells count="82">
    <mergeCell ref="B31:D31"/>
    <mergeCell ref="L31:N31"/>
    <mergeCell ref="B32:D32"/>
    <mergeCell ref="L32:N32"/>
    <mergeCell ref="B33:D33"/>
    <mergeCell ref="L33:N33"/>
    <mergeCell ref="L34:N34"/>
    <mergeCell ref="L35:N35"/>
    <mergeCell ref="L36:N36"/>
    <mergeCell ref="L37:N37"/>
    <mergeCell ref="L38:N38"/>
    <mergeCell ref="L39:N39"/>
    <mergeCell ref="L40:N40"/>
    <mergeCell ref="L41:N41"/>
    <mergeCell ref="L42:N42"/>
    <mergeCell ref="L43:N43"/>
    <mergeCell ref="L44:N44"/>
    <mergeCell ref="L45:N45"/>
    <mergeCell ref="H49:L49"/>
    <mergeCell ref="H50:I50"/>
    <mergeCell ref="H51:I51"/>
    <mergeCell ref="B34:D34"/>
    <mergeCell ref="B35:D35"/>
    <mergeCell ref="B36:D36"/>
    <mergeCell ref="B49:F49"/>
    <mergeCell ref="B50:C50"/>
    <mergeCell ref="B51:C51"/>
    <mergeCell ref="B52:C52"/>
    <mergeCell ref="H62:I62"/>
    <mergeCell ref="H63:I63"/>
    <mergeCell ref="H64:I64"/>
    <mergeCell ref="H65:I65"/>
    <mergeCell ref="H66:I66"/>
    <mergeCell ref="H52:I52"/>
    <mergeCell ref="H53:I53"/>
    <mergeCell ref="H54:I54"/>
    <mergeCell ref="H59:L59"/>
    <mergeCell ref="N59:Q59"/>
    <mergeCell ref="H60:I60"/>
    <mergeCell ref="H61:I61"/>
    <mergeCell ref="B63:C63"/>
    <mergeCell ref="B64:C64"/>
    <mergeCell ref="B65:C65"/>
    <mergeCell ref="B66:C66"/>
    <mergeCell ref="B67:C67"/>
    <mergeCell ref="B68:C68"/>
    <mergeCell ref="B53:C53"/>
    <mergeCell ref="B54:C54"/>
    <mergeCell ref="B56:C56"/>
    <mergeCell ref="B59:F59"/>
    <mergeCell ref="B60:C60"/>
    <mergeCell ref="B61:C61"/>
    <mergeCell ref="B62:C62"/>
    <mergeCell ref="A1:R1"/>
    <mergeCell ref="B2:Q2"/>
    <mergeCell ref="C3:E3"/>
    <mergeCell ref="F3:H3"/>
    <mergeCell ref="I3:K3"/>
    <mergeCell ref="L3:N3"/>
    <mergeCell ref="O3:Q3"/>
    <mergeCell ref="E25:G25"/>
    <mergeCell ref="H25:J25"/>
    <mergeCell ref="L25:M25"/>
    <mergeCell ref="O25:P25"/>
    <mergeCell ref="L26:M26"/>
    <mergeCell ref="O26:P26"/>
    <mergeCell ref="G17:H17"/>
    <mergeCell ref="G18:H18"/>
    <mergeCell ref="G19:H19"/>
    <mergeCell ref="G20:H20"/>
    <mergeCell ref="B24:J24"/>
    <mergeCell ref="L24:Q24"/>
    <mergeCell ref="B25:D26"/>
    <mergeCell ref="L28:M28"/>
    <mergeCell ref="L30:O30"/>
    <mergeCell ref="B27:D27"/>
    <mergeCell ref="L27:M27"/>
    <mergeCell ref="O27:P27"/>
    <mergeCell ref="B28:D28"/>
    <mergeCell ref="O28:P28"/>
    <mergeCell ref="B29:D29"/>
    <mergeCell ref="B30:D30"/>
  </mergeCells>
  <conditionalFormatting sqref="D63:F63">
    <cfRule type="cellIs" dxfId="3" priority="1" operator="lessThan">
      <formula>9000</formula>
    </cfRule>
  </conditionalFormatting>
  <conditionalFormatting sqref="J64:L64">
    <cfRule type="cellIs" dxfId="3" priority="2" operator="lessThan">
      <formula>9000</formula>
    </cfRule>
  </conditionalFormatting>
  <conditionalFormatting sqref="D63:F63">
    <cfRule type="cellIs" dxfId="4" priority="3" operator="greaterThanOrEqual">
      <formula>9000</formula>
    </cfRule>
  </conditionalFormatting>
  <conditionalFormatting sqref="J64:L64">
    <cfRule type="cellIs" dxfId="4" priority="4" operator="greaterThanOrEqual">
      <formula>9000</formula>
    </cfRule>
  </conditionalFormatting>
  <dataValidations>
    <dataValidation type="list" allowBlank="1" sqref="Q28">
      <formula1>"0,007,0,006,0,0050,0,004,0,003,0,0025,0,0015"</formula1>
    </dataValidation>
    <dataValidation type="list" allowBlank="1" sqref="Q27">
      <formula1>"2700,3 000,4000,7800,8500"</formula1>
    </dataValidation>
  </dataValidations>
  <drawing r:id="rId4"/>
  <legacy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7" width="12.63"/>
    <col customWidth="1" min="18" max="18" width="5.0"/>
    <col customWidth="1" min="19" max="19" width="19.75"/>
    <col customWidth="1" min="20" max="20" width="7.63"/>
    <col customWidth="1" min="21" max="21" width="8.13"/>
    <col customWidth="1" min="22" max="22" width="6.63"/>
  </cols>
  <sheetData>
    <row r="1">
      <c r="A1" s="1" t="s">
        <v>95</v>
      </c>
      <c r="B1" s="2"/>
      <c r="C1" s="2"/>
      <c r="D1" s="2"/>
      <c r="E1" s="2"/>
      <c r="F1" s="2"/>
      <c r="G1" s="2"/>
      <c r="H1" s="2"/>
      <c r="I1" s="2"/>
      <c r="J1" s="2"/>
      <c r="K1" s="2"/>
      <c r="L1" s="2"/>
      <c r="M1" s="2"/>
      <c r="N1" s="2"/>
      <c r="O1" s="2"/>
      <c r="P1" s="2"/>
      <c r="Q1" s="2"/>
      <c r="R1" s="3"/>
      <c r="S1" s="4"/>
      <c r="T1" s="4"/>
      <c r="U1" s="4"/>
      <c r="V1" s="4"/>
      <c r="W1" s="4"/>
      <c r="X1" s="4"/>
      <c r="Y1" s="4"/>
      <c r="Z1" s="4"/>
      <c r="AA1" s="4"/>
      <c r="AB1" s="4"/>
      <c r="AC1" s="4"/>
      <c r="AD1" s="4"/>
      <c r="AE1" s="4"/>
      <c r="AF1" s="4"/>
      <c r="AG1" s="4"/>
      <c r="AH1" s="4"/>
      <c r="AI1" s="4"/>
      <c r="AJ1" s="4"/>
      <c r="AK1" s="4"/>
    </row>
    <row r="2">
      <c r="A2" s="5"/>
      <c r="B2" s="6" t="s">
        <v>1</v>
      </c>
      <c r="C2" s="7"/>
      <c r="D2" s="7"/>
      <c r="E2" s="7"/>
      <c r="F2" s="7"/>
      <c r="G2" s="7"/>
      <c r="H2" s="7"/>
      <c r="I2" s="7"/>
      <c r="J2" s="7"/>
      <c r="K2" s="7"/>
      <c r="L2" s="7"/>
      <c r="M2" s="7"/>
      <c r="N2" s="7"/>
      <c r="O2" s="7"/>
      <c r="P2" s="7"/>
      <c r="Q2" s="8"/>
      <c r="R2" s="9"/>
      <c r="S2" s="4"/>
      <c r="T2" s="4"/>
      <c r="U2" s="4"/>
      <c r="V2" s="4"/>
      <c r="W2" s="4"/>
      <c r="X2" s="4"/>
      <c r="Y2" s="4"/>
      <c r="Z2" s="4"/>
      <c r="AA2" s="4"/>
      <c r="AB2" s="4"/>
      <c r="AC2" s="4"/>
      <c r="AD2" s="4"/>
      <c r="AE2" s="4"/>
      <c r="AF2" s="4"/>
      <c r="AG2" s="4"/>
      <c r="AH2" s="4"/>
      <c r="AI2" s="4"/>
      <c r="AJ2" s="4"/>
      <c r="AK2" s="4"/>
    </row>
    <row r="3">
      <c r="A3" s="5"/>
      <c r="B3" s="10" t="s">
        <v>2</v>
      </c>
      <c r="C3" s="11" t="s">
        <v>3</v>
      </c>
      <c r="E3" s="12"/>
      <c r="F3" s="11" t="s">
        <v>4</v>
      </c>
      <c r="H3" s="12"/>
      <c r="I3" s="11" t="s">
        <v>5</v>
      </c>
      <c r="K3" s="12"/>
      <c r="L3" s="11" t="s">
        <v>6</v>
      </c>
      <c r="N3" s="12"/>
      <c r="O3" s="11" t="s">
        <v>7</v>
      </c>
      <c r="Q3" s="13"/>
      <c r="R3" s="9"/>
      <c r="S3" s="4"/>
      <c r="T3" s="4"/>
      <c r="U3" s="4"/>
      <c r="V3" s="4"/>
      <c r="W3" s="4"/>
      <c r="X3" s="4"/>
      <c r="Y3" s="4"/>
      <c r="Z3" s="4"/>
      <c r="AA3" s="4"/>
      <c r="AB3" s="4"/>
      <c r="AC3" s="4"/>
      <c r="AD3" s="4"/>
      <c r="AE3" s="4"/>
      <c r="AF3" s="4"/>
      <c r="AG3" s="4"/>
      <c r="AH3" s="4"/>
      <c r="AI3" s="4"/>
      <c r="AJ3" s="4"/>
      <c r="AK3" s="4"/>
    </row>
    <row r="4">
      <c r="A4" s="5"/>
      <c r="B4" s="14"/>
      <c r="C4" s="15" t="s">
        <v>8</v>
      </c>
      <c r="D4" s="16" t="s">
        <v>9</v>
      </c>
      <c r="E4" s="17" t="s">
        <v>10</v>
      </c>
      <c r="F4" s="15" t="s">
        <v>8</v>
      </c>
      <c r="G4" s="16" t="s">
        <v>9</v>
      </c>
      <c r="H4" s="17" t="s">
        <v>10</v>
      </c>
      <c r="I4" s="15" t="s">
        <v>8</v>
      </c>
      <c r="J4" s="16" t="s">
        <v>9</v>
      </c>
      <c r="K4" s="17" t="s">
        <v>10</v>
      </c>
      <c r="L4" s="15" t="s">
        <v>8</v>
      </c>
      <c r="M4" s="16" t="s">
        <v>9</v>
      </c>
      <c r="N4" s="17" t="s">
        <v>10</v>
      </c>
      <c r="O4" s="18"/>
      <c r="P4" s="16" t="s">
        <v>9</v>
      </c>
      <c r="Q4" s="19" t="s">
        <v>10</v>
      </c>
      <c r="R4" s="9"/>
      <c r="S4" s="4"/>
      <c r="T4" s="4"/>
      <c r="U4" s="4"/>
      <c r="V4" s="4"/>
      <c r="W4" s="4"/>
      <c r="X4" s="4"/>
      <c r="Y4" s="4"/>
      <c r="Z4" s="4"/>
      <c r="AA4" s="4"/>
      <c r="AB4" s="4"/>
      <c r="AC4" s="4"/>
      <c r="AD4" s="4"/>
      <c r="AE4" s="4"/>
      <c r="AF4" s="4"/>
      <c r="AG4" s="4"/>
      <c r="AH4" s="4"/>
      <c r="AI4" s="4"/>
      <c r="AJ4" s="4"/>
      <c r="AK4" s="4"/>
    </row>
    <row r="5">
      <c r="A5" s="5"/>
      <c r="B5" s="20" t="s">
        <v>11</v>
      </c>
      <c r="C5" s="21">
        <v>1000.0</v>
      </c>
      <c r="D5" s="22">
        <v>1000.0</v>
      </c>
      <c r="E5" s="23">
        <v>1000.0</v>
      </c>
      <c r="F5" s="24">
        <f t="shared" ref="F5:F8" si="1">0.8*G5</f>
        <v>2.56</v>
      </c>
      <c r="G5" s="25">
        <v>3.2</v>
      </c>
      <c r="H5" s="26">
        <f t="shared" ref="H5:H8" si="2">1.2*G5</f>
        <v>3.84</v>
      </c>
      <c r="I5" s="27">
        <f t="shared" ref="I5:I13" si="3">0.8*J5</f>
        <v>2.4</v>
      </c>
      <c r="J5" s="28">
        <v>3.0</v>
      </c>
      <c r="K5" s="26">
        <f t="shared" ref="K5:K13" si="4">1.2*J5</f>
        <v>3.6</v>
      </c>
      <c r="L5" s="29">
        <v>0.0</v>
      </c>
      <c r="M5" s="28">
        <v>0.0</v>
      </c>
      <c r="N5" s="29">
        <v>0.0</v>
      </c>
      <c r="O5" s="24">
        <f t="shared" ref="O5:O13" si="5">L5+I5+F5</f>
        <v>4.96</v>
      </c>
      <c r="P5" s="28">
        <f t="shared" ref="P5:P13" si="6">G5+J5</f>
        <v>6.2</v>
      </c>
      <c r="Q5" s="31">
        <f t="shared" ref="Q5:Q13" si="7">N5+K5+H5</f>
        <v>7.44</v>
      </c>
      <c r="R5" s="9"/>
      <c r="S5" s="4"/>
      <c r="T5" s="4"/>
      <c r="U5" s="4"/>
      <c r="V5" s="4"/>
      <c r="W5" s="4"/>
      <c r="X5" s="4"/>
      <c r="Y5" s="4"/>
      <c r="Z5" s="4"/>
      <c r="AA5" s="4"/>
      <c r="AB5" s="4"/>
      <c r="AC5" s="4"/>
      <c r="AD5" s="4"/>
      <c r="AE5" s="4"/>
      <c r="AF5" s="4"/>
      <c r="AG5" s="4"/>
      <c r="AH5" s="4"/>
      <c r="AI5" s="4"/>
      <c r="AJ5" s="4"/>
      <c r="AK5" s="4"/>
    </row>
    <row r="6">
      <c r="A6" s="5"/>
      <c r="B6" s="32" t="s">
        <v>12</v>
      </c>
      <c r="C6" s="33">
        <v>700.0</v>
      </c>
      <c r="D6" s="34">
        <v>700.0</v>
      </c>
      <c r="E6" s="35">
        <v>700.0</v>
      </c>
      <c r="F6" s="24">
        <f t="shared" si="1"/>
        <v>4.8</v>
      </c>
      <c r="G6" s="36">
        <v>6.0</v>
      </c>
      <c r="H6" s="26">
        <f t="shared" si="2"/>
        <v>7.2</v>
      </c>
      <c r="I6" s="27">
        <f t="shared" si="3"/>
        <v>3.84</v>
      </c>
      <c r="J6" s="37">
        <v>4.8</v>
      </c>
      <c r="K6" s="26">
        <f t="shared" si="4"/>
        <v>5.76</v>
      </c>
      <c r="L6" s="29">
        <v>0.0</v>
      </c>
      <c r="M6" s="37">
        <v>0.0</v>
      </c>
      <c r="N6" s="29">
        <v>0.0</v>
      </c>
      <c r="O6" s="24">
        <f t="shared" si="5"/>
        <v>8.64</v>
      </c>
      <c r="P6" s="37">
        <f t="shared" si="6"/>
        <v>10.8</v>
      </c>
      <c r="Q6" s="31">
        <f t="shared" si="7"/>
        <v>12.96</v>
      </c>
      <c r="R6" s="9"/>
      <c r="S6" s="4"/>
      <c r="T6" s="4"/>
      <c r="U6" s="4"/>
      <c r="V6" s="4"/>
      <c r="W6" s="4"/>
      <c r="X6" s="4"/>
      <c r="Y6" s="4"/>
      <c r="Z6" s="4"/>
      <c r="AA6" s="4"/>
      <c r="AB6" s="4"/>
      <c r="AC6" s="4"/>
      <c r="AD6" s="4"/>
      <c r="AE6" s="4"/>
      <c r="AF6" s="4"/>
      <c r="AG6" s="4"/>
      <c r="AH6" s="4"/>
      <c r="AI6" s="4"/>
      <c r="AJ6" s="4"/>
      <c r="AK6" s="4"/>
    </row>
    <row r="7">
      <c r="A7" s="5"/>
      <c r="B7" s="20" t="s">
        <v>13</v>
      </c>
      <c r="C7" s="21">
        <v>350.0</v>
      </c>
      <c r="D7" s="22">
        <v>350.0</v>
      </c>
      <c r="E7" s="23">
        <v>350.0</v>
      </c>
      <c r="F7" s="24">
        <f t="shared" si="1"/>
        <v>4.8</v>
      </c>
      <c r="G7" s="25">
        <v>6.0</v>
      </c>
      <c r="H7" s="26">
        <f t="shared" si="2"/>
        <v>7.2</v>
      </c>
      <c r="I7" s="27">
        <f t="shared" si="3"/>
        <v>2.64</v>
      </c>
      <c r="J7" s="25">
        <v>3.3</v>
      </c>
      <c r="K7" s="26">
        <f t="shared" si="4"/>
        <v>3.96</v>
      </c>
      <c r="L7" s="29">
        <v>0.0</v>
      </c>
      <c r="M7" s="28">
        <v>0.0</v>
      </c>
      <c r="N7" s="29">
        <v>0.0</v>
      </c>
      <c r="O7" s="24">
        <f t="shared" si="5"/>
        <v>7.44</v>
      </c>
      <c r="P7" s="28">
        <f t="shared" si="6"/>
        <v>9.3</v>
      </c>
      <c r="Q7" s="31">
        <f t="shared" si="7"/>
        <v>11.16</v>
      </c>
      <c r="R7" s="9"/>
      <c r="S7" s="4"/>
      <c r="T7" s="4"/>
      <c r="U7" s="4"/>
      <c r="V7" s="4"/>
      <c r="W7" s="4"/>
      <c r="X7" s="4"/>
      <c r="Y7" s="4"/>
      <c r="Z7" s="4"/>
      <c r="AA7" s="4"/>
      <c r="AB7" s="4"/>
      <c r="AC7" s="4"/>
      <c r="AD7" s="4"/>
      <c r="AE7" s="4"/>
      <c r="AF7" s="4"/>
      <c r="AG7" s="4"/>
      <c r="AH7" s="4"/>
      <c r="AI7" s="4"/>
      <c r="AJ7" s="4"/>
      <c r="AK7" s="4"/>
    </row>
    <row r="8">
      <c r="A8" s="5"/>
      <c r="B8" s="32" t="s">
        <v>14</v>
      </c>
      <c r="C8" s="38">
        <v>700.0</v>
      </c>
      <c r="D8" s="39">
        <v>700.0</v>
      </c>
      <c r="E8" s="40">
        <v>700.0</v>
      </c>
      <c r="F8" s="24">
        <f t="shared" si="1"/>
        <v>5.6</v>
      </c>
      <c r="G8" s="36">
        <v>7.0</v>
      </c>
      <c r="H8" s="26">
        <f t="shared" si="2"/>
        <v>8.4</v>
      </c>
      <c r="I8" s="27">
        <f t="shared" si="3"/>
        <v>5.2</v>
      </c>
      <c r="J8" s="37">
        <v>6.5</v>
      </c>
      <c r="K8" s="26">
        <f t="shared" si="4"/>
        <v>7.8</v>
      </c>
      <c r="L8" s="41">
        <v>1.0</v>
      </c>
      <c r="M8" s="264">
        <v>1.0</v>
      </c>
      <c r="N8" s="43">
        <v>1.0</v>
      </c>
      <c r="O8" s="24">
        <f t="shared" si="5"/>
        <v>11.8</v>
      </c>
      <c r="P8" s="37">
        <f t="shared" si="6"/>
        <v>13.5</v>
      </c>
      <c r="Q8" s="31">
        <f t="shared" si="7"/>
        <v>17.2</v>
      </c>
      <c r="R8" s="9"/>
      <c r="S8" s="4"/>
      <c r="T8" s="4"/>
      <c r="U8" s="4"/>
      <c r="V8" s="4"/>
      <c r="W8" s="4"/>
      <c r="X8" s="4"/>
      <c r="Y8" s="4"/>
      <c r="Z8" s="4"/>
      <c r="AA8" s="4"/>
      <c r="AB8" s="4"/>
      <c r="AC8" s="4"/>
      <c r="AD8" s="4"/>
      <c r="AE8" s="4"/>
      <c r="AF8" s="4"/>
      <c r="AG8" s="4"/>
      <c r="AH8" s="4"/>
      <c r="AI8" s="4"/>
      <c r="AJ8" s="4"/>
      <c r="AK8" s="4"/>
    </row>
    <row r="9">
      <c r="A9" s="5"/>
      <c r="B9" s="44" t="s">
        <v>15</v>
      </c>
      <c r="C9" s="45">
        <f t="shared" ref="C9:E9" si="8">E34</f>
        <v>559</v>
      </c>
      <c r="D9" s="46">
        <f t="shared" si="8"/>
        <v>559</v>
      </c>
      <c r="E9" s="47">
        <f t="shared" si="8"/>
        <v>559</v>
      </c>
      <c r="F9" s="24">
        <f t="shared" ref="F9:H9" si="9">E36</f>
        <v>10.1</v>
      </c>
      <c r="G9" s="48">
        <f t="shared" si="9"/>
        <v>10.1</v>
      </c>
      <c r="H9" s="26">
        <f t="shared" si="9"/>
        <v>10.1</v>
      </c>
      <c r="I9" s="27">
        <f t="shared" si="3"/>
        <v>0</v>
      </c>
      <c r="J9" s="28">
        <v>0.0</v>
      </c>
      <c r="K9" s="26">
        <f t="shared" si="4"/>
        <v>0</v>
      </c>
      <c r="L9" s="49">
        <f t="shared" ref="L9:N9" si="10">E27*$O31</f>
        <v>12.42</v>
      </c>
      <c r="M9" s="50">
        <f t="shared" si="10"/>
        <v>15.66</v>
      </c>
      <c r="N9" s="49">
        <f t="shared" si="10"/>
        <v>17.28</v>
      </c>
      <c r="O9" s="24">
        <f t="shared" si="5"/>
        <v>22.52</v>
      </c>
      <c r="P9" s="28">
        <f t="shared" si="6"/>
        <v>10.1</v>
      </c>
      <c r="Q9" s="31">
        <f t="shared" si="7"/>
        <v>27.38</v>
      </c>
      <c r="R9" s="9"/>
      <c r="S9" s="4"/>
      <c r="T9" s="4"/>
      <c r="U9" s="4"/>
      <c r="V9" s="4"/>
      <c r="W9" s="4"/>
      <c r="X9" s="4"/>
      <c r="Y9" s="4"/>
      <c r="Z9" s="4"/>
      <c r="AA9" s="4"/>
      <c r="AB9" s="4"/>
      <c r="AC9" s="4"/>
      <c r="AD9" s="4"/>
      <c r="AE9" s="4"/>
      <c r="AF9" s="4"/>
      <c r="AG9" s="4"/>
      <c r="AH9" s="4"/>
      <c r="AI9" s="4"/>
      <c r="AJ9" s="4"/>
      <c r="AK9" s="4"/>
    </row>
    <row r="10">
      <c r="A10" s="5"/>
      <c r="B10" s="32" t="s">
        <v>16</v>
      </c>
      <c r="C10" s="38">
        <v>280.0</v>
      </c>
      <c r="D10" s="39">
        <v>280.0</v>
      </c>
      <c r="E10" s="40">
        <v>280.0</v>
      </c>
      <c r="F10" s="24">
        <f t="shared" ref="F10:F11" si="12">0.8*G10</f>
        <v>3.04</v>
      </c>
      <c r="G10" s="36">
        <v>3.8</v>
      </c>
      <c r="H10" s="26">
        <f t="shared" ref="H10:H11" si="13">1.2*G10</f>
        <v>4.56</v>
      </c>
      <c r="I10" s="27">
        <f t="shared" si="3"/>
        <v>2.24</v>
      </c>
      <c r="J10" s="37">
        <v>2.8</v>
      </c>
      <c r="K10" s="26">
        <f t="shared" si="4"/>
        <v>3.36</v>
      </c>
      <c r="L10" s="29">
        <v>0.0</v>
      </c>
      <c r="M10" s="37">
        <v>0.0</v>
      </c>
      <c r="N10" s="29">
        <v>0.0</v>
      </c>
      <c r="O10" s="24">
        <f t="shared" si="5"/>
        <v>5.28</v>
      </c>
      <c r="P10" s="37">
        <f t="shared" si="6"/>
        <v>6.6</v>
      </c>
      <c r="Q10" s="31">
        <f t="shared" si="7"/>
        <v>7.92</v>
      </c>
      <c r="R10" s="9"/>
      <c r="S10" s="4"/>
      <c r="T10" s="4"/>
      <c r="U10" s="4"/>
      <c r="V10" s="4"/>
      <c r="W10" s="4"/>
      <c r="X10" s="4"/>
      <c r="Y10" s="4"/>
      <c r="Z10" s="4"/>
      <c r="AA10" s="4"/>
      <c r="AB10" s="4"/>
      <c r="AC10" s="4"/>
      <c r="AD10" s="4"/>
      <c r="AE10" s="4"/>
      <c r="AF10" s="4"/>
      <c r="AG10" s="4"/>
      <c r="AH10" s="4"/>
      <c r="AI10" s="4"/>
      <c r="AJ10" s="4"/>
      <c r="AK10" s="4"/>
    </row>
    <row r="11">
      <c r="A11" s="5"/>
      <c r="B11" s="52" t="s">
        <v>17</v>
      </c>
      <c r="C11" s="33">
        <f t="shared" ref="C11:E11" si="11">C10+C9+C12+0.5*(C13-250)+0.3*C8</f>
        <v>1958</v>
      </c>
      <c r="D11" s="34">
        <f t="shared" si="11"/>
        <v>1958</v>
      </c>
      <c r="E11" s="35">
        <f t="shared" si="11"/>
        <v>1958</v>
      </c>
      <c r="F11" s="24">
        <f t="shared" si="12"/>
        <v>2.4</v>
      </c>
      <c r="G11" s="36">
        <v>3.0</v>
      </c>
      <c r="H11" s="26">
        <f t="shared" si="13"/>
        <v>3.6</v>
      </c>
      <c r="I11" s="27">
        <f t="shared" si="3"/>
        <v>2.4</v>
      </c>
      <c r="J11" s="36">
        <v>3.0</v>
      </c>
      <c r="K11" s="26">
        <f t="shared" si="4"/>
        <v>3.6</v>
      </c>
      <c r="L11" s="29">
        <v>0.0</v>
      </c>
      <c r="M11" s="36">
        <v>0.0</v>
      </c>
      <c r="N11" s="29">
        <v>0.0</v>
      </c>
      <c r="O11" s="24">
        <f t="shared" si="5"/>
        <v>4.8</v>
      </c>
      <c r="P11" s="37">
        <f t="shared" si="6"/>
        <v>6</v>
      </c>
      <c r="Q11" s="31">
        <f t="shared" si="7"/>
        <v>7.2</v>
      </c>
      <c r="R11" s="9"/>
      <c r="S11" s="4"/>
      <c r="T11" s="4"/>
      <c r="U11" s="4"/>
      <c r="V11" s="4"/>
      <c r="W11" s="4"/>
      <c r="X11" s="4"/>
      <c r="Y11" s="4"/>
      <c r="Z11" s="4"/>
      <c r="AA11" s="4"/>
      <c r="AB11" s="4"/>
      <c r="AC11" s="4"/>
      <c r="AD11" s="4"/>
      <c r="AE11" s="4"/>
      <c r="AF11" s="4"/>
      <c r="AG11" s="4"/>
      <c r="AH11" s="4"/>
      <c r="AI11" s="4"/>
      <c r="AJ11" s="4"/>
      <c r="AK11" s="4"/>
    </row>
    <row r="12">
      <c r="A12" s="5"/>
      <c r="B12" s="44" t="s">
        <v>18</v>
      </c>
      <c r="C12" s="45">
        <f t="shared" ref="C12:E12" si="14">H34</f>
        <v>559</v>
      </c>
      <c r="D12" s="46">
        <f t="shared" si="14"/>
        <v>559</v>
      </c>
      <c r="E12" s="47">
        <f t="shared" si="14"/>
        <v>559</v>
      </c>
      <c r="F12" s="24">
        <f>E36</f>
        <v>10.1</v>
      </c>
      <c r="G12" s="48">
        <f>I36</f>
        <v>10.1</v>
      </c>
      <c r="H12" s="26">
        <f>G36</f>
        <v>10.1</v>
      </c>
      <c r="I12" s="27">
        <f t="shared" si="3"/>
        <v>0</v>
      </c>
      <c r="J12" s="28">
        <v>0.0</v>
      </c>
      <c r="K12" s="26">
        <f t="shared" si="4"/>
        <v>0</v>
      </c>
      <c r="L12" s="53">
        <f t="shared" ref="L12:N12" si="15">H27*$O32</f>
        <v>18.009</v>
      </c>
      <c r="M12" s="54">
        <f t="shared" si="15"/>
        <v>22.707</v>
      </c>
      <c r="N12" s="53">
        <f t="shared" si="15"/>
        <v>25.056</v>
      </c>
      <c r="O12" s="24">
        <f t="shared" si="5"/>
        <v>28.109</v>
      </c>
      <c r="P12" s="28">
        <f t="shared" si="6"/>
        <v>10.1</v>
      </c>
      <c r="Q12" s="31">
        <f t="shared" si="7"/>
        <v>35.156</v>
      </c>
      <c r="R12" s="9"/>
      <c r="S12" s="4"/>
      <c r="T12" s="4"/>
      <c r="U12" s="4"/>
      <c r="V12" s="4"/>
      <c r="W12" s="4"/>
      <c r="X12" s="4"/>
      <c r="Y12" s="4"/>
      <c r="Z12" s="4"/>
      <c r="AA12" s="4"/>
      <c r="AB12" s="4"/>
      <c r="AC12" s="4"/>
      <c r="AD12" s="4"/>
      <c r="AE12" s="4"/>
      <c r="AF12" s="4"/>
      <c r="AG12" s="4"/>
      <c r="AH12" s="4"/>
      <c r="AI12" s="4"/>
      <c r="AJ12" s="4"/>
      <c r="AK12" s="4"/>
    </row>
    <row r="13">
      <c r="A13" s="5"/>
      <c r="B13" s="56" t="s">
        <v>19</v>
      </c>
      <c r="C13" s="57">
        <v>950.0</v>
      </c>
      <c r="D13" s="58">
        <v>950.0</v>
      </c>
      <c r="E13" s="59">
        <v>950.0</v>
      </c>
      <c r="F13" s="24">
        <f>0.8*G13</f>
        <v>5.6</v>
      </c>
      <c r="G13" s="60">
        <v>7.0</v>
      </c>
      <c r="H13" s="26">
        <f>1.2*G13</f>
        <v>8.4</v>
      </c>
      <c r="I13" s="27">
        <f t="shared" si="3"/>
        <v>7.2</v>
      </c>
      <c r="J13" s="61">
        <f>O45</f>
        <v>9</v>
      </c>
      <c r="K13" s="26">
        <f t="shared" si="4"/>
        <v>10.8</v>
      </c>
      <c r="L13" s="29">
        <v>0.0</v>
      </c>
      <c r="M13" s="61">
        <v>0.0</v>
      </c>
      <c r="N13" s="29">
        <v>0.0</v>
      </c>
      <c r="O13" s="24">
        <f t="shared" si="5"/>
        <v>12.8</v>
      </c>
      <c r="P13" s="61">
        <f t="shared" si="6"/>
        <v>16</v>
      </c>
      <c r="Q13" s="31">
        <f t="shared" si="7"/>
        <v>19.2</v>
      </c>
      <c r="R13" s="9"/>
      <c r="S13" s="4"/>
      <c r="T13" s="62"/>
      <c r="U13" s="62"/>
      <c r="V13" s="62"/>
      <c r="W13" s="62"/>
      <c r="X13" s="62"/>
      <c r="Y13" s="62"/>
      <c r="Z13" s="62"/>
      <c r="AA13" s="62"/>
      <c r="AB13" s="62"/>
      <c r="AC13" s="62"/>
      <c r="AD13" s="62"/>
      <c r="AE13" s="62"/>
      <c r="AF13" s="62"/>
      <c r="AG13" s="62"/>
      <c r="AH13" s="62"/>
      <c r="AI13" s="62"/>
      <c r="AJ13" s="62"/>
      <c r="AK13" s="62"/>
    </row>
    <row r="14">
      <c r="A14" s="5"/>
      <c r="B14" s="63" t="s">
        <v>20</v>
      </c>
      <c r="C14" s="64">
        <f t="shared" ref="C14:E14" si="16">SUM(C5:C13)-C11</f>
        <v>5098</v>
      </c>
      <c r="D14" s="65">
        <f t="shared" si="16"/>
        <v>5098</v>
      </c>
      <c r="E14" s="66">
        <f t="shared" si="16"/>
        <v>5098</v>
      </c>
      <c r="F14" s="64">
        <f t="shared" ref="F14:K14" si="17">SUM(F5:F13)</f>
        <v>49</v>
      </c>
      <c r="G14" s="65">
        <f t="shared" si="17"/>
        <v>56.2</v>
      </c>
      <c r="H14" s="66">
        <f t="shared" si="17"/>
        <v>63.4</v>
      </c>
      <c r="I14" s="64">
        <f t="shared" si="17"/>
        <v>25.92</v>
      </c>
      <c r="J14" s="65">
        <f t="shared" si="17"/>
        <v>32.4</v>
      </c>
      <c r="K14" s="66">
        <f t="shared" si="17"/>
        <v>38.88</v>
      </c>
      <c r="L14" s="64">
        <v>0.0</v>
      </c>
      <c r="M14" s="65">
        <v>0.0</v>
      </c>
      <c r="N14" s="66">
        <v>0.0</v>
      </c>
      <c r="O14" s="64">
        <f t="shared" ref="O14:Q14" si="18">F14+I14+L14</f>
        <v>74.92</v>
      </c>
      <c r="P14" s="65">
        <f t="shared" si="18"/>
        <v>88.6</v>
      </c>
      <c r="Q14" s="67">
        <f t="shared" si="18"/>
        <v>102.28</v>
      </c>
      <c r="R14" s="9"/>
      <c r="S14" s="4"/>
      <c r="T14" s="62"/>
      <c r="U14" s="62"/>
      <c r="V14" s="62"/>
      <c r="W14" s="62"/>
      <c r="X14" s="62"/>
      <c r="Y14" s="62"/>
      <c r="Z14" s="62"/>
      <c r="AA14" s="62"/>
      <c r="AB14" s="62"/>
      <c r="AC14" s="62"/>
      <c r="AD14" s="62"/>
      <c r="AE14" s="62"/>
      <c r="AF14" s="62"/>
      <c r="AG14" s="62"/>
      <c r="AH14" s="62"/>
      <c r="AI14" s="62"/>
      <c r="AJ14" s="62"/>
      <c r="AK14" s="62"/>
    </row>
    <row r="15">
      <c r="A15" s="5"/>
      <c r="B15" s="68" t="s">
        <v>21</v>
      </c>
      <c r="C15" s="69">
        <f t="shared" ref="C15:E15" si="19">SUM(C5:C13)-C11</f>
        <v>5098</v>
      </c>
      <c r="D15" s="70">
        <f t="shared" si="19"/>
        <v>5098</v>
      </c>
      <c r="E15" s="71">
        <f t="shared" si="19"/>
        <v>5098</v>
      </c>
      <c r="F15" s="69">
        <f>SUM(F5:F13)</f>
        <v>49</v>
      </c>
      <c r="G15" s="70">
        <f>G14</f>
        <v>56.2</v>
      </c>
      <c r="H15" s="71">
        <f t="shared" ref="H15:J15" si="20">SUM(H5:H13)</f>
        <v>63.4</v>
      </c>
      <c r="I15" s="69">
        <f t="shared" si="20"/>
        <v>25.92</v>
      </c>
      <c r="J15" s="70">
        <f t="shared" si="20"/>
        <v>32.4</v>
      </c>
      <c r="K15" s="71">
        <f>K14</f>
        <v>38.88</v>
      </c>
      <c r="L15" s="69">
        <f t="shared" ref="L15:N15" si="21">L8+L9+L12</f>
        <v>31.429</v>
      </c>
      <c r="M15" s="70">
        <f t="shared" si="21"/>
        <v>39.367</v>
      </c>
      <c r="N15" s="71">
        <f t="shared" si="21"/>
        <v>43.336</v>
      </c>
      <c r="O15" s="69">
        <f t="shared" ref="O15:Q15" si="22">F15+I15+L15</f>
        <v>106.349</v>
      </c>
      <c r="P15" s="70">
        <f t="shared" si="22"/>
        <v>127.967</v>
      </c>
      <c r="Q15" s="72">
        <f t="shared" si="22"/>
        <v>145.616</v>
      </c>
      <c r="R15" s="9"/>
      <c r="S15" s="4"/>
      <c r="T15" s="62"/>
      <c r="U15" s="62"/>
      <c r="V15" s="62"/>
      <c r="W15" s="62"/>
      <c r="X15" s="62"/>
      <c r="Y15" s="62"/>
      <c r="Z15" s="62"/>
      <c r="AA15" s="62"/>
      <c r="AB15" s="62"/>
      <c r="AC15" s="62"/>
      <c r="AD15" s="62"/>
      <c r="AE15" s="62"/>
      <c r="AF15" s="62"/>
      <c r="AG15" s="62"/>
      <c r="AH15" s="62"/>
      <c r="AI15" s="62"/>
      <c r="AJ15" s="62"/>
      <c r="AK15" s="62"/>
    </row>
    <row r="16">
      <c r="A16" s="73"/>
      <c r="B16" s="74"/>
      <c r="C16" s="74"/>
      <c r="D16" s="74"/>
      <c r="E16" s="74"/>
      <c r="F16" s="75"/>
      <c r="G16" s="76"/>
      <c r="H16" s="74"/>
      <c r="I16" s="77"/>
      <c r="J16" s="78"/>
      <c r="K16" s="74"/>
      <c r="L16" s="74"/>
      <c r="M16" s="74"/>
      <c r="N16" s="74"/>
      <c r="O16" s="74"/>
      <c r="P16" s="74"/>
      <c r="Q16" s="74"/>
      <c r="R16" s="9"/>
      <c r="S16" s="4"/>
      <c r="T16" s="62"/>
      <c r="U16" s="62"/>
      <c r="V16" s="62"/>
      <c r="W16" s="62"/>
      <c r="X16" s="62"/>
      <c r="Y16" s="62"/>
      <c r="Z16" s="62"/>
      <c r="AA16" s="62"/>
      <c r="AB16" s="62"/>
      <c r="AC16" s="62"/>
      <c r="AD16" s="62"/>
      <c r="AE16" s="62"/>
      <c r="AF16" s="62"/>
      <c r="AG16" s="62"/>
      <c r="AH16" s="62"/>
      <c r="AI16" s="62"/>
      <c r="AJ16" s="62"/>
      <c r="AK16" s="62"/>
    </row>
    <row r="17">
      <c r="A17" s="73"/>
      <c r="B17" s="79"/>
      <c r="C17" s="80" t="s">
        <v>8</v>
      </c>
      <c r="D17" s="81" t="s">
        <v>9</v>
      </c>
      <c r="E17" s="82" t="s">
        <v>10</v>
      </c>
      <c r="F17" s="75"/>
      <c r="G17" s="83" t="s">
        <v>22</v>
      </c>
      <c r="H17" s="84"/>
      <c r="I17" s="80" t="s">
        <v>8</v>
      </c>
      <c r="J17" s="81" t="s">
        <v>9</v>
      </c>
      <c r="K17" s="82" t="s">
        <v>10</v>
      </c>
      <c r="M17" s="74"/>
      <c r="N17" s="74"/>
      <c r="O17" s="74"/>
      <c r="P17" s="74"/>
      <c r="Q17" s="74"/>
      <c r="R17" s="9"/>
      <c r="S17" s="4"/>
      <c r="T17" s="62"/>
      <c r="U17" s="62"/>
      <c r="V17" s="62"/>
      <c r="W17" s="62"/>
      <c r="X17" s="62"/>
      <c r="Y17" s="62"/>
      <c r="Z17" s="62"/>
      <c r="AA17" s="62"/>
      <c r="AB17" s="62"/>
      <c r="AC17" s="62"/>
      <c r="AD17" s="62"/>
      <c r="AE17" s="62"/>
      <c r="AF17" s="62"/>
      <c r="AG17" s="62"/>
      <c r="AH17" s="62"/>
      <c r="AI17" s="62"/>
      <c r="AJ17" s="62"/>
      <c r="AK17" s="62"/>
    </row>
    <row r="18">
      <c r="A18" s="73"/>
      <c r="B18" s="85" t="s">
        <v>23</v>
      </c>
      <c r="C18" s="86">
        <f t="shared" ref="C18:E18" si="23">C14/(0.01+$N25)/1000</f>
        <v>20.392</v>
      </c>
      <c r="D18" s="87">
        <f t="shared" si="23"/>
        <v>20.392</v>
      </c>
      <c r="E18" s="88">
        <f t="shared" si="23"/>
        <v>20.392</v>
      </c>
      <c r="F18" s="75"/>
      <c r="G18" s="89" t="s">
        <v>24</v>
      </c>
      <c r="I18" s="90">
        <f t="shared" ref="I18:K18" si="24">(F14+I14-I13)*1000</f>
        <v>67720</v>
      </c>
      <c r="J18" s="91">
        <f t="shared" si="24"/>
        <v>79600</v>
      </c>
      <c r="K18" s="92">
        <f t="shared" si="24"/>
        <v>91480</v>
      </c>
      <c r="M18" s="74"/>
      <c r="N18" s="74"/>
      <c r="O18" s="74"/>
      <c r="P18" s="74"/>
      <c r="Q18" s="74"/>
      <c r="R18" s="9"/>
      <c r="S18" s="4"/>
      <c r="T18" s="62"/>
      <c r="U18" s="62"/>
      <c r="V18" s="62"/>
      <c r="W18" s="62"/>
      <c r="X18" s="62"/>
      <c r="Y18" s="62"/>
      <c r="Z18" s="62"/>
      <c r="AA18" s="62"/>
      <c r="AB18" s="62"/>
      <c r="AC18" s="62"/>
      <c r="AD18" s="62"/>
      <c r="AE18" s="62"/>
      <c r="AF18" s="62"/>
      <c r="AG18" s="62"/>
      <c r="AH18" s="62"/>
      <c r="AI18" s="62"/>
      <c r="AJ18" s="62"/>
      <c r="AK18" s="62"/>
    </row>
    <row r="19">
      <c r="A19" s="73"/>
      <c r="B19" s="74"/>
      <c r="C19" s="74"/>
      <c r="D19" s="74"/>
      <c r="E19" s="74"/>
      <c r="F19" s="75"/>
      <c r="G19" s="93" t="s">
        <v>25</v>
      </c>
      <c r="I19" s="94">
        <f t="shared" ref="I19:K19" si="25">1000*O15</f>
        <v>106349</v>
      </c>
      <c r="J19" s="95">
        <f t="shared" si="25"/>
        <v>127967</v>
      </c>
      <c r="K19" s="96">
        <f t="shared" si="25"/>
        <v>145616</v>
      </c>
      <c r="M19" s="74"/>
      <c r="N19" s="74"/>
      <c r="O19" s="74"/>
      <c r="P19" s="74"/>
      <c r="Q19" s="74"/>
      <c r="R19" s="9"/>
      <c r="S19" s="4"/>
      <c r="T19" s="62"/>
      <c r="U19" s="62"/>
      <c r="V19" s="62"/>
      <c r="W19" s="62"/>
      <c r="X19" s="62"/>
      <c r="Y19" s="62"/>
      <c r="Z19" s="62"/>
      <c r="AA19" s="62"/>
      <c r="AB19" s="62"/>
      <c r="AC19" s="62"/>
      <c r="AD19" s="62"/>
      <c r="AE19" s="62"/>
      <c r="AF19" s="62"/>
      <c r="AG19" s="62"/>
      <c r="AH19" s="62"/>
      <c r="AI19" s="62"/>
      <c r="AJ19" s="62"/>
      <c r="AK19" s="62"/>
    </row>
    <row r="20">
      <c r="A20" s="73"/>
      <c r="B20" s="79"/>
      <c r="C20" s="80" t="s">
        <v>8</v>
      </c>
      <c r="D20" s="81" t="s">
        <v>9</v>
      </c>
      <c r="E20" s="82" t="s">
        <v>10</v>
      </c>
      <c r="F20" s="75"/>
      <c r="G20" s="97" t="s">
        <v>26</v>
      </c>
      <c r="H20" s="98"/>
      <c r="I20" s="99">
        <f t="shared" ref="I20:K20" si="26">C15/10</f>
        <v>509.8</v>
      </c>
      <c r="J20" s="100">
        <f t="shared" si="26"/>
        <v>509.8</v>
      </c>
      <c r="K20" s="101">
        <f t="shared" si="26"/>
        <v>509.8</v>
      </c>
      <c r="M20" s="74"/>
      <c r="N20" s="74"/>
      <c r="O20" s="74"/>
      <c r="P20" s="74"/>
      <c r="Q20" s="74"/>
      <c r="R20" s="9"/>
      <c r="S20" s="4"/>
      <c r="T20" s="62"/>
      <c r="U20" s="62"/>
      <c r="V20" s="62"/>
      <c r="W20" s="62"/>
      <c r="X20" s="62"/>
      <c r="Y20" s="62"/>
      <c r="Z20" s="62"/>
      <c r="AA20" s="62"/>
      <c r="AB20" s="62"/>
      <c r="AC20" s="62"/>
      <c r="AD20" s="62"/>
      <c r="AE20" s="62"/>
      <c r="AF20" s="62"/>
      <c r="AG20" s="62"/>
      <c r="AH20" s="62"/>
      <c r="AI20" s="62"/>
      <c r="AJ20" s="62"/>
      <c r="AK20" s="62"/>
    </row>
    <row r="21">
      <c r="A21" s="73"/>
      <c r="B21" s="265" t="s">
        <v>96</v>
      </c>
      <c r="C21" s="266">
        <f t="shared" ref="C21:E21" si="27">I10+I11+F11</f>
        <v>7.04</v>
      </c>
      <c r="D21" s="267">
        <f t="shared" si="27"/>
        <v>8.8</v>
      </c>
      <c r="E21" s="268">
        <f t="shared" si="27"/>
        <v>10.56</v>
      </c>
      <c r="F21" s="75"/>
      <c r="G21" s="76"/>
      <c r="H21" s="74"/>
      <c r="I21" s="77"/>
      <c r="J21" s="78"/>
      <c r="K21" s="74"/>
      <c r="L21" s="74"/>
      <c r="M21" s="74"/>
      <c r="N21" s="74"/>
      <c r="O21" s="74"/>
      <c r="P21" s="74"/>
      <c r="Q21" s="74"/>
      <c r="R21" s="9"/>
      <c r="S21" s="4"/>
      <c r="T21" s="62"/>
      <c r="Y21" s="62"/>
      <c r="Z21" s="62"/>
      <c r="AA21" s="62"/>
      <c r="AB21" s="62"/>
      <c r="AC21" s="62"/>
      <c r="AD21" s="62"/>
      <c r="AE21" s="62"/>
      <c r="AF21" s="62"/>
      <c r="AG21" s="62"/>
      <c r="AH21" s="62"/>
      <c r="AI21" s="62"/>
      <c r="AJ21" s="62"/>
      <c r="AK21" s="62"/>
    </row>
    <row r="22">
      <c r="A22" s="102"/>
      <c r="B22" s="103"/>
      <c r="C22" s="103"/>
      <c r="D22" s="103"/>
      <c r="E22" s="103"/>
      <c r="F22" s="104"/>
      <c r="G22" s="105"/>
      <c r="H22" s="103"/>
      <c r="I22" s="106"/>
      <c r="J22" s="107"/>
      <c r="K22" s="103"/>
      <c r="L22" s="103"/>
      <c r="M22" s="103"/>
      <c r="N22" s="103"/>
      <c r="O22" s="103"/>
      <c r="P22" s="103"/>
      <c r="Q22" s="103"/>
      <c r="R22" s="108"/>
      <c r="S22" s="4"/>
      <c r="T22" s="62"/>
      <c r="U22" s="62"/>
      <c r="V22" s="62"/>
      <c r="W22" s="62"/>
      <c r="X22" s="62"/>
      <c r="Y22" s="62"/>
      <c r="Z22" s="62"/>
      <c r="AA22" s="62"/>
      <c r="AB22" s="62"/>
      <c r="AC22" s="62"/>
      <c r="AD22" s="62"/>
      <c r="AE22" s="62"/>
      <c r="AF22" s="62"/>
      <c r="AG22" s="62"/>
      <c r="AH22" s="62"/>
      <c r="AI22" s="62"/>
      <c r="AJ22" s="62"/>
      <c r="AK22" s="62"/>
    </row>
    <row r="23">
      <c r="A23" s="109"/>
      <c r="B23" s="110"/>
      <c r="C23" s="110"/>
      <c r="D23" s="110"/>
      <c r="E23" s="110"/>
      <c r="F23" s="110"/>
      <c r="G23" s="110"/>
      <c r="H23" s="110"/>
      <c r="I23" s="110"/>
      <c r="J23" s="110"/>
      <c r="K23" s="62"/>
      <c r="L23" s="110"/>
      <c r="M23" s="110"/>
      <c r="N23" s="110"/>
      <c r="O23" s="110"/>
      <c r="P23" s="110"/>
      <c r="Q23" s="110"/>
      <c r="R23" s="111"/>
      <c r="S23" s="4"/>
      <c r="T23" s="62"/>
      <c r="U23" s="62"/>
      <c r="V23" s="62"/>
      <c r="W23" s="62"/>
      <c r="X23" s="62"/>
      <c r="Y23" s="62"/>
      <c r="Z23" s="62"/>
      <c r="AA23" s="62"/>
      <c r="AB23" s="62"/>
      <c r="AC23" s="62"/>
      <c r="AD23" s="62"/>
      <c r="AE23" s="62"/>
      <c r="AF23" s="62"/>
      <c r="AG23" s="62"/>
      <c r="AH23" s="62"/>
      <c r="AI23" s="62"/>
      <c r="AJ23" s="62"/>
      <c r="AK23" s="62"/>
    </row>
    <row r="24">
      <c r="A24" s="112"/>
      <c r="B24" s="6" t="s">
        <v>27</v>
      </c>
      <c r="C24" s="7"/>
      <c r="D24" s="7"/>
      <c r="E24" s="7"/>
      <c r="F24" s="7"/>
      <c r="G24" s="7"/>
      <c r="H24" s="7"/>
      <c r="I24" s="7"/>
      <c r="J24" s="8"/>
      <c r="K24" s="113"/>
      <c r="L24" s="6" t="s">
        <v>28</v>
      </c>
      <c r="M24" s="7"/>
      <c r="N24" s="7"/>
      <c r="O24" s="7"/>
      <c r="P24" s="7"/>
      <c r="Q24" s="8"/>
      <c r="R24" s="9"/>
      <c r="S24" s="4"/>
      <c r="T24" s="62"/>
      <c r="U24" s="62"/>
      <c r="V24" s="62"/>
      <c r="W24" s="62"/>
      <c r="X24" s="62"/>
      <c r="Y24" s="62"/>
      <c r="Z24" s="62"/>
      <c r="AA24" s="62"/>
      <c r="AB24" s="62"/>
      <c r="AC24" s="62"/>
      <c r="AD24" s="62"/>
      <c r="AE24" s="62"/>
      <c r="AF24" s="62"/>
      <c r="AG24" s="62"/>
      <c r="AH24" s="62"/>
      <c r="AI24" s="62"/>
      <c r="AJ24" s="62"/>
      <c r="AK24" s="62"/>
    </row>
    <row r="25">
      <c r="A25" s="112"/>
      <c r="B25" s="114" t="s">
        <v>29</v>
      </c>
      <c r="D25" s="13"/>
      <c r="E25" s="115" t="s">
        <v>30</v>
      </c>
      <c r="H25" s="115" t="s">
        <v>31</v>
      </c>
      <c r="J25" s="13"/>
      <c r="K25" s="113"/>
      <c r="L25" s="116" t="s">
        <v>32</v>
      </c>
      <c r="N25" s="117">
        <v>0.24</v>
      </c>
      <c r="O25" s="118" t="s">
        <v>33</v>
      </c>
      <c r="Q25" s="119">
        <v>1.2</v>
      </c>
      <c r="R25" s="9"/>
      <c r="S25" s="4"/>
      <c r="T25" s="62"/>
      <c r="U25" s="62"/>
      <c r="V25" s="62"/>
      <c r="W25" s="62"/>
      <c r="X25" s="62"/>
      <c r="Y25" s="62"/>
      <c r="Z25" s="62"/>
      <c r="AA25" s="62"/>
      <c r="AB25" s="62"/>
      <c r="AC25" s="62"/>
      <c r="AD25" s="62"/>
      <c r="AE25" s="62"/>
      <c r="AF25" s="62"/>
      <c r="AG25" s="62"/>
      <c r="AH25" s="62"/>
      <c r="AI25" s="62"/>
      <c r="AJ25" s="62"/>
      <c r="AK25" s="62"/>
    </row>
    <row r="26">
      <c r="A26" s="112"/>
      <c r="B26" s="7"/>
      <c r="C26" s="7"/>
      <c r="D26" s="8"/>
      <c r="E26" s="120" t="s">
        <v>8</v>
      </c>
      <c r="F26" s="121" t="s">
        <v>9</v>
      </c>
      <c r="G26" s="120" t="s">
        <v>10</v>
      </c>
      <c r="H26" s="120" t="s">
        <v>8</v>
      </c>
      <c r="I26" s="121" t="s">
        <v>9</v>
      </c>
      <c r="J26" s="122" t="s">
        <v>10</v>
      </c>
      <c r="K26" s="113"/>
      <c r="L26" s="123" t="s">
        <v>34</v>
      </c>
      <c r="N26" s="124">
        <f>Q27*3.1415*Q28*N25</f>
        <v>13.57128</v>
      </c>
      <c r="O26" s="125" t="s">
        <v>35</v>
      </c>
      <c r="Q26" s="119">
        <v>2.0</v>
      </c>
      <c r="R26" s="9"/>
      <c r="S26" s="4"/>
      <c r="T26" s="62"/>
      <c r="U26" s="62"/>
      <c r="V26" s="62"/>
      <c r="W26" s="62"/>
      <c r="X26" s="62"/>
      <c r="Y26" s="62"/>
      <c r="Z26" s="62"/>
      <c r="AA26" s="62"/>
      <c r="AB26" s="62"/>
      <c r="AC26" s="62"/>
      <c r="AD26" s="62"/>
      <c r="AE26" s="62"/>
      <c r="AF26" s="62"/>
      <c r="AG26" s="62"/>
      <c r="AH26" s="62"/>
      <c r="AI26" s="62"/>
      <c r="AJ26" s="62"/>
      <c r="AK26" s="62"/>
    </row>
    <row r="27">
      <c r="A27" s="112"/>
      <c r="B27" s="126" t="s">
        <v>36</v>
      </c>
      <c r="D27" s="127"/>
      <c r="E27" s="128">
        <f t="shared" ref="E27:G27" si="28">D54*$O40/$O31</f>
        <v>0.01533333333</v>
      </c>
      <c r="F27" s="128">
        <f t="shared" si="28"/>
        <v>0.01933333333</v>
      </c>
      <c r="G27" s="128">
        <f t="shared" si="28"/>
        <v>0.02133333333</v>
      </c>
      <c r="H27" s="129">
        <f t="shared" ref="H27:J27" si="29">D54*$O41/$O32</f>
        <v>0.01578352323</v>
      </c>
      <c r="I27" s="129">
        <f t="shared" si="29"/>
        <v>0.01990096407</v>
      </c>
      <c r="J27" s="130">
        <f t="shared" si="29"/>
        <v>0.02195968449</v>
      </c>
      <c r="K27" s="113"/>
      <c r="L27" s="116" t="s">
        <v>37</v>
      </c>
      <c r="N27" s="131">
        <v>23.0</v>
      </c>
      <c r="O27" s="116" t="s">
        <v>38</v>
      </c>
      <c r="Q27" s="132">
        <v>3000.0</v>
      </c>
      <c r="R27" s="9"/>
      <c r="S27" s="4"/>
      <c r="T27" s="62"/>
      <c r="U27" s="62"/>
      <c r="V27" s="62"/>
      <c r="W27" s="62"/>
      <c r="X27" s="62"/>
      <c r="Y27" s="62"/>
      <c r="Z27" s="62"/>
      <c r="AA27" s="62"/>
      <c r="AB27" s="62"/>
      <c r="AC27" s="62"/>
      <c r="AD27" s="62"/>
      <c r="AE27" s="62"/>
      <c r="AF27" s="62"/>
      <c r="AG27" s="62"/>
      <c r="AH27" s="62"/>
      <c r="AI27" s="62"/>
      <c r="AJ27" s="62"/>
      <c r="AK27" s="62"/>
    </row>
    <row r="28">
      <c r="A28" s="112"/>
      <c r="B28" s="133" t="s">
        <v>39</v>
      </c>
      <c r="D28" s="134"/>
      <c r="E28" s="135">
        <f t="shared" ref="E28:J28" si="30">1000*E27</f>
        <v>15.33333333</v>
      </c>
      <c r="F28" s="135">
        <f t="shared" si="30"/>
        <v>19.33333333</v>
      </c>
      <c r="G28" s="135">
        <f t="shared" si="30"/>
        <v>21.33333333</v>
      </c>
      <c r="H28" s="136">
        <f t="shared" si="30"/>
        <v>15.78352323</v>
      </c>
      <c r="I28" s="136">
        <f t="shared" si="30"/>
        <v>19.90096407</v>
      </c>
      <c r="J28" s="137">
        <f t="shared" si="30"/>
        <v>21.95968449</v>
      </c>
      <c r="K28" s="113"/>
      <c r="L28" s="138" t="s">
        <v>40</v>
      </c>
      <c r="M28" s="139"/>
      <c r="N28" s="140">
        <v>0.9</v>
      </c>
      <c r="O28" s="141" t="s">
        <v>41</v>
      </c>
      <c r="P28" s="7"/>
      <c r="Q28" s="142">
        <v>0.006</v>
      </c>
      <c r="R28" s="111"/>
      <c r="S28" s="4"/>
      <c r="T28" s="62"/>
      <c r="U28" s="62"/>
      <c r="V28" s="62"/>
      <c r="W28" s="62"/>
      <c r="X28" s="62"/>
      <c r="Y28" s="62"/>
      <c r="Z28" s="62"/>
      <c r="AA28" s="62"/>
      <c r="AB28" s="62"/>
      <c r="AC28" s="62"/>
      <c r="AD28" s="62"/>
      <c r="AE28" s="62"/>
      <c r="AF28" s="62"/>
      <c r="AG28" s="62"/>
      <c r="AH28" s="62"/>
      <c r="AI28" s="62"/>
      <c r="AJ28" s="62"/>
      <c r="AK28" s="62"/>
    </row>
    <row r="29">
      <c r="A29" s="112"/>
      <c r="B29" s="143" t="s">
        <v>42</v>
      </c>
      <c r="D29" s="127"/>
      <c r="E29" s="135">
        <f t="shared" ref="E29:J29" si="31">$N28*$N27-E28</f>
        <v>5.366666667</v>
      </c>
      <c r="F29" s="135">
        <f t="shared" si="31"/>
        <v>1.366666667</v>
      </c>
      <c r="G29" s="135">
        <f t="shared" si="31"/>
        <v>-0.6333333333</v>
      </c>
      <c r="H29" s="136">
        <f t="shared" si="31"/>
        <v>4.916476775</v>
      </c>
      <c r="I29" s="136">
        <f t="shared" si="31"/>
        <v>0.7990359334</v>
      </c>
      <c r="J29" s="137">
        <f t="shared" si="31"/>
        <v>-1.259684487</v>
      </c>
      <c r="K29" s="4"/>
      <c r="L29" s="144"/>
      <c r="M29" s="144"/>
      <c r="N29" s="144"/>
      <c r="O29" s="144"/>
      <c r="P29" s="62"/>
      <c r="Q29" s="62"/>
      <c r="R29" s="111"/>
      <c r="S29" s="4"/>
      <c r="T29" s="62"/>
      <c r="U29" s="62"/>
      <c r="V29" s="62"/>
      <c r="W29" s="62"/>
      <c r="X29" s="62"/>
      <c r="Y29" s="62"/>
      <c r="Z29" s="62"/>
      <c r="AA29" s="62"/>
      <c r="AB29" s="62"/>
      <c r="AC29" s="62"/>
      <c r="AD29" s="62"/>
      <c r="AE29" s="62"/>
      <c r="AF29" s="62"/>
      <c r="AG29" s="62"/>
      <c r="AH29" s="62"/>
      <c r="AI29" s="62"/>
      <c r="AJ29" s="62"/>
      <c r="AK29" s="62"/>
    </row>
    <row r="30">
      <c r="A30" s="112"/>
      <c r="B30" s="145" t="s">
        <v>43</v>
      </c>
      <c r="D30" s="134"/>
      <c r="E30" s="146">
        <f t="shared" ref="E30:J30" si="32">$N27/E28-1</f>
        <v>0.5</v>
      </c>
      <c r="F30" s="146">
        <f t="shared" si="32"/>
        <v>0.1896551724</v>
      </c>
      <c r="G30" s="146">
        <f t="shared" si="32"/>
        <v>0.078125</v>
      </c>
      <c r="H30" s="147">
        <f t="shared" si="32"/>
        <v>0.4572158365</v>
      </c>
      <c r="I30" s="147">
        <f t="shared" si="32"/>
        <v>0.1557229048</v>
      </c>
      <c r="J30" s="148">
        <f t="shared" si="32"/>
        <v>0.0473738825</v>
      </c>
      <c r="K30" s="113"/>
      <c r="L30" s="149" t="s">
        <v>44</v>
      </c>
      <c r="M30" s="150"/>
      <c r="N30" s="150"/>
      <c r="O30" s="151"/>
      <c r="P30" s="62"/>
      <c r="Q30" s="62"/>
      <c r="R30" s="111"/>
      <c r="S30" s="4"/>
      <c r="T30" s="62"/>
      <c r="U30" s="62"/>
      <c r="V30" s="62"/>
      <c r="W30" s="62"/>
      <c r="X30" s="62"/>
      <c r="Y30" s="62"/>
      <c r="Z30" s="62"/>
      <c r="AA30" s="62"/>
      <c r="AB30" s="62"/>
      <c r="AC30" s="62"/>
      <c r="AD30" s="62"/>
      <c r="AE30" s="62"/>
      <c r="AF30" s="62"/>
      <c r="AG30" s="62"/>
      <c r="AH30" s="62"/>
      <c r="AI30" s="62"/>
      <c r="AJ30" s="62"/>
      <c r="AK30" s="62"/>
    </row>
    <row r="31">
      <c r="A31" s="109"/>
      <c r="B31" s="126" t="s">
        <v>45</v>
      </c>
      <c r="E31" s="152">
        <f t="shared" ref="E31:J31" si="33">4*$N27/3.1415/$N25/$N25/1000</f>
        <v>0.5084266186</v>
      </c>
      <c r="F31" s="153">
        <f t="shared" si="33"/>
        <v>0.5084266186</v>
      </c>
      <c r="G31" s="153">
        <f t="shared" si="33"/>
        <v>0.5084266186</v>
      </c>
      <c r="H31" s="154">
        <f t="shared" si="33"/>
        <v>0.5084266186</v>
      </c>
      <c r="I31" s="154">
        <f t="shared" si="33"/>
        <v>0.5084266186</v>
      </c>
      <c r="J31" s="155">
        <f t="shared" si="33"/>
        <v>0.5084266186</v>
      </c>
      <c r="K31" s="4"/>
      <c r="L31" s="156" t="s">
        <v>46</v>
      </c>
      <c r="M31" s="157"/>
      <c r="N31" s="157"/>
      <c r="O31" s="158">
        <v>810.0</v>
      </c>
      <c r="P31" s="62"/>
      <c r="Q31" s="62"/>
      <c r="R31" s="111"/>
      <c r="S31" s="4"/>
      <c r="T31" s="62"/>
      <c r="U31" s="62"/>
      <c r="V31" s="62"/>
      <c r="W31" s="62"/>
      <c r="X31" s="62"/>
      <c r="Y31" s="62"/>
      <c r="Z31" s="62"/>
      <c r="AA31" s="62"/>
      <c r="AB31" s="62"/>
      <c r="AC31" s="62"/>
      <c r="AD31" s="62"/>
      <c r="AE31" s="62"/>
      <c r="AF31" s="62"/>
      <c r="AG31" s="62"/>
      <c r="AH31" s="62"/>
      <c r="AI31" s="62"/>
      <c r="AJ31" s="62"/>
      <c r="AK31" s="62"/>
    </row>
    <row r="32">
      <c r="A32" s="109"/>
      <c r="B32" s="143" t="s">
        <v>3</v>
      </c>
      <c r="E32" s="152">
        <f t="shared" ref="E32:G32" si="34">E31*1000</f>
        <v>508.4266186</v>
      </c>
      <c r="F32" s="153">
        <f t="shared" si="34"/>
        <v>508.4266186</v>
      </c>
      <c r="G32" s="153">
        <f t="shared" si="34"/>
        <v>508.4266186</v>
      </c>
      <c r="H32" s="154">
        <f t="shared" ref="H32:J32" si="35">1000*H31</f>
        <v>508.4266186</v>
      </c>
      <c r="I32" s="154">
        <f t="shared" si="35"/>
        <v>508.4266186</v>
      </c>
      <c r="J32" s="155">
        <f t="shared" si="35"/>
        <v>508.4266186</v>
      </c>
      <c r="K32" s="4"/>
      <c r="L32" s="159" t="s">
        <v>47</v>
      </c>
      <c r="M32" s="160"/>
      <c r="N32" s="160"/>
      <c r="O32" s="161">
        <v>1141.0</v>
      </c>
      <c r="P32" s="62"/>
      <c r="Q32" s="62"/>
      <c r="R32" s="111"/>
      <c r="S32" s="4"/>
      <c r="T32" s="62"/>
      <c r="U32" s="62"/>
      <c r="V32" s="62"/>
      <c r="W32" s="62"/>
      <c r="X32" s="62"/>
      <c r="Y32" s="62"/>
      <c r="Z32" s="62"/>
      <c r="AA32" s="62"/>
      <c r="AB32" s="62"/>
      <c r="AC32" s="62"/>
      <c r="AD32" s="62"/>
      <c r="AE32" s="62"/>
      <c r="AF32" s="62"/>
      <c r="AG32" s="62"/>
      <c r="AH32" s="62"/>
      <c r="AI32" s="62"/>
      <c r="AJ32" s="62"/>
      <c r="AK32" s="62"/>
    </row>
    <row r="33">
      <c r="A33" s="109"/>
      <c r="B33" s="145" t="s">
        <v>48</v>
      </c>
      <c r="E33" s="162">
        <f t="shared" ref="E33:G33" si="36">ROUNDUP(MAX(E32,H32),0)</f>
        <v>509</v>
      </c>
      <c r="F33" s="135">
        <f t="shared" si="36"/>
        <v>509</v>
      </c>
      <c r="G33" s="135">
        <f t="shared" si="36"/>
        <v>509</v>
      </c>
      <c r="H33" s="136">
        <f t="shared" ref="H33:J33" si="37">E33</f>
        <v>509</v>
      </c>
      <c r="I33" s="136">
        <f t="shared" si="37"/>
        <v>509</v>
      </c>
      <c r="J33" s="137">
        <f t="shared" si="37"/>
        <v>509</v>
      </c>
      <c r="K33" s="4"/>
      <c r="L33" s="156" t="s">
        <v>49</v>
      </c>
      <c r="M33" s="157"/>
      <c r="N33" s="157"/>
      <c r="O33" s="158">
        <v>5000.0</v>
      </c>
      <c r="P33" s="62"/>
      <c r="Q33" s="62"/>
      <c r="R33" s="111"/>
      <c r="S33" s="4"/>
      <c r="T33" s="62"/>
      <c r="U33" s="62"/>
      <c r="V33" s="62"/>
      <c r="W33" s="62"/>
      <c r="X33" s="62"/>
      <c r="Y33" s="62"/>
      <c r="Z33" s="62"/>
      <c r="AA33" s="62"/>
      <c r="AB33" s="62"/>
      <c r="AC33" s="62"/>
      <c r="AD33" s="62"/>
      <c r="AE33" s="62"/>
      <c r="AF33" s="62"/>
      <c r="AG33" s="62"/>
      <c r="AH33" s="62"/>
      <c r="AI33" s="62"/>
      <c r="AJ33" s="62"/>
      <c r="AK33" s="62"/>
    </row>
    <row r="34">
      <c r="A34" s="109"/>
      <c r="B34" s="163" t="s">
        <v>50</v>
      </c>
      <c r="C34" s="160"/>
      <c r="D34" s="160"/>
      <c r="E34" s="164">
        <f t="shared" ref="E34:J34" si="38">E33+50</f>
        <v>559</v>
      </c>
      <c r="F34" s="165">
        <f t="shared" si="38"/>
        <v>559</v>
      </c>
      <c r="G34" s="165">
        <f t="shared" si="38"/>
        <v>559</v>
      </c>
      <c r="H34" s="166">
        <f t="shared" si="38"/>
        <v>559</v>
      </c>
      <c r="I34" s="166">
        <f t="shared" si="38"/>
        <v>559</v>
      </c>
      <c r="J34" s="167">
        <f t="shared" si="38"/>
        <v>559</v>
      </c>
      <c r="K34" s="168"/>
      <c r="L34" s="145" t="s">
        <v>51</v>
      </c>
      <c r="O34" s="169">
        <v>2.205</v>
      </c>
      <c r="P34" s="62"/>
      <c r="Q34" s="62"/>
      <c r="R34" s="111"/>
      <c r="S34" s="4"/>
      <c r="T34" s="62"/>
      <c r="U34" s="62"/>
      <c r="V34" s="62"/>
      <c r="W34" s="62"/>
      <c r="X34" s="62"/>
      <c r="Y34" s="62"/>
      <c r="Z34" s="62"/>
      <c r="AA34" s="62"/>
      <c r="AB34" s="62"/>
      <c r="AC34" s="62"/>
      <c r="AD34" s="62"/>
      <c r="AE34" s="62"/>
      <c r="AF34" s="62"/>
      <c r="AG34" s="62"/>
      <c r="AH34" s="62"/>
      <c r="AI34" s="62"/>
      <c r="AJ34" s="62"/>
      <c r="AK34" s="62"/>
    </row>
    <row r="35">
      <c r="A35" s="112"/>
      <c r="B35" s="126" t="s">
        <v>52</v>
      </c>
      <c r="D35" s="127"/>
      <c r="E35" s="153">
        <f t="shared" ref="E35:J35" si="39">$N26*E31+$Q25+$Q26</f>
        <v>10.1</v>
      </c>
      <c r="F35" s="153">
        <f t="shared" si="39"/>
        <v>10.1</v>
      </c>
      <c r="G35" s="153">
        <f t="shared" si="39"/>
        <v>10.1</v>
      </c>
      <c r="H35" s="154">
        <f t="shared" si="39"/>
        <v>10.1</v>
      </c>
      <c r="I35" s="154">
        <f t="shared" si="39"/>
        <v>10.1</v>
      </c>
      <c r="J35" s="155">
        <f t="shared" si="39"/>
        <v>10.1</v>
      </c>
      <c r="K35" s="4"/>
      <c r="L35" s="143" t="s">
        <v>53</v>
      </c>
      <c r="O35" s="170">
        <v>0.9</v>
      </c>
      <c r="P35" s="62"/>
      <c r="Q35" s="62"/>
      <c r="R35" s="111"/>
      <c r="S35" s="4"/>
      <c r="T35" s="62"/>
      <c r="U35" s="62"/>
      <c r="V35" s="62"/>
      <c r="W35" s="62"/>
      <c r="X35" s="62"/>
      <c r="Y35" s="62"/>
      <c r="Z35" s="62"/>
      <c r="AA35" s="62"/>
      <c r="AB35" s="62"/>
      <c r="AC35" s="62"/>
      <c r="AD35" s="62"/>
      <c r="AE35" s="62"/>
      <c r="AF35" s="62"/>
      <c r="AG35" s="62"/>
      <c r="AH35" s="62"/>
      <c r="AI35" s="62"/>
      <c r="AJ35" s="62"/>
      <c r="AK35" s="62"/>
    </row>
    <row r="36">
      <c r="A36" s="109"/>
      <c r="B36" s="171" t="s">
        <v>54</v>
      </c>
      <c r="C36" s="139"/>
      <c r="D36" s="172"/>
      <c r="E36" s="173">
        <f t="shared" ref="E36:G36" si="40">ROUNDUP(MAX(E35,H35),1)</f>
        <v>10.1</v>
      </c>
      <c r="F36" s="173">
        <f t="shared" si="40"/>
        <v>10.1</v>
      </c>
      <c r="G36" s="173">
        <f t="shared" si="40"/>
        <v>10.1</v>
      </c>
      <c r="H36" s="174">
        <f t="shared" ref="H36:J36" si="41">E36</f>
        <v>10.1</v>
      </c>
      <c r="I36" s="174">
        <f t="shared" si="41"/>
        <v>10.1</v>
      </c>
      <c r="J36" s="175">
        <f t="shared" si="41"/>
        <v>10.1</v>
      </c>
      <c r="K36" s="176"/>
      <c r="L36" s="177" t="s">
        <v>55</v>
      </c>
      <c r="M36" s="160"/>
      <c r="N36" s="160"/>
      <c r="O36" s="161">
        <v>1.305</v>
      </c>
      <c r="P36" s="62"/>
      <c r="Q36" s="62"/>
      <c r="R36" s="111"/>
      <c r="S36" s="4"/>
      <c r="T36" s="62"/>
      <c r="U36" s="62"/>
      <c r="V36" s="62"/>
      <c r="W36" s="62"/>
      <c r="X36" s="62"/>
      <c r="Y36" s="62"/>
      <c r="Z36" s="62"/>
      <c r="AA36" s="62"/>
      <c r="AB36" s="62"/>
      <c r="AC36" s="62"/>
      <c r="AD36" s="62"/>
      <c r="AE36" s="62"/>
      <c r="AF36" s="62"/>
      <c r="AG36" s="62"/>
      <c r="AH36" s="62"/>
      <c r="AI36" s="62"/>
      <c r="AJ36" s="62"/>
      <c r="AK36" s="62"/>
    </row>
    <row r="37">
      <c r="A37" s="109"/>
      <c r="B37" s="4"/>
      <c r="C37" s="4"/>
      <c r="D37" s="4"/>
      <c r="E37" s="4"/>
      <c r="F37" s="4"/>
      <c r="G37" s="4"/>
      <c r="H37" s="4"/>
      <c r="I37" s="4"/>
      <c r="J37" s="4"/>
      <c r="K37" s="4"/>
      <c r="L37" s="178" t="s">
        <v>56</v>
      </c>
      <c r="M37" s="157"/>
      <c r="N37" s="157"/>
      <c r="O37" s="179">
        <v>1.2</v>
      </c>
      <c r="P37" s="62"/>
      <c r="Q37" s="62"/>
      <c r="R37" s="111"/>
      <c r="S37" s="4"/>
      <c r="T37" s="62"/>
      <c r="U37" s="62"/>
      <c r="V37" s="62"/>
      <c r="W37" s="62"/>
      <c r="X37" s="62"/>
      <c r="Y37" s="62"/>
      <c r="Z37" s="62"/>
      <c r="AA37" s="62"/>
      <c r="AB37" s="62"/>
      <c r="AC37" s="62"/>
      <c r="AD37" s="62"/>
      <c r="AE37" s="62"/>
      <c r="AF37" s="62"/>
      <c r="AG37" s="62"/>
      <c r="AH37" s="62"/>
      <c r="AI37" s="62"/>
      <c r="AJ37" s="62"/>
      <c r="AK37" s="62"/>
    </row>
    <row r="38">
      <c r="A38" s="109"/>
      <c r="B38" s="4"/>
      <c r="C38" s="4"/>
      <c r="D38" s="4"/>
      <c r="E38" s="4"/>
      <c r="F38" s="116"/>
      <c r="G38" s="116"/>
      <c r="H38" s="116"/>
      <c r="I38" s="4"/>
      <c r="J38" s="4"/>
      <c r="K38" s="4"/>
      <c r="L38" s="180" t="s">
        <v>57</v>
      </c>
      <c r="O38" s="181">
        <f>O33*O37</f>
        <v>6000</v>
      </c>
      <c r="P38" s="62"/>
      <c r="Q38" s="62"/>
      <c r="R38" s="111"/>
      <c r="S38" s="4"/>
      <c r="T38" s="62"/>
      <c r="U38" s="62"/>
      <c r="V38" s="62"/>
      <c r="W38" s="62"/>
      <c r="X38" s="62"/>
      <c r="Y38" s="62"/>
      <c r="Z38" s="62"/>
      <c r="AA38" s="62"/>
      <c r="AB38" s="62"/>
      <c r="AC38" s="62"/>
      <c r="AD38" s="62"/>
      <c r="AE38" s="62"/>
      <c r="AF38" s="62"/>
      <c r="AG38" s="62"/>
      <c r="AH38" s="62"/>
      <c r="AI38" s="62"/>
      <c r="AJ38" s="62"/>
      <c r="AK38" s="62"/>
    </row>
    <row r="39">
      <c r="A39" s="109"/>
      <c r="B39" s="4"/>
      <c r="C39" s="4"/>
      <c r="D39" s="4"/>
      <c r="E39" s="4"/>
      <c r="F39" s="116"/>
      <c r="G39" s="116"/>
      <c r="H39" s="116"/>
      <c r="I39" s="4"/>
      <c r="J39" s="4"/>
      <c r="K39" s="4"/>
      <c r="L39" s="178" t="s">
        <v>58</v>
      </c>
      <c r="M39" s="157"/>
      <c r="N39" s="157"/>
      <c r="O39" s="182">
        <f>O37*O34</f>
        <v>2.646</v>
      </c>
      <c r="P39" s="62"/>
      <c r="Q39" s="62"/>
      <c r="R39" s="111"/>
      <c r="S39" s="4"/>
      <c r="T39" s="62"/>
      <c r="U39" s="62"/>
      <c r="V39" s="62"/>
      <c r="W39" s="62"/>
      <c r="X39" s="62"/>
      <c r="Y39" s="62"/>
      <c r="Z39" s="62"/>
      <c r="AA39" s="62"/>
      <c r="AB39" s="62"/>
      <c r="AC39" s="62"/>
      <c r="AD39" s="62"/>
      <c r="AE39" s="62"/>
      <c r="AF39" s="62"/>
      <c r="AG39" s="62"/>
      <c r="AH39" s="62"/>
      <c r="AI39" s="62"/>
      <c r="AJ39" s="62"/>
      <c r="AK39" s="62"/>
    </row>
    <row r="40">
      <c r="A40" s="109"/>
      <c r="B40" s="4"/>
      <c r="C40" s="4"/>
      <c r="D40" s="4"/>
      <c r="E40" s="4"/>
      <c r="F40" s="116"/>
      <c r="G40" s="116"/>
      <c r="H40" s="116"/>
      <c r="I40" s="4"/>
      <c r="J40" s="4"/>
      <c r="K40" s="4"/>
      <c r="L40" s="145" t="s">
        <v>59</v>
      </c>
      <c r="O40" s="183">
        <f>O37*O35</f>
        <v>1.08</v>
      </c>
      <c r="P40" s="62"/>
      <c r="Q40" s="62"/>
      <c r="R40" s="111"/>
      <c r="S40" s="4"/>
      <c r="T40" s="62"/>
      <c r="U40" s="62"/>
      <c r="V40" s="62"/>
      <c r="W40" s="62"/>
      <c r="X40" s="62"/>
      <c r="Y40" s="62"/>
      <c r="Z40" s="62"/>
      <c r="AA40" s="62"/>
      <c r="AB40" s="62"/>
      <c r="AC40" s="62"/>
      <c r="AD40" s="62"/>
      <c r="AE40" s="62"/>
      <c r="AF40" s="62"/>
      <c r="AG40" s="62"/>
      <c r="AH40" s="62"/>
      <c r="AI40" s="62"/>
      <c r="AJ40" s="62"/>
      <c r="AK40" s="62"/>
    </row>
    <row r="41">
      <c r="A41" s="109"/>
      <c r="B41" s="4"/>
      <c r="C41" s="4"/>
      <c r="D41" s="4"/>
      <c r="E41" s="4"/>
      <c r="F41" s="116"/>
      <c r="G41" s="116"/>
      <c r="H41" s="116"/>
      <c r="I41" s="4"/>
      <c r="J41" s="4"/>
      <c r="K41" s="4"/>
      <c r="L41" s="143" t="s">
        <v>60</v>
      </c>
      <c r="O41" s="170">
        <f>O36*O37</f>
        <v>1.566</v>
      </c>
      <c r="P41" s="62"/>
      <c r="Q41" s="62"/>
      <c r="R41" s="111"/>
      <c r="S41" s="4"/>
      <c r="T41" s="62"/>
      <c r="U41" s="62"/>
      <c r="V41" s="62"/>
      <c r="W41" s="62"/>
      <c r="X41" s="62"/>
      <c r="Y41" s="62"/>
      <c r="Z41" s="62"/>
      <c r="AA41" s="62"/>
      <c r="AB41" s="62"/>
      <c r="AC41" s="62"/>
      <c r="AD41" s="62"/>
      <c r="AE41" s="62"/>
      <c r="AF41" s="62"/>
      <c r="AG41" s="62"/>
      <c r="AH41" s="62"/>
      <c r="AI41" s="62"/>
      <c r="AJ41" s="62"/>
      <c r="AK41" s="62"/>
    </row>
    <row r="42">
      <c r="A42" s="109"/>
      <c r="B42" s="4"/>
      <c r="C42" s="4"/>
      <c r="D42" s="4"/>
      <c r="E42" s="4"/>
      <c r="F42" s="116"/>
      <c r="G42" s="116"/>
      <c r="H42" s="116"/>
      <c r="I42" s="4"/>
      <c r="J42" s="4"/>
      <c r="K42" s="4"/>
      <c r="L42" s="143" t="s">
        <v>61</v>
      </c>
      <c r="O42" s="170">
        <f>1000*O40/O31</f>
        <v>1.333333333</v>
      </c>
      <c r="P42" s="62"/>
      <c r="Q42" s="62"/>
      <c r="R42" s="111"/>
      <c r="S42" s="4"/>
      <c r="T42" s="62"/>
      <c r="U42" s="62"/>
      <c r="V42" s="62"/>
      <c r="W42" s="62"/>
      <c r="X42" s="62"/>
      <c r="Y42" s="62"/>
      <c r="Z42" s="62"/>
      <c r="AA42" s="62"/>
      <c r="AB42" s="62"/>
      <c r="AC42" s="62"/>
      <c r="AD42" s="62"/>
      <c r="AE42" s="62"/>
      <c r="AF42" s="62"/>
      <c r="AG42" s="62"/>
      <c r="AH42" s="62"/>
      <c r="AI42" s="62"/>
      <c r="AJ42" s="62"/>
      <c r="AK42" s="62"/>
    </row>
    <row r="43">
      <c r="A43" s="109"/>
      <c r="B43" s="4"/>
      <c r="C43" s="4"/>
      <c r="D43" s="4"/>
      <c r="E43" s="4"/>
      <c r="F43" s="116"/>
      <c r="G43" s="116"/>
      <c r="H43" s="116"/>
      <c r="I43" s="4"/>
      <c r="J43" s="4"/>
      <c r="K43" s="4"/>
      <c r="L43" s="177" t="s">
        <v>62</v>
      </c>
      <c r="M43" s="184"/>
      <c r="N43" s="184"/>
      <c r="O43" s="161">
        <f>1000*O36/O32</f>
        <v>1.143733567</v>
      </c>
      <c r="P43" s="62"/>
      <c r="Q43" s="62"/>
      <c r="R43" s="111"/>
      <c r="S43" s="4"/>
      <c r="T43" s="62"/>
      <c r="U43" s="62"/>
      <c r="V43" s="62"/>
      <c r="W43" s="62"/>
      <c r="X43" s="62"/>
      <c r="Y43" s="62"/>
      <c r="Z43" s="62"/>
      <c r="AA43" s="62"/>
      <c r="AB43" s="62"/>
      <c r="AC43" s="62"/>
      <c r="AD43" s="62"/>
      <c r="AE43" s="62"/>
      <c r="AF43" s="62"/>
      <c r="AG43" s="62"/>
      <c r="AH43" s="62"/>
      <c r="AI43" s="62"/>
      <c r="AJ43" s="62"/>
      <c r="AK43" s="62"/>
    </row>
    <row r="44">
      <c r="A44" s="109"/>
      <c r="B44" s="4"/>
      <c r="C44" s="4"/>
      <c r="D44" s="4"/>
      <c r="E44" s="4"/>
      <c r="F44" s="116"/>
      <c r="G44" s="116"/>
      <c r="H44" s="116"/>
      <c r="I44" s="4"/>
      <c r="J44" s="4"/>
      <c r="K44" s="4"/>
      <c r="L44" s="185" t="s">
        <v>63</v>
      </c>
      <c r="M44" s="186"/>
      <c r="N44" s="186"/>
      <c r="O44" s="187">
        <v>98.92</v>
      </c>
      <c r="P44" s="62"/>
      <c r="Q44" s="62"/>
      <c r="R44" s="111"/>
      <c r="S44" s="4"/>
      <c r="T44" s="62"/>
      <c r="U44" s="62"/>
      <c r="V44" s="62"/>
      <c r="W44" s="62"/>
      <c r="X44" s="62"/>
      <c r="Y44" s="62"/>
      <c r="Z44" s="62"/>
      <c r="AA44" s="62"/>
      <c r="AB44" s="62"/>
      <c r="AC44" s="62"/>
      <c r="AD44" s="62"/>
      <c r="AE44" s="62"/>
      <c r="AF44" s="62"/>
      <c r="AG44" s="62"/>
      <c r="AH44" s="62"/>
      <c r="AI44" s="62"/>
      <c r="AJ44" s="62"/>
      <c r="AK44" s="62"/>
    </row>
    <row r="45">
      <c r="A45" s="109"/>
      <c r="B45" s="4"/>
      <c r="C45" s="4"/>
      <c r="D45" s="4"/>
      <c r="E45" s="4"/>
      <c r="F45" s="116"/>
      <c r="G45" s="116"/>
      <c r="H45" s="116"/>
      <c r="I45" s="4"/>
      <c r="J45" s="4"/>
      <c r="K45" s="4"/>
      <c r="L45" s="188" t="s">
        <v>64</v>
      </c>
      <c r="M45" s="98"/>
      <c r="N45" s="98"/>
      <c r="O45" s="189">
        <v>9.0</v>
      </c>
      <c r="P45" s="62"/>
      <c r="Q45" s="62"/>
      <c r="R45" s="111"/>
      <c r="S45" s="4"/>
      <c r="T45" s="62"/>
      <c r="U45" s="62"/>
      <c r="V45" s="62"/>
      <c r="W45" s="62"/>
      <c r="X45" s="62"/>
      <c r="Y45" s="62"/>
      <c r="Z45" s="62"/>
      <c r="AA45" s="62"/>
      <c r="AB45" s="62"/>
      <c r="AC45" s="62"/>
      <c r="AD45" s="62"/>
      <c r="AE45" s="62"/>
      <c r="AF45" s="62"/>
      <c r="AG45" s="62"/>
      <c r="AH45" s="62"/>
      <c r="AI45" s="62"/>
      <c r="AJ45" s="62"/>
      <c r="AK45" s="62"/>
    </row>
    <row r="46">
      <c r="A46" s="109"/>
      <c r="B46" s="4"/>
      <c r="C46" s="4"/>
      <c r="D46" s="4"/>
      <c r="E46" s="4"/>
      <c r="F46" s="116"/>
      <c r="G46" s="116"/>
      <c r="H46" s="116"/>
      <c r="I46" s="4"/>
      <c r="J46" s="4"/>
      <c r="K46" s="4"/>
      <c r="L46" s="116"/>
      <c r="M46" s="116"/>
      <c r="N46" s="116"/>
      <c r="O46" s="190"/>
      <c r="P46" s="62"/>
      <c r="Q46" s="62"/>
      <c r="R46" s="111"/>
      <c r="S46" s="4"/>
      <c r="T46" s="62"/>
      <c r="U46" s="62"/>
      <c r="V46" s="62"/>
      <c r="W46" s="62"/>
      <c r="X46" s="62"/>
      <c r="Y46" s="62"/>
      <c r="Z46" s="62"/>
      <c r="AA46" s="62"/>
      <c r="AB46" s="62"/>
      <c r="AC46" s="62"/>
      <c r="AD46" s="62"/>
      <c r="AE46" s="62"/>
      <c r="AF46" s="62"/>
      <c r="AG46" s="62"/>
      <c r="AH46" s="62"/>
      <c r="AI46" s="62"/>
      <c r="AJ46" s="62"/>
      <c r="AK46" s="62"/>
    </row>
    <row r="47">
      <c r="A47" s="191"/>
      <c r="B47" s="192"/>
      <c r="C47" s="192"/>
      <c r="D47" s="192"/>
      <c r="E47" s="192"/>
      <c r="F47" s="193"/>
      <c r="G47" s="193"/>
      <c r="H47" s="193"/>
      <c r="I47" s="192"/>
      <c r="J47" s="192"/>
      <c r="K47" s="192"/>
      <c r="L47" s="194"/>
      <c r="M47" s="194"/>
      <c r="N47" s="194"/>
      <c r="O47" s="194"/>
      <c r="P47" s="194"/>
      <c r="Q47" s="194"/>
      <c r="R47" s="195"/>
      <c r="S47" s="4"/>
      <c r="T47" s="62"/>
      <c r="U47" s="62"/>
      <c r="V47" s="62"/>
      <c r="W47" s="62"/>
      <c r="X47" s="62"/>
      <c r="Y47" s="62"/>
      <c r="Z47" s="62"/>
      <c r="AA47" s="62"/>
      <c r="AB47" s="62"/>
      <c r="AC47" s="62"/>
      <c r="AD47" s="62"/>
      <c r="AE47" s="62"/>
      <c r="AF47" s="62"/>
      <c r="AG47" s="62"/>
      <c r="AH47" s="62"/>
      <c r="AI47" s="62"/>
      <c r="AJ47" s="62"/>
      <c r="AK47" s="62"/>
    </row>
    <row r="48">
      <c r="A48" s="109"/>
      <c r="B48" s="144"/>
      <c r="C48" s="144"/>
      <c r="D48" s="144"/>
      <c r="E48" s="144"/>
      <c r="F48" s="196"/>
      <c r="G48" s="118"/>
      <c r="H48" s="196"/>
      <c r="I48" s="144"/>
      <c r="J48" s="144"/>
      <c r="K48" s="144"/>
      <c r="L48" s="144"/>
      <c r="M48" s="4"/>
      <c r="N48" s="4"/>
      <c r="O48" s="4"/>
      <c r="P48" s="62"/>
      <c r="Q48" s="62"/>
      <c r="R48" s="111"/>
      <c r="S48" s="4"/>
      <c r="T48" s="62"/>
      <c r="U48" s="62"/>
      <c r="V48" s="62"/>
      <c r="W48" s="62"/>
      <c r="X48" s="62"/>
      <c r="Y48" s="62"/>
      <c r="Z48" s="62"/>
      <c r="AA48" s="62"/>
      <c r="AB48" s="62"/>
      <c r="AC48" s="62"/>
      <c r="AD48" s="62"/>
      <c r="AE48" s="62"/>
      <c r="AF48" s="62"/>
      <c r="AG48" s="62"/>
      <c r="AH48" s="62"/>
      <c r="AI48" s="62"/>
      <c r="AJ48" s="62"/>
      <c r="AK48" s="62"/>
    </row>
    <row r="49">
      <c r="A49" s="112"/>
      <c r="B49" s="6" t="s">
        <v>65</v>
      </c>
      <c r="C49" s="7"/>
      <c r="D49" s="7"/>
      <c r="E49" s="7"/>
      <c r="F49" s="8"/>
      <c r="G49" s="197"/>
      <c r="H49" s="6" t="s">
        <v>66</v>
      </c>
      <c r="I49" s="7"/>
      <c r="J49" s="7"/>
      <c r="K49" s="7"/>
      <c r="L49" s="8"/>
      <c r="M49" s="4"/>
      <c r="N49" s="4"/>
      <c r="O49" s="4"/>
      <c r="P49" s="62"/>
      <c r="Q49" s="62"/>
      <c r="R49" s="111"/>
      <c r="S49" s="4"/>
      <c r="T49" s="62"/>
      <c r="U49" s="62"/>
      <c r="V49" s="62"/>
      <c r="W49" s="62"/>
      <c r="X49" s="62"/>
      <c r="Y49" s="62"/>
      <c r="Z49" s="62"/>
      <c r="AA49" s="62"/>
      <c r="AB49" s="62"/>
      <c r="AC49" s="62"/>
      <c r="AD49" s="62"/>
      <c r="AE49" s="62"/>
      <c r="AF49" s="62"/>
      <c r="AG49" s="62"/>
      <c r="AH49" s="62"/>
      <c r="AI49" s="62"/>
      <c r="AJ49" s="62"/>
      <c r="AK49" s="62"/>
    </row>
    <row r="50">
      <c r="A50" s="112"/>
      <c r="B50" s="121" t="s">
        <v>67</v>
      </c>
      <c r="C50" s="8"/>
      <c r="D50" s="120" t="s">
        <v>8</v>
      </c>
      <c r="E50" s="198" t="s">
        <v>9</v>
      </c>
      <c r="F50" s="122" t="s">
        <v>10</v>
      </c>
      <c r="G50" s="197"/>
      <c r="H50" s="121" t="s">
        <v>68</v>
      </c>
      <c r="I50" s="8"/>
      <c r="J50" s="120" t="s">
        <v>8</v>
      </c>
      <c r="K50" s="198" t="s">
        <v>9</v>
      </c>
      <c r="L50" s="122" t="s">
        <v>10</v>
      </c>
      <c r="M50" s="4"/>
      <c r="N50" s="4"/>
      <c r="O50" s="4"/>
      <c r="P50" s="62"/>
      <c r="Q50" s="62"/>
      <c r="R50" s="111"/>
      <c r="S50" s="4"/>
      <c r="T50" s="62"/>
      <c r="Y50" s="62"/>
      <c r="Z50" s="62"/>
      <c r="AA50" s="62"/>
      <c r="AB50" s="62"/>
      <c r="AC50" s="62"/>
      <c r="AD50" s="62"/>
      <c r="AE50" s="62"/>
      <c r="AF50" s="62"/>
      <c r="AG50" s="62"/>
      <c r="AH50" s="62"/>
      <c r="AI50" s="62"/>
      <c r="AJ50" s="62"/>
      <c r="AK50" s="62"/>
    </row>
    <row r="51">
      <c r="A51" s="112"/>
      <c r="B51" s="199" t="s">
        <v>69</v>
      </c>
      <c r="C51" s="200"/>
      <c r="D51" s="201">
        <f t="shared" ref="D51:F51" si="42">L8+L9+L12+I13</f>
        <v>38.629</v>
      </c>
      <c r="E51" s="201">
        <f t="shared" si="42"/>
        <v>48.367</v>
      </c>
      <c r="F51" s="202">
        <f t="shared" si="42"/>
        <v>54.136</v>
      </c>
      <c r="G51" s="203"/>
      <c r="H51" s="116" t="s">
        <v>70</v>
      </c>
      <c r="I51" s="200"/>
      <c r="J51" s="204">
        <f>K51</f>
        <v>3.828173375</v>
      </c>
      <c r="K51" s="205">
        <f>O44/25.84</f>
        <v>3.828173375</v>
      </c>
      <c r="L51" s="206">
        <f>K51</f>
        <v>3.828173375</v>
      </c>
      <c r="M51" s="4"/>
      <c r="N51" s="4"/>
      <c r="O51" s="4"/>
      <c r="P51" s="62"/>
      <c r="Q51" s="62"/>
      <c r="R51" s="111"/>
      <c r="S51" s="4"/>
      <c r="T51" s="62"/>
      <c r="Y51" s="62"/>
      <c r="Z51" s="62"/>
      <c r="AA51" s="62"/>
      <c r="AB51" s="62"/>
      <c r="AC51" s="62"/>
      <c r="AD51" s="62"/>
      <c r="AE51" s="62"/>
      <c r="AF51" s="62"/>
      <c r="AG51" s="62"/>
      <c r="AH51" s="62"/>
      <c r="AI51" s="62"/>
      <c r="AJ51" s="62"/>
      <c r="AK51" s="62"/>
    </row>
    <row r="52">
      <c r="A52" s="112"/>
      <c r="B52" s="207" t="s">
        <v>71</v>
      </c>
      <c r="C52" s="208"/>
      <c r="D52" s="209">
        <f t="shared" ref="D52:F52" si="43">SUM(C8:C13)-C11</f>
        <v>3048</v>
      </c>
      <c r="E52" s="209">
        <f t="shared" si="43"/>
        <v>3048</v>
      </c>
      <c r="F52" s="210">
        <f t="shared" si="43"/>
        <v>3048</v>
      </c>
      <c r="G52" s="211"/>
      <c r="H52" s="123" t="s">
        <v>72</v>
      </c>
      <c r="I52" s="208"/>
      <c r="J52" s="212">
        <f t="shared" ref="J52:L52" si="44">D61/2.564</f>
        <v>0</v>
      </c>
      <c r="K52" s="213">
        <f t="shared" si="44"/>
        <v>117.7847114</v>
      </c>
      <c r="L52" s="214">
        <f t="shared" si="44"/>
        <v>116.6146646</v>
      </c>
      <c r="M52" s="4"/>
      <c r="N52" s="4"/>
      <c r="O52" s="4"/>
      <c r="P52" s="62"/>
      <c r="Q52" s="62"/>
      <c r="R52" s="111"/>
      <c r="S52" s="4"/>
      <c r="T52" s="62"/>
      <c r="Y52" s="62"/>
      <c r="Z52" s="62"/>
      <c r="AA52" s="62"/>
      <c r="AB52" s="62"/>
      <c r="AC52" s="62"/>
      <c r="AD52" s="62"/>
      <c r="AE52" s="62"/>
      <c r="AF52" s="62"/>
      <c r="AG52" s="62"/>
      <c r="AH52" s="62"/>
      <c r="AI52" s="62"/>
      <c r="AJ52" s="62"/>
      <c r="AK52" s="62"/>
    </row>
    <row r="53">
      <c r="A53" s="112"/>
      <c r="B53" s="199" t="s">
        <v>73</v>
      </c>
      <c r="C53" s="200"/>
      <c r="D53" s="201">
        <f t="shared" ref="D53:F53" si="45">L8+L9+L12</f>
        <v>31.429</v>
      </c>
      <c r="E53" s="201">
        <f t="shared" si="45"/>
        <v>39.367</v>
      </c>
      <c r="F53" s="202">
        <f t="shared" si="45"/>
        <v>43.336</v>
      </c>
      <c r="G53" s="113"/>
      <c r="H53" s="215" t="s">
        <v>74</v>
      </c>
      <c r="I53" s="216"/>
      <c r="J53" s="217">
        <f t="shared" ref="J53:L53" si="46">O15*2.205</f>
        <v>234.499545</v>
      </c>
      <c r="K53" s="218">
        <f t="shared" si="46"/>
        <v>282.167235</v>
      </c>
      <c r="L53" s="219">
        <f t="shared" si="46"/>
        <v>321.08328</v>
      </c>
      <c r="M53" s="4"/>
      <c r="N53" s="4"/>
      <c r="O53" s="4"/>
      <c r="P53" s="62"/>
      <c r="Q53" s="62"/>
      <c r="R53" s="111"/>
      <c r="S53" s="4"/>
      <c r="T53" s="62"/>
      <c r="U53" s="62"/>
      <c r="V53" s="62"/>
      <c r="W53" s="62"/>
      <c r="X53" s="62"/>
      <c r="Y53" s="62"/>
      <c r="Z53" s="62"/>
      <c r="AA53" s="62"/>
      <c r="AB53" s="62"/>
      <c r="AC53" s="62"/>
      <c r="AD53" s="62"/>
      <c r="AE53" s="62"/>
      <c r="AF53" s="62"/>
      <c r="AG53" s="62"/>
      <c r="AH53" s="62"/>
      <c r="AI53" s="62"/>
      <c r="AJ53" s="62"/>
      <c r="AK53" s="62"/>
    </row>
    <row r="54">
      <c r="A54" s="112"/>
      <c r="B54" s="220" t="s">
        <v>75</v>
      </c>
      <c r="C54" s="221"/>
      <c r="D54" s="222">
        <v>11.5</v>
      </c>
      <c r="E54" s="222">
        <v>14.5</v>
      </c>
      <c r="F54" s="223">
        <v>16.0</v>
      </c>
      <c r="G54" s="4"/>
      <c r="H54" s="199"/>
      <c r="J54" s="224"/>
      <c r="K54" s="224"/>
      <c r="L54" s="224"/>
      <c r="M54" s="4"/>
      <c r="N54" s="4"/>
      <c r="O54" s="4"/>
      <c r="P54" s="62"/>
      <c r="Q54" s="62"/>
      <c r="R54" s="111"/>
      <c r="S54" s="4"/>
      <c r="T54" s="62"/>
      <c r="U54" s="62"/>
      <c r="V54" s="62"/>
      <c r="W54" s="62"/>
      <c r="X54" s="62"/>
      <c r="Y54" s="62"/>
      <c r="Z54" s="62"/>
      <c r="AA54" s="62"/>
      <c r="AB54" s="62"/>
      <c r="AC54" s="62"/>
      <c r="AD54" s="62"/>
      <c r="AE54" s="62"/>
      <c r="AF54" s="62"/>
      <c r="AG54" s="62"/>
      <c r="AH54" s="62"/>
      <c r="AI54" s="62"/>
      <c r="AJ54" s="62"/>
      <c r="AK54" s="62"/>
    </row>
    <row r="55">
      <c r="A55" s="109"/>
      <c r="B55" s="144"/>
      <c r="C55" s="144"/>
      <c r="D55" s="144"/>
      <c r="E55" s="144"/>
      <c r="F55" s="144"/>
      <c r="G55" s="4"/>
      <c r="H55" s="4"/>
      <c r="I55" s="4"/>
      <c r="J55" s="4"/>
      <c r="K55" s="4"/>
      <c r="L55" s="4"/>
      <c r="M55" s="4"/>
      <c r="N55" s="4"/>
      <c r="O55" s="4"/>
      <c r="P55" s="62"/>
      <c r="Q55" s="62"/>
      <c r="R55" s="111"/>
      <c r="S55" s="4"/>
      <c r="T55" s="62"/>
      <c r="U55" s="62"/>
      <c r="V55" s="62"/>
      <c r="W55" s="62"/>
      <c r="X55" s="62"/>
      <c r="Y55" s="62"/>
      <c r="Z55" s="62"/>
      <c r="AA55" s="62"/>
      <c r="AB55" s="62"/>
      <c r="AC55" s="62"/>
      <c r="AD55" s="62"/>
      <c r="AE55" s="62"/>
      <c r="AF55" s="62"/>
      <c r="AG55" s="62"/>
      <c r="AH55" s="62"/>
      <c r="AI55" s="62"/>
      <c r="AJ55" s="62"/>
      <c r="AK55" s="62"/>
    </row>
    <row r="56">
      <c r="A56" s="112"/>
      <c r="B56" s="225" t="s">
        <v>76</v>
      </c>
      <c r="C56" s="221"/>
      <c r="D56" s="226">
        <f t="shared" ref="D56:F56" si="47">$O38*(D54-0.24)</f>
        <v>67560</v>
      </c>
      <c r="E56" s="226">
        <f t="shared" si="47"/>
        <v>85560</v>
      </c>
      <c r="F56" s="227">
        <f t="shared" si="47"/>
        <v>94560</v>
      </c>
      <c r="G56" s="4"/>
      <c r="H56" s="4"/>
      <c r="I56" s="4"/>
      <c r="J56" s="4"/>
      <c r="K56" s="4"/>
      <c r="L56" s="4"/>
      <c r="M56" s="4"/>
      <c r="N56" s="4"/>
      <c r="O56" s="4"/>
      <c r="P56" s="62"/>
      <c r="Q56" s="62"/>
      <c r="R56" s="111"/>
      <c r="S56" s="4"/>
      <c r="T56" s="62"/>
      <c r="U56" s="62"/>
      <c r="V56" s="62"/>
      <c r="W56" s="62"/>
      <c r="X56" s="62"/>
      <c r="Y56" s="62"/>
      <c r="Z56" s="62"/>
      <c r="AA56" s="62"/>
      <c r="AB56" s="62"/>
      <c r="AC56" s="62"/>
      <c r="AD56" s="62"/>
      <c r="AE56" s="62"/>
      <c r="AF56" s="62"/>
      <c r="AG56" s="62"/>
      <c r="AH56" s="62"/>
      <c r="AI56" s="62"/>
      <c r="AJ56" s="62"/>
      <c r="AK56" s="62"/>
    </row>
    <row r="57">
      <c r="A57" s="191"/>
      <c r="B57" s="192"/>
      <c r="C57" s="192"/>
      <c r="D57" s="192"/>
      <c r="E57" s="192"/>
      <c r="F57" s="192"/>
      <c r="G57" s="192"/>
      <c r="H57" s="192"/>
      <c r="I57" s="192"/>
      <c r="J57" s="192"/>
      <c r="K57" s="192"/>
      <c r="L57" s="192"/>
      <c r="M57" s="192"/>
      <c r="N57" s="192"/>
      <c r="O57" s="192"/>
      <c r="P57" s="194"/>
      <c r="Q57" s="194"/>
      <c r="R57" s="195"/>
      <c r="S57" s="4"/>
      <c r="T57" s="62"/>
      <c r="U57" s="62"/>
      <c r="V57" s="62"/>
      <c r="W57" s="62"/>
      <c r="X57" s="62"/>
      <c r="Y57" s="62"/>
      <c r="Z57" s="62"/>
      <c r="AA57" s="62"/>
      <c r="AB57" s="62"/>
      <c r="AC57" s="62"/>
      <c r="AD57" s="62"/>
      <c r="AE57" s="62"/>
      <c r="AF57" s="62"/>
      <c r="AG57" s="62"/>
      <c r="AH57" s="62"/>
      <c r="AI57" s="62"/>
      <c r="AJ57" s="62"/>
      <c r="AK57" s="62"/>
    </row>
    <row r="58">
      <c r="A58" s="109"/>
      <c r="B58" s="110"/>
      <c r="C58" s="110"/>
      <c r="D58" s="110"/>
      <c r="E58" s="110"/>
      <c r="F58" s="110"/>
      <c r="G58" s="62"/>
      <c r="H58" s="110"/>
      <c r="I58" s="110"/>
      <c r="J58" s="110"/>
      <c r="K58" s="110"/>
      <c r="L58" s="110"/>
      <c r="M58" s="62"/>
      <c r="N58" s="110"/>
      <c r="O58" s="110"/>
      <c r="P58" s="110"/>
      <c r="Q58" s="110"/>
      <c r="R58" s="111"/>
      <c r="S58" s="4"/>
      <c r="T58" s="62"/>
      <c r="U58" s="62"/>
      <c r="V58" s="62"/>
      <c r="W58" s="62"/>
      <c r="X58" s="62"/>
      <c r="Y58" s="62"/>
      <c r="Z58" s="62"/>
      <c r="AA58" s="62"/>
      <c r="AB58" s="62"/>
      <c r="AC58" s="62"/>
      <c r="AD58" s="62"/>
      <c r="AE58" s="62"/>
      <c r="AF58" s="62"/>
      <c r="AG58" s="62"/>
      <c r="AH58" s="62"/>
      <c r="AI58" s="62"/>
      <c r="AJ58" s="62"/>
      <c r="AK58" s="62"/>
    </row>
    <row r="59">
      <c r="A59" s="112"/>
      <c r="B59" s="121" t="s">
        <v>77</v>
      </c>
      <c r="C59" s="7"/>
      <c r="D59" s="7"/>
      <c r="E59" s="7"/>
      <c r="F59" s="8"/>
      <c r="G59" s="113"/>
      <c r="H59" s="121" t="s">
        <v>78</v>
      </c>
      <c r="I59" s="7"/>
      <c r="J59" s="7"/>
      <c r="K59" s="7"/>
      <c r="L59" s="8"/>
      <c r="M59" s="113"/>
      <c r="N59" s="228" t="s">
        <v>79</v>
      </c>
      <c r="O59" s="7"/>
      <c r="P59" s="7"/>
      <c r="Q59" s="8"/>
      <c r="R59" s="111"/>
      <c r="S59" s="4"/>
      <c r="T59" s="62"/>
      <c r="U59" s="62"/>
      <c r="V59" s="62"/>
      <c r="W59" s="62"/>
      <c r="X59" s="62"/>
      <c r="Y59" s="62"/>
      <c r="Z59" s="62"/>
      <c r="AA59" s="62"/>
      <c r="AB59" s="62"/>
      <c r="AC59" s="62"/>
      <c r="AD59" s="62"/>
      <c r="AE59" s="62"/>
      <c r="AF59" s="62"/>
      <c r="AG59" s="62"/>
      <c r="AH59" s="62"/>
      <c r="AI59" s="62"/>
      <c r="AJ59" s="62"/>
      <c r="AK59" s="62"/>
    </row>
    <row r="60">
      <c r="A60" s="112"/>
      <c r="B60" s="121" t="s">
        <v>29</v>
      </c>
      <c r="C60" s="8"/>
      <c r="D60" s="120" t="s">
        <v>8</v>
      </c>
      <c r="E60" s="198" t="s">
        <v>9</v>
      </c>
      <c r="F60" s="122" t="s">
        <v>10</v>
      </c>
      <c r="G60" s="113"/>
      <c r="H60" s="115" t="s">
        <v>29</v>
      </c>
      <c r="I60" s="13"/>
      <c r="J60" s="229" t="s">
        <v>8</v>
      </c>
      <c r="K60" s="230" t="s">
        <v>9</v>
      </c>
      <c r="L60" s="231" t="s">
        <v>10</v>
      </c>
      <c r="M60" s="113"/>
      <c r="N60" s="232" t="s">
        <v>29</v>
      </c>
      <c r="O60" s="233" t="s">
        <v>8</v>
      </c>
      <c r="P60" s="234" t="s">
        <v>9</v>
      </c>
      <c r="Q60" s="235" t="s">
        <v>10</v>
      </c>
      <c r="R60" s="111"/>
      <c r="S60" s="4"/>
      <c r="T60" s="62"/>
      <c r="U60" s="62"/>
      <c r="V60" s="62"/>
      <c r="W60" s="62"/>
      <c r="X60" s="62"/>
      <c r="Y60" s="62"/>
      <c r="Z60" s="62"/>
      <c r="AA60" s="62"/>
      <c r="AB60" s="62"/>
      <c r="AC60" s="62"/>
      <c r="AD60" s="62"/>
      <c r="AE60" s="62"/>
      <c r="AF60" s="62"/>
      <c r="AG60" s="62"/>
      <c r="AH60" s="62"/>
      <c r="AI60" s="62"/>
      <c r="AJ60" s="62"/>
      <c r="AK60" s="62"/>
    </row>
    <row r="61">
      <c r="A61" s="112"/>
      <c r="B61" s="116" t="s">
        <v>80</v>
      </c>
      <c r="C61" s="200"/>
      <c r="D61" s="236">
        <v>0.0</v>
      </c>
      <c r="E61" s="236">
        <v>302.0</v>
      </c>
      <c r="F61" s="249">
        <v>299.0</v>
      </c>
      <c r="G61" s="113"/>
      <c r="H61" s="116" t="s">
        <v>81</v>
      </c>
      <c r="I61" s="200"/>
      <c r="J61" s="238">
        <v>0.0</v>
      </c>
      <c r="K61" s="238">
        <v>31707.0</v>
      </c>
      <c r="L61" s="269">
        <v>31831.0</v>
      </c>
      <c r="M61" s="113"/>
      <c r="N61" s="239" t="s">
        <v>82</v>
      </c>
      <c r="O61" s="240" t="str">
        <f t="shared" ref="O61:Q61" si="48">-(D63-J64)/D63</f>
        <v>#DIV/0!</v>
      </c>
      <c r="P61" s="240">
        <f t="shared" si="48"/>
        <v>-0.1402293589</v>
      </c>
      <c r="Q61" s="241">
        <f t="shared" si="48"/>
        <v>-0.146210036</v>
      </c>
      <c r="R61" s="111"/>
      <c r="S61" s="4"/>
      <c r="T61" s="62"/>
      <c r="U61" s="62"/>
      <c r="V61" s="62"/>
      <c r="W61" s="62"/>
      <c r="X61" s="62"/>
      <c r="Y61" s="62"/>
      <c r="Z61" s="62"/>
      <c r="AA61" s="62"/>
      <c r="AB61" s="62"/>
      <c r="AC61" s="62"/>
      <c r="AD61" s="62"/>
      <c r="AE61" s="62"/>
      <c r="AF61" s="62"/>
      <c r="AG61" s="62"/>
      <c r="AH61" s="62"/>
      <c r="AI61" s="62"/>
      <c r="AJ61" s="62"/>
      <c r="AK61" s="62"/>
    </row>
    <row r="62">
      <c r="A62" s="112"/>
      <c r="B62" s="123" t="s">
        <v>83</v>
      </c>
      <c r="C62" s="208"/>
      <c r="D62" s="242">
        <v>0.0</v>
      </c>
      <c r="E62" s="242">
        <v>30.0</v>
      </c>
      <c r="F62" s="270">
        <v>27.7</v>
      </c>
      <c r="G62" s="113"/>
      <c r="H62" s="123" t="s">
        <v>84</v>
      </c>
      <c r="I62" s="208"/>
      <c r="J62" s="244">
        <v>0.0</v>
      </c>
      <c r="K62" s="244">
        <v>1675.6</v>
      </c>
      <c r="L62" s="271">
        <v>1611.7</v>
      </c>
      <c r="M62" s="113"/>
      <c r="N62" s="245" t="s">
        <v>85</v>
      </c>
      <c r="O62" s="246" t="str">
        <f t="shared" ref="O62:Q62" si="49">-(D65-J65)/D65</f>
        <v>#DIV/0!</v>
      </c>
      <c r="P62" s="246">
        <f t="shared" si="49"/>
        <v>-0.01599622748</v>
      </c>
      <c r="Q62" s="247">
        <f t="shared" si="49"/>
        <v>-0.007631942713</v>
      </c>
      <c r="R62" s="111"/>
      <c r="S62" s="4"/>
      <c r="T62" s="62"/>
      <c r="U62" s="62"/>
      <c r="V62" s="62"/>
      <c r="W62" s="62"/>
      <c r="X62" s="62"/>
      <c r="Y62" s="62"/>
      <c r="Z62" s="62"/>
      <c r="AA62" s="62"/>
      <c r="AB62" s="62"/>
      <c r="AC62" s="62"/>
      <c r="AD62" s="62"/>
      <c r="AE62" s="62"/>
      <c r="AF62" s="62"/>
      <c r="AG62" s="62"/>
      <c r="AH62" s="62"/>
      <c r="AI62" s="62"/>
      <c r="AJ62" s="62"/>
      <c r="AK62" s="62"/>
    </row>
    <row r="63">
      <c r="A63" s="112"/>
      <c r="B63" s="116" t="s">
        <v>86</v>
      </c>
      <c r="C63" s="200"/>
      <c r="D63" s="236">
        <v>0.0</v>
      </c>
      <c r="E63" s="248">
        <v>11240.0</v>
      </c>
      <c r="F63" s="249">
        <v>11363.0</v>
      </c>
      <c r="G63" s="113"/>
      <c r="H63" s="250" t="s">
        <v>87</v>
      </c>
      <c r="I63" s="216"/>
      <c r="J63" s="252">
        <v>0.0</v>
      </c>
      <c r="K63" s="252">
        <v>46.7</v>
      </c>
      <c r="L63" s="272">
        <v>48.2</v>
      </c>
      <c r="M63" s="113"/>
      <c r="N63" s="254" t="s">
        <v>88</v>
      </c>
      <c r="O63" s="255" t="str">
        <f t="shared" ref="O63:Q63" si="50">-(D64-J63)/D64</f>
        <v>#DIV/0!</v>
      </c>
      <c r="P63" s="255">
        <f t="shared" si="50"/>
        <v>-0.07889546351</v>
      </c>
      <c r="Q63" s="256">
        <f t="shared" si="50"/>
        <v>-0.0819047619</v>
      </c>
      <c r="R63" s="111"/>
      <c r="S63" s="4"/>
      <c r="T63" s="62"/>
      <c r="U63" s="62"/>
      <c r="V63" s="62"/>
      <c r="W63" s="62"/>
      <c r="X63" s="62"/>
      <c r="Y63" s="62"/>
      <c r="Z63" s="62"/>
      <c r="AA63" s="62"/>
      <c r="AB63" s="62"/>
      <c r="AC63" s="62"/>
      <c r="AD63" s="62"/>
      <c r="AE63" s="62"/>
      <c r="AF63" s="62"/>
      <c r="AG63" s="62"/>
      <c r="AH63" s="62"/>
      <c r="AI63" s="62"/>
      <c r="AJ63" s="62"/>
      <c r="AK63" s="62"/>
    </row>
    <row r="64">
      <c r="A64" s="112"/>
      <c r="B64" s="123" t="s">
        <v>87</v>
      </c>
      <c r="C64" s="208"/>
      <c r="D64" s="242">
        <v>0.0</v>
      </c>
      <c r="E64" s="242">
        <v>50.7</v>
      </c>
      <c r="F64" s="270">
        <v>52.5</v>
      </c>
      <c r="G64" s="113"/>
      <c r="H64" s="123" t="s">
        <v>86</v>
      </c>
      <c r="I64" s="208"/>
      <c r="J64" s="248">
        <f t="shared" ref="J64:L64" si="51">J61/3.281</f>
        <v>0</v>
      </c>
      <c r="K64" s="248">
        <f t="shared" si="51"/>
        <v>9663.822005</v>
      </c>
      <c r="L64" s="257">
        <f t="shared" si="51"/>
        <v>9701.615361</v>
      </c>
      <c r="M64" s="4"/>
      <c r="N64" s="4"/>
      <c r="O64" s="4"/>
      <c r="P64" s="62"/>
      <c r="Q64" s="62"/>
      <c r="R64" s="111"/>
      <c r="S64" s="4"/>
      <c r="T64" s="62"/>
      <c r="U64" s="62"/>
      <c r="V64" s="62"/>
      <c r="W64" s="62"/>
      <c r="X64" s="62"/>
      <c r="Y64" s="62"/>
      <c r="Z64" s="62"/>
      <c r="AA64" s="62"/>
      <c r="AB64" s="62"/>
      <c r="AC64" s="62"/>
      <c r="AD64" s="62"/>
      <c r="AE64" s="62"/>
      <c r="AF64" s="62"/>
      <c r="AG64" s="62"/>
      <c r="AH64" s="62"/>
      <c r="AI64" s="62"/>
      <c r="AJ64" s="62"/>
      <c r="AK64" s="62"/>
    </row>
    <row r="65">
      <c r="A65" s="5"/>
      <c r="B65" s="116" t="s">
        <v>89</v>
      </c>
      <c r="C65" s="200"/>
      <c r="D65" s="236">
        <v>0.0</v>
      </c>
      <c r="E65" s="236">
        <v>519.0</v>
      </c>
      <c r="F65" s="249">
        <v>495.0</v>
      </c>
      <c r="G65" s="113"/>
      <c r="H65" s="116" t="s">
        <v>89</v>
      </c>
      <c r="I65" s="200"/>
      <c r="J65" s="201">
        <f t="shared" ref="J65:L65" si="52">J62/3.281</f>
        <v>0</v>
      </c>
      <c r="K65" s="201">
        <f t="shared" si="52"/>
        <v>510.6979579</v>
      </c>
      <c r="L65" s="202">
        <f t="shared" si="52"/>
        <v>491.2221884</v>
      </c>
      <c r="M65" s="4"/>
      <c r="N65" s="4"/>
      <c r="O65" s="4"/>
      <c r="P65" s="62"/>
      <c r="Q65" s="62"/>
      <c r="R65" s="111"/>
      <c r="S65" s="4"/>
      <c r="T65" s="62"/>
      <c r="U65" s="62"/>
      <c r="V65" s="62"/>
      <c r="W65" s="62"/>
      <c r="X65" s="62"/>
      <c r="Y65" s="62"/>
      <c r="Z65" s="62"/>
      <c r="AA65" s="62"/>
      <c r="AB65" s="62"/>
      <c r="AC65" s="62"/>
      <c r="AD65" s="62"/>
      <c r="AE65" s="62"/>
      <c r="AF65" s="62"/>
      <c r="AG65" s="62"/>
      <c r="AH65" s="62"/>
      <c r="AI65" s="62"/>
      <c r="AJ65" s="62"/>
      <c r="AK65" s="62"/>
    </row>
    <row r="66">
      <c r="A66" s="5"/>
      <c r="B66" s="123" t="s">
        <v>90</v>
      </c>
      <c r="C66" s="208"/>
      <c r="D66" s="242">
        <v>0.0</v>
      </c>
      <c r="E66" s="242">
        <v>1.594</v>
      </c>
      <c r="F66" s="270">
        <v>1.523</v>
      </c>
      <c r="G66" s="113"/>
      <c r="H66" s="258" t="s">
        <v>91</v>
      </c>
      <c r="I66" s="221"/>
      <c r="J66" s="260">
        <v>0.0</v>
      </c>
      <c r="K66" s="260">
        <v>1.568</v>
      </c>
      <c r="L66" s="273">
        <v>1.511</v>
      </c>
      <c r="M66" s="4"/>
      <c r="N66" s="4"/>
      <c r="O66" s="4"/>
      <c r="P66" s="62"/>
      <c r="Q66" s="62"/>
      <c r="R66" s="111"/>
      <c r="S66" s="4"/>
      <c r="T66" s="62"/>
      <c r="U66" s="62"/>
      <c r="V66" s="62"/>
      <c r="W66" s="62"/>
      <c r="X66" s="62"/>
      <c r="Y66" s="62"/>
      <c r="Z66" s="62"/>
      <c r="AA66" s="62"/>
      <c r="AB66" s="62"/>
      <c r="AC66" s="62"/>
      <c r="AD66" s="62"/>
      <c r="AE66" s="62"/>
      <c r="AF66" s="62"/>
      <c r="AG66" s="62"/>
      <c r="AH66" s="62"/>
      <c r="AI66" s="62"/>
      <c r="AJ66" s="62"/>
      <c r="AK66" s="62"/>
    </row>
    <row r="67">
      <c r="A67" s="5"/>
      <c r="B67" s="116" t="s">
        <v>92</v>
      </c>
      <c r="C67" s="200"/>
      <c r="D67" s="236">
        <v>0.0</v>
      </c>
      <c r="E67" s="236">
        <v>39.2</v>
      </c>
      <c r="F67" s="249">
        <v>33.4</v>
      </c>
      <c r="G67" s="4"/>
      <c r="H67" s="4"/>
      <c r="I67" s="4"/>
      <c r="J67" s="4"/>
      <c r="K67" s="4"/>
      <c r="L67" s="4"/>
      <c r="M67" s="4"/>
      <c r="N67" s="4"/>
      <c r="O67" s="4"/>
      <c r="P67" s="62"/>
      <c r="Q67" s="62"/>
      <c r="R67" s="111"/>
      <c r="S67" s="4"/>
      <c r="T67" s="62"/>
      <c r="U67" s="62"/>
      <c r="V67" s="62"/>
      <c r="W67" s="62"/>
      <c r="X67" s="62"/>
      <c r="Y67" s="62"/>
      <c r="Z67" s="62"/>
      <c r="AA67" s="62"/>
      <c r="AB67" s="62"/>
      <c r="AC67" s="62"/>
      <c r="AD67" s="62"/>
      <c r="AE67" s="62"/>
      <c r="AF67" s="62"/>
      <c r="AG67" s="62"/>
      <c r="AH67" s="62"/>
      <c r="AI67" s="62"/>
      <c r="AJ67" s="62"/>
      <c r="AK67" s="62"/>
    </row>
    <row r="68">
      <c r="A68" s="5"/>
      <c r="B68" s="258" t="s">
        <v>93</v>
      </c>
      <c r="C68" s="221"/>
      <c r="D68" s="259">
        <f t="shared" ref="D68:F68" si="53">D67/9.81</f>
        <v>0</v>
      </c>
      <c r="E68" s="259">
        <f t="shared" si="53"/>
        <v>3.995922528</v>
      </c>
      <c r="F68" s="261">
        <f t="shared" si="53"/>
        <v>3.404689093</v>
      </c>
      <c r="G68" s="4"/>
      <c r="H68" s="4"/>
      <c r="I68" s="4"/>
      <c r="J68" s="4"/>
      <c r="K68" s="4"/>
      <c r="L68" s="4"/>
      <c r="M68" s="4"/>
      <c r="N68" s="4"/>
      <c r="O68" s="4"/>
      <c r="P68" s="62"/>
      <c r="Q68" s="62"/>
      <c r="R68" s="111"/>
      <c r="S68" s="4"/>
      <c r="T68" s="62"/>
      <c r="U68" s="62"/>
      <c r="V68" s="62"/>
      <c r="W68" s="62"/>
      <c r="X68" s="62"/>
      <c r="Y68" s="62"/>
      <c r="Z68" s="62"/>
      <c r="AA68" s="62"/>
      <c r="AB68" s="62"/>
      <c r="AC68" s="62"/>
      <c r="AD68" s="62"/>
      <c r="AE68" s="62"/>
      <c r="AF68" s="62"/>
      <c r="AG68" s="62"/>
      <c r="AH68" s="62"/>
      <c r="AI68" s="62"/>
      <c r="AJ68" s="62"/>
      <c r="AK68" s="62"/>
    </row>
    <row r="69">
      <c r="A69" s="102"/>
      <c r="B69" s="192"/>
      <c r="C69" s="192"/>
      <c r="D69" s="192"/>
      <c r="E69" s="194"/>
      <c r="F69" s="194"/>
      <c r="G69" s="194"/>
      <c r="H69" s="194"/>
      <c r="I69" s="194"/>
      <c r="J69" s="194"/>
      <c r="K69" s="194"/>
      <c r="L69" s="194"/>
      <c r="M69" s="194"/>
      <c r="N69" s="194"/>
      <c r="O69" s="194"/>
      <c r="P69" s="194"/>
      <c r="Q69" s="194"/>
      <c r="R69" s="195"/>
      <c r="S69" s="4"/>
      <c r="T69" s="62"/>
      <c r="U69" s="62"/>
      <c r="V69" s="62"/>
      <c r="W69" s="62"/>
      <c r="X69" s="62"/>
      <c r="Y69" s="62"/>
      <c r="Z69" s="62"/>
      <c r="AA69" s="62"/>
      <c r="AB69" s="62"/>
      <c r="AC69" s="62"/>
      <c r="AD69" s="62"/>
      <c r="AE69" s="62"/>
      <c r="AF69" s="62"/>
      <c r="AG69" s="62"/>
      <c r="AH69" s="62"/>
      <c r="AI69" s="62"/>
      <c r="AJ69" s="62"/>
      <c r="AK69" s="62"/>
    </row>
    <row r="70">
      <c r="A70" s="4"/>
      <c r="B70" s="4"/>
      <c r="C70" s="4"/>
      <c r="D70" s="4"/>
      <c r="E70" s="62"/>
      <c r="F70" s="62"/>
      <c r="G70" s="62"/>
      <c r="H70" s="62"/>
      <c r="I70" s="62"/>
      <c r="J70" s="62"/>
      <c r="K70" s="62"/>
      <c r="L70" s="62"/>
      <c r="M70" s="62"/>
      <c r="N70" s="62"/>
      <c r="O70" s="62"/>
      <c r="P70" s="62"/>
      <c r="Q70" s="62"/>
      <c r="R70" s="62"/>
      <c r="S70" s="4"/>
      <c r="T70" s="62"/>
      <c r="U70" s="62"/>
      <c r="V70" s="62"/>
      <c r="W70" s="62"/>
      <c r="X70" s="62"/>
      <c r="Y70" s="62"/>
      <c r="Z70" s="62"/>
      <c r="AA70" s="62"/>
      <c r="AB70" s="62"/>
      <c r="AC70" s="62"/>
      <c r="AD70" s="62"/>
      <c r="AE70" s="62"/>
      <c r="AF70" s="62"/>
      <c r="AG70" s="62"/>
      <c r="AH70" s="62"/>
      <c r="AI70" s="62"/>
      <c r="AJ70" s="62"/>
      <c r="AK70" s="62"/>
    </row>
    <row r="71">
      <c r="A71" s="4"/>
      <c r="B71" s="4"/>
      <c r="C71" s="4"/>
      <c r="D71" s="4"/>
      <c r="E71" s="62"/>
      <c r="F71" s="62"/>
      <c r="G71" s="62"/>
      <c r="H71" s="62"/>
      <c r="I71" s="62"/>
      <c r="J71" s="62"/>
      <c r="K71" s="62"/>
      <c r="L71" s="62"/>
      <c r="M71" s="62"/>
      <c r="N71" s="62"/>
      <c r="O71" s="62"/>
      <c r="P71" s="62"/>
      <c r="Q71" s="62"/>
      <c r="R71" s="62"/>
      <c r="S71" s="4"/>
      <c r="T71" s="4"/>
      <c r="U71" s="62"/>
      <c r="V71" s="62"/>
      <c r="W71" s="4"/>
      <c r="X71" s="4"/>
      <c r="Y71" s="4"/>
      <c r="Z71" s="4"/>
      <c r="AA71" s="4"/>
      <c r="AB71" s="4"/>
      <c r="AC71" s="4"/>
      <c r="AD71" s="4"/>
      <c r="AE71" s="4"/>
      <c r="AF71" s="4"/>
      <c r="AG71" s="4"/>
      <c r="AH71" s="4"/>
      <c r="AI71" s="4"/>
      <c r="AJ71" s="4"/>
      <c r="AK71" s="4"/>
    </row>
    <row r="72">
      <c r="A72" s="4"/>
      <c r="B72" s="4"/>
      <c r="C72" s="4"/>
      <c r="D72" s="4"/>
      <c r="E72" s="62"/>
      <c r="F72" s="62"/>
      <c r="G72" s="62"/>
      <c r="H72" s="62"/>
      <c r="I72" s="62"/>
      <c r="J72" s="62"/>
      <c r="K72" s="62"/>
      <c r="L72" s="62"/>
      <c r="M72" s="62"/>
      <c r="N72" s="62"/>
      <c r="O72" s="62"/>
      <c r="P72" s="62"/>
      <c r="Q72" s="62"/>
      <c r="R72" s="62"/>
      <c r="S72" s="4"/>
      <c r="T72" s="4"/>
      <c r="U72" s="62"/>
      <c r="V72" s="62"/>
      <c r="W72" s="4"/>
      <c r="X72" s="4"/>
      <c r="Y72" s="4"/>
      <c r="Z72" s="4"/>
      <c r="AA72" s="4"/>
      <c r="AB72" s="4"/>
      <c r="AC72" s="4"/>
      <c r="AD72" s="4"/>
      <c r="AE72" s="4"/>
      <c r="AF72" s="4"/>
      <c r="AG72" s="4"/>
      <c r="AH72" s="4"/>
      <c r="AI72" s="4"/>
      <c r="AJ72" s="4"/>
      <c r="AK72" s="4"/>
    </row>
    <row r="73">
      <c r="A73" s="4"/>
      <c r="B73" s="4"/>
      <c r="C73" s="4"/>
      <c r="D73" s="4"/>
      <c r="E73" s="4"/>
      <c r="F73" s="4"/>
      <c r="G73" s="4"/>
      <c r="H73" s="4"/>
      <c r="I73" s="4"/>
      <c r="J73" s="4"/>
      <c r="K73" s="4"/>
      <c r="L73" s="4"/>
      <c r="M73" s="4"/>
      <c r="N73" s="4"/>
      <c r="O73" s="4"/>
      <c r="P73" s="4"/>
      <c r="Q73" s="4"/>
      <c r="R73" s="4"/>
      <c r="S73" s="4"/>
      <c r="T73" s="4"/>
      <c r="U73" s="62"/>
      <c r="V73" s="62"/>
      <c r="W73" s="4"/>
      <c r="X73" s="4"/>
      <c r="Y73" s="4"/>
      <c r="Z73" s="4"/>
      <c r="AA73" s="4"/>
      <c r="AB73" s="4"/>
      <c r="AC73" s="4"/>
      <c r="AD73" s="4"/>
      <c r="AE73" s="4"/>
      <c r="AF73" s="4"/>
      <c r="AG73" s="4"/>
      <c r="AH73" s="4"/>
      <c r="AI73" s="4"/>
      <c r="AJ73" s="4"/>
      <c r="AK73" s="4"/>
    </row>
    <row r="74">
      <c r="A74" s="4"/>
      <c r="B74" s="4"/>
      <c r="C74" s="62"/>
      <c r="D74" s="62"/>
      <c r="E74" s="4"/>
      <c r="F74" s="4"/>
      <c r="G74" s="4"/>
      <c r="H74" s="4"/>
      <c r="I74" s="4"/>
      <c r="J74" s="4"/>
      <c r="K74" s="4"/>
      <c r="L74" s="4"/>
      <c r="M74" s="4"/>
      <c r="N74" s="4"/>
      <c r="O74" s="4"/>
      <c r="P74" s="4"/>
      <c r="Q74" s="4"/>
      <c r="R74" s="4"/>
      <c r="S74" s="4"/>
      <c r="T74" s="4"/>
      <c r="U74" s="62"/>
      <c r="V74" s="62"/>
      <c r="W74" s="4"/>
      <c r="X74" s="4"/>
      <c r="Y74" s="4"/>
      <c r="Z74" s="4"/>
      <c r="AA74" s="4"/>
      <c r="AB74" s="4"/>
      <c r="AC74" s="4"/>
      <c r="AD74" s="4"/>
      <c r="AE74" s="4"/>
      <c r="AF74" s="4"/>
      <c r="AG74" s="4"/>
      <c r="AH74" s="4"/>
      <c r="AI74" s="4"/>
      <c r="AJ74" s="4"/>
      <c r="AK74" s="4"/>
    </row>
    <row r="75">
      <c r="A75" s="4"/>
      <c r="B75" s="4"/>
      <c r="C75" s="62"/>
      <c r="D75" s="62"/>
      <c r="E75" s="4"/>
      <c r="F75" s="262" t="s">
        <v>94</v>
      </c>
      <c r="G75" s="4"/>
      <c r="H75" s="4"/>
      <c r="I75" s="4"/>
      <c r="J75" s="4"/>
      <c r="K75" s="4"/>
      <c r="L75" s="4"/>
      <c r="M75" s="4"/>
      <c r="N75" s="4"/>
      <c r="O75" s="4"/>
      <c r="P75" s="4"/>
      <c r="Q75" s="4"/>
      <c r="R75" s="4"/>
      <c r="S75" s="4"/>
      <c r="T75" s="4"/>
      <c r="U75" s="62"/>
      <c r="V75" s="62"/>
      <c r="W75" s="4"/>
      <c r="X75" s="4"/>
      <c r="Y75" s="4"/>
      <c r="Z75" s="4"/>
      <c r="AA75" s="4"/>
      <c r="AB75" s="4"/>
      <c r="AC75" s="4"/>
      <c r="AD75" s="4"/>
      <c r="AE75" s="4"/>
      <c r="AF75" s="4"/>
      <c r="AG75" s="4"/>
      <c r="AH75" s="4"/>
      <c r="AI75" s="4"/>
      <c r="AJ75" s="4"/>
      <c r="AK75" s="4"/>
    </row>
    <row r="76">
      <c r="A76" s="4"/>
      <c r="B76" s="4"/>
      <c r="C76" s="4"/>
      <c r="D76" s="4"/>
      <c r="E76" s="4"/>
      <c r="F76" s="4"/>
      <c r="G76" s="263"/>
      <c r="H76" s="4"/>
      <c r="I76" s="4"/>
      <c r="J76" s="4"/>
      <c r="K76" s="4"/>
      <c r="L76" s="4"/>
      <c r="M76" s="4"/>
      <c r="N76" s="4"/>
      <c r="O76" s="4"/>
      <c r="P76" s="4"/>
      <c r="Q76" s="4"/>
      <c r="R76" s="4"/>
      <c r="S76" s="4"/>
      <c r="T76" s="4"/>
      <c r="U76" s="62"/>
      <c r="V76" s="62"/>
      <c r="W76" s="4"/>
      <c r="X76" s="4"/>
      <c r="Y76" s="4"/>
      <c r="Z76" s="4"/>
      <c r="AA76" s="4"/>
      <c r="AB76" s="4"/>
      <c r="AC76" s="4"/>
      <c r="AD76" s="4"/>
      <c r="AE76" s="4"/>
      <c r="AF76" s="4"/>
      <c r="AG76" s="4"/>
      <c r="AH76" s="4"/>
      <c r="AI76" s="4"/>
      <c r="AJ76" s="4"/>
      <c r="AK76" s="4"/>
    </row>
    <row r="77">
      <c r="A77" s="4"/>
      <c r="B77" s="4"/>
      <c r="C77" s="4"/>
      <c r="D77" s="4"/>
      <c r="E77" s="4"/>
      <c r="F77" s="4"/>
      <c r="G77" s="263"/>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c r="A78" s="4"/>
      <c r="B78" s="4"/>
      <c r="C78" s="4"/>
      <c r="D78" s="4"/>
      <c r="E78" s="4"/>
      <c r="F78" s="4"/>
      <c r="G78" s="263"/>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c r="A79" s="4"/>
      <c r="B79" s="4"/>
      <c r="C79" s="4"/>
      <c r="D79" s="4"/>
      <c r="E79" s="4"/>
      <c r="F79" s="4"/>
      <c r="G79" s="263"/>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sheetData>
  <mergeCells count="82">
    <mergeCell ref="B31:D31"/>
    <mergeCell ref="L31:N31"/>
    <mergeCell ref="B32:D32"/>
    <mergeCell ref="L32:N32"/>
    <mergeCell ref="B33:D33"/>
    <mergeCell ref="L33:N33"/>
    <mergeCell ref="L34:N34"/>
    <mergeCell ref="L35:N35"/>
    <mergeCell ref="L36:N36"/>
    <mergeCell ref="L37:N37"/>
    <mergeCell ref="L38:N38"/>
    <mergeCell ref="L39:N39"/>
    <mergeCell ref="L40:N40"/>
    <mergeCell ref="L41:N41"/>
    <mergeCell ref="L42:N42"/>
    <mergeCell ref="L43:N43"/>
    <mergeCell ref="L44:N44"/>
    <mergeCell ref="L45:N45"/>
    <mergeCell ref="H49:L49"/>
    <mergeCell ref="H50:I50"/>
    <mergeCell ref="H51:I51"/>
    <mergeCell ref="B34:D34"/>
    <mergeCell ref="B35:D35"/>
    <mergeCell ref="B36:D36"/>
    <mergeCell ref="B49:F49"/>
    <mergeCell ref="B50:C50"/>
    <mergeCell ref="B51:C51"/>
    <mergeCell ref="B52:C52"/>
    <mergeCell ref="H62:I62"/>
    <mergeCell ref="H63:I63"/>
    <mergeCell ref="H64:I64"/>
    <mergeCell ref="H65:I65"/>
    <mergeCell ref="H66:I66"/>
    <mergeCell ref="H52:I52"/>
    <mergeCell ref="H53:I53"/>
    <mergeCell ref="H54:I54"/>
    <mergeCell ref="H59:L59"/>
    <mergeCell ref="N59:Q59"/>
    <mergeCell ref="H60:I60"/>
    <mergeCell ref="H61:I61"/>
    <mergeCell ref="B63:C63"/>
    <mergeCell ref="B64:C64"/>
    <mergeCell ref="B65:C65"/>
    <mergeCell ref="B66:C66"/>
    <mergeCell ref="B67:C67"/>
    <mergeCell ref="B68:C68"/>
    <mergeCell ref="B53:C53"/>
    <mergeCell ref="B54:C54"/>
    <mergeCell ref="B56:C56"/>
    <mergeCell ref="B59:F59"/>
    <mergeCell ref="B60:C60"/>
    <mergeCell ref="B61:C61"/>
    <mergeCell ref="B62:C62"/>
    <mergeCell ref="A1:R1"/>
    <mergeCell ref="B2:Q2"/>
    <mergeCell ref="C3:E3"/>
    <mergeCell ref="F3:H3"/>
    <mergeCell ref="I3:K3"/>
    <mergeCell ref="L3:N3"/>
    <mergeCell ref="O3:Q3"/>
    <mergeCell ref="E25:G25"/>
    <mergeCell ref="H25:J25"/>
    <mergeCell ref="L25:M25"/>
    <mergeCell ref="O25:P25"/>
    <mergeCell ref="L26:M26"/>
    <mergeCell ref="O26:P26"/>
    <mergeCell ref="G17:H17"/>
    <mergeCell ref="G18:H18"/>
    <mergeCell ref="G19:H19"/>
    <mergeCell ref="G20:H20"/>
    <mergeCell ref="B24:J24"/>
    <mergeCell ref="L24:Q24"/>
    <mergeCell ref="B25:D26"/>
    <mergeCell ref="L28:M28"/>
    <mergeCell ref="L30:O30"/>
    <mergeCell ref="B27:D27"/>
    <mergeCell ref="L27:M27"/>
    <mergeCell ref="O27:P27"/>
    <mergeCell ref="B28:D28"/>
    <mergeCell ref="O28:P28"/>
    <mergeCell ref="B29:D29"/>
    <mergeCell ref="B30:D30"/>
  </mergeCells>
  <conditionalFormatting sqref="D63:F63">
    <cfRule type="cellIs" dxfId="3" priority="1" operator="lessThan">
      <formula>9000</formula>
    </cfRule>
  </conditionalFormatting>
  <conditionalFormatting sqref="J64:L64">
    <cfRule type="cellIs" dxfId="3" priority="2" operator="lessThan">
      <formula>9000</formula>
    </cfRule>
  </conditionalFormatting>
  <conditionalFormatting sqref="D63:F63">
    <cfRule type="cellIs" dxfId="4" priority="3" operator="greaterThanOrEqual">
      <formula>9000</formula>
    </cfRule>
  </conditionalFormatting>
  <conditionalFormatting sqref="J64:L64">
    <cfRule type="cellIs" dxfId="4" priority="4" operator="greaterThanOrEqual">
      <formula>9000</formula>
    </cfRule>
  </conditionalFormatting>
  <dataValidations>
    <dataValidation type="list" allowBlank="1" sqref="Q28">
      <formula1>"0,007,0,006,0,0050,0,004,0,003,0,0025"</formula1>
    </dataValidation>
    <dataValidation type="list" allowBlank="1" sqref="Q27">
      <formula1>"2700,3 000,4000,7800,8500"</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19" width="18.88"/>
  </cols>
  <sheetData>
    <row r="1">
      <c r="B1" s="274" t="s">
        <v>97</v>
      </c>
      <c r="L1" s="275"/>
      <c r="M1" s="275"/>
      <c r="N1" s="275"/>
    </row>
    <row r="2" ht="30.0" customHeight="1">
      <c r="B2" s="276" t="s">
        <v>98</v>
      </c>
      <c r="C2" s="277"/>
      <c r="D2" s="277"/>
      <c r="E2" s="277"/>
      <c r="F2" s="277"/>
      <c r="G2" s="277"/>
      <c r="H2" s="277"/>
      <c r="I2" s="277"/>
      <c r="J2" s="277"/>
      <c r="K2" s="277"/>
      <c r="L2" s="277"/>
      <c r="M2" s="277"/>
      <c r="N2" s="278"/>
    </row>
    <row r="3" ht="30.0" customHeight="1">
      <c r="B3" s="279" t="s">
        <v>99</v>
      </c>
      <c r="C3" s="280" t="s">
        <v>100</v>
      </c>
      <c r="D3" s="281" t="s">
        <v>101</v>
      </c>
      <c r="E3" s="281" t="s">
        <v>102</v>
      </c>
      <c r="F3" s="282" t="s">
        <v>103</v>
      </c>
      <c r="G3" s="280" t="s">
        <v>104</v>
      </c>
      <c r="H3" s="281" t="s">
        <v>105</v>
      </c>
      <c r="I3" s="281" t="s">
        <v>102</v>
      </c>
      <c r="J3" s="282" t="s">
        <v>103</v>
      </c>
      <c r="K3" s="281" t="s">
        <v>106</v>
      </c>
      <c r="L3" s="281" t="s">
        <v>107</v>
      </c>
      <c r="M3" s="281" t="s">
        <v>102</v>
      </c>
      <c r="N3" s="283" t="s">
        <v>103</v>
      </c>
    </row>
    <row r="4" ht="22.5" customHeight="1">
      <c r="B4" s="279" t="s">
        <v>11</v>
      </c>
      <c r="C4" s="284">
        <v>3000.0</v>
      </c>
      <c r="D4" s="285">
        <v>3600.0</v>
      </c>
      <c r="E4" s="286" t="s">
        <v>108</v>
      </c>
      <c r="F4" s="287">
        <f t="shared" ref="F4:F8" si="1">100*(D4-C4)/C4</f>
        <v>20</v>
      </c>
      <c r="G4" s="288">
        <v>3200.0</v>
      </c>
      <c r="H4" s="285">
        <v>1679.0</v>
      </c>
      <c r="I4" s="286" t="s">
        <v>109</v>
      </c>
      <c r="J4" s="287">
        <f t="shared" ref="J4:J13" si="2">100*(H4-G4)/G4</f>
        <v>-47.53125</v>
      </c>
      <c r="K4" s="274">
        <v>1000.0</v>
      </c>
      <c r="L4" s="285">
        <v>991.05</v>
      </c>
      <c r="M4" s="289"/>
      <c r="N4" s="290">
        <f t="shared" ref="N4:N7" si="3">100*(L4-K4)/K4</f>
        <v>-0.895</v>
      </c>
    </row>
    <row r="5" ht="22.5" customHeight="1">
      <c r="B5" s="279" t="s">
        <v>110</v>
      </c>
      <c r="C5" s="284">
        <v>4800.0</v>
      </c>
      <c r="D5" s="285">
        <v>6327.0</v>
      </c>
      <c r="E5" s="286" t="s">
        <v>111</v>
      </c>
      <c r="F5" s="287">
        <f t="shared" si="1"/>
        <v>31.8125</v>
      </c>
      <c r="G5" s="288">
        <v>6000.0</v>
      </c>
      <c r="H5" s="285">
        <v>6988.0</v>
      </c>
      <c r="I5" s="286" t="s">
        <v>109</v>
      </c>
      <c r="J5" s="287">
        <f t="shared" si="2"/>
        <v>16.46666667</v>
      </c>
      <c r="K5" s="274">
        <v>700.0</v>
      </c>
      <c r="L5" s="285">
        <v>769.2</v>
      </c>
      <c r="M5" s="289"/>
      <c r="N5" s="290">
        <f t="shared" si="3"/>
        <v>9.885714286</v>
      </c>
    </row>
    <row r="6" ht="22.5" customHeight="1">
      <c r="B6" s="279" t="s">
        <v>112</v>
      </c>
      <c r="C6" s="284">
        <v>3300.0</v>
      </c>
      <c r="D6" s="285">
        <v>3300.0</v>
      </c>
      <c r="E6" s="286" t="s">
        <v>111</v>
      </c>
      <c r="F6" s="287">
        <f t="shared" si="1"/>
        <v>0</v>
      </c>
      <c r="G6" s="288">
        <v>6000.0</v>
      </c>
      <c r="H6" s="285">
        <v>4949.0</v>
      </c>
      <c r="I6" s="289"/>
      <c r="J6" s="287">
        <f t="shared" si="2"/>
        <v>-17.51666667</v>
      </c>
      <c r="K6" s="274">
        <v>350.0</v>
      </c>
      <c r="L6" s="285">
        <v>395.0</v>
      </c>
      <c r="M6" s="289"/>
      <c r="N6" s="290">
        <f t="shared" si="3"/>
        <v>12.85714286</v>
      </c>
    </row>
    <row r="7" ht="22.5" customHeight="1">
      <c r="B7" s="279" t="s">
        <v>113</v>
      </c>
      <c r="C7" s="284">
        <v>6500.0</v>
      </c>
      <c r="D7" s="285">
        <v>6200.0</v>
      </c>
      <c r="E7" s="286" t="s">
        <v>111</v>
      </c>
      <c r="F7" s="287">
        <f t="shared" si="1"/>
        <v>-4.615384615</v>
      </c>
      <c r="G7" s="288">
        <v>6000.0</v>
      </c>
      <c r="H7" s="285">
        <v>5820.0</v>
      </c>
      <c r="I7" s="289"/>
      <c r="J7" s="287">
        <f t="shared" si="2"/>
        <v>-3</v>
      </c>
      <c r="K7" s="274">
        <v>700.0</v>
      </c>
      <c r="L7" s="285">
        <v>748.0</v>
      </c>
      <c r="M7" s="289"/>
      <c r="N7" s="290">
        <f t="shared" si="3"/>
        <v>6.857142857</v>
      </c>
    </row>
    <row r="8" ht="22.5" customHeight="1">
      <c r="B8" s="279" t="s">
        <v>114</v>
      </c>
      <c r="C8" s="284">
        <v>3000.0</v>
      </c>
      <c r="D8" s="285">
        <v>900.0</v>
      </c>
      <c r="E8" s="286" t="s">
        <v>111</v>
      </c>
      <c r="F8" s="287">
        <f t="shared" si="1"/>
        <v>-70</v>
      </c>
      <c r="G8" s="288">
        <v>3000.0</v>
      </c>
      <c r="H8" s="285">
        <v>600.0</v>
      </c>
      <c r="I8" s="286" t="s">
        <v>108</v>
      </c>
      <c r="J8" s="287">
        <f t="shared" si="2"/>
        <v>-80</v>
      </c>
      <c r="K8" s="274">
        <v>700.0</v>
      </c>
      <c r="L8" s="274"/>
      <c r="M8" s="274"/>
      <c r="N8" s="291"/>
    </row>
    <row r="9" ht="22.5" customHeight="1">
      <c r="B9" s="279" t="s">
        <v>115</v>
      </c>
      <c r="C9" s="284" t="s">
        <v>116</v>
      </c>
      <c r="F9" s="292" t="s">
        <v>117</v>
      </c>
      <c r="G9" s="288">
        <v>10100.0</v>
      </c>
      <c r="H9" s="285">
        <v>8239.0</v>
      </c>
      <c r="I9" s="286" t="s">
        <v>118</v>
      </c>
      <c r="J9" s="287">
        <f t="shared" si="2"/>
        <v>-18.42574257</v>
      </c>
      <c r="K9" s="274">
        <v>720.0</v>
      </c>
      <c r="L9" s="285">
        <v>624.0</v>
      </c>
      <c r="M9" s="286" t="s">
        <v>109</v>
      </c>
      <c r="N9" s="290">
        <f t="shared" ref="N9:N13" si="4">100*(L9-K9)/K9</f>
        <v>-13.33333333</v>
      </c>
    </row>
    <row r="10" ht="22.5" customHeight="1">
      <c r="B10" s="279" t="s">
        <v>119</v>
      </c>
      <c r="C10" s="284">
        <v>2800.0</v>
      </c>
      <c r="D10" s="285">
        <v>2500.0</v>
      </c>
      <c r="E10" s="286" t="s">
        <v>111</v>
      </c>
      <c r="F10" s="287">
        <f>100*(D10-C10)/C10</f>
        <v>-10.71428571</v>
      </c>
      <c r="G10" s="288">
        <v>3800.0</v>
      </c>
      <c r="H10" s="285">
        <v>3131.0</v>
      </c>
      <c r="I10" s="286" t="s">
        <v>120</v>
      </c>
      <c r="J10" s="287">
        <f t="shared" si="2"/>
        <v>-17.60526316</v>
      </c>
      <c r="K10" s="274">
        <v>280.0</v>
      </c>
      <c r="L10" s="285">
        <v>280.0</v>
      </c>
      <c r="M10" s="286" t="s">
        <v>120</v>
      </c>
      <c r="N10" s="290">
        <f t="shared" si="4"/>
        <v>0</v>
      </c>
    </row>
    <row r="11" ht="22.5" customHeight="1">
      <c r="B11" s="279" t="s">
        <v>121</v>
      </c>
      <c r="C11" s="284" t="s">
        <v>116</v>
      </c>
      <c r="F11" s="292" t="s">
        <v>117</v>
      </c>
      <c r="G11" s="288">
        <v>10100.0</v>
      </c>
      <c r="H11" s="285">
        <v>8239.0</v>
      </c>
      <c r="I11" s="286" t="s">
        <v>118</v>
      </c>
      <c r="J11" s="287">
        <f t="shared" si="2"/>
        <v>-18.42574257</v>
      </c>
      <c r="K11" s="274">
        <v>720.0</v>
      </c>
      <c r="L11" s="285">
        <v>624.0</v>
      </c>
      <c r="M11" s="286" t="s">
        <v>109</v>
      </c>
      <c r="N11" s="290">
        <f t="shared" si="4"/>
        <v>-13.33333333</v>
      </c>
    </row>
    <row r="12" ht="22.5" customHeight="1">
      <c r="B12" s="293" t="s">
        <v>122</v>
      </c>
      <c r="C12" s="294">
        <v>9000.0</v>
      </c>
      <c r="D12" s="295">
        <v>10101.0</v>
      </c>
      <c r="E12" s="296" t="s">
        <v>108</v>
      </c>
      <c r="F12" s="297">
        <f t="shared" ref="F12:F13" si="6">100*(D12-C12)/C12</f>
        <v>12.23333333</v>
      </c>
      <c r="G12" s="298">
        <v>7000.0</v>
      </c>
      <c r="H12" s="295">
        <v>7590.0</v>
      </c>
      <c r="I12" s="296" t="s">
        <v>111</v>
      </c>
      <c r="J12" s="297">
        <f t="shared" si="2"/>
        <v>8.428571429</v>
      </c>
      <c r="K12" s="299">
        <v>950.0</v>
      </c>
      <c r="L12" s="295">
        <v>995.0</v>
      </c>
      <c r="M12" s="296" t="s">
        <v>120</v>
      </c>
      <c r="N12" s="300">
        <f t="shared" si="4"/>
        <v>4.736842105</v>
      </c>
    </row>
    <row r="13" ht="22.5" customHeight="1">
      <c r="B13" s="301" t="s">
        <v>123</v>
      </c>
      <c r="C13" s="302">
        <f t="shared" ref="C13:D13" si="5">SUM(C4:C12)</f>
        <v>32400</v>
      </c>
      <c r="D13" s="303">
        <f t="shared" si="5"/>
        <v>32928</v>
      </c>
      <c r="E13" s="304"/>
      <c r="F13" s="305">
        <f t="shared" si="6"/>
        <v>1.62962963</v>
      </c>
      <c r="G13" s="306">
        <f t="shared" ref="G13:H13" si="7">SUM(G4:G12)</f>
        <v>55200</v>
      </c>
      <c r="H13" s="303">
        <f t="shared" si="7"/>
        <v>47235</v>
      </c>
      <c r="I13" s="304"/>
      <c r="J13" s="305">
        <f t="shared" si="2"/>
        <v>-14.42934783</v>
      </c>
      <c r="K13" s="303">
        <f t="shared" ref="K13:L13" si="8">SUM(K4:K12)</f>
        <v>6120</v>
      </c>
      <c r="L13" s="303">
        <f t="shared" si="8"/>
        <v>5426.25</v>
      </c>
      <c r="M13" s="304"/>
      <c r="N13" s="307">
        <f t="shared" si="4"/>
        <v>-11.33578431</v>
      </c>
    </row>
    <row r="14">
      <c r="B14" s="275"/>
      <c r="C14" s="275"/>
      <c r="D14" s="275"/>
      <c r="E14" s="275"/>
      <c r="F14" s="275"/>
      <c r="G14" s="275"/>
      <c r="H14" s="275"/>
      <c r="I14" s="275"/>
      <c r="J14" s="275"/>
      <c r="K14" s="275"/>
      <c r="L14" s="275"/>
      <c r="M14" s="275"/>
      <c r="N14" s="275"/>
    </row>
    <row r="15">
      <c r="B15" s="275"/>
      <c r="E15" s="308"/>
      <c r="K15" s="275"/>
      <c r="L15" s="275"/>
      <c r="M15" s="275"/>
      <c r="N15" s="275"/>
    </row>
    <row r="16">
      <c r="B16" s="275"/>
      <c r="E16" s="275"/>
      <c r="F16" s="275"/>
      <c r="G16" s="275"/>
      <c r="H16" s="275"/>
      <c r="I16" s="275"/>
      <c r="J16" s="275"/>
      <c r="K16" s="275"/>
      <c r="L16" s="275"/>
      <c r="M16" s="275"/>
      <c r="N16" s="275"/>
    </row>
    <row r="18" ht="30.0" customHeight="1"/>
    <row r="21" ht="30.0" customHeight="1">
      <c r="C21" s="309" t="s">
        <v>124</v>
      </c>
      <c r="D21" s="310">
        <f>C13+G13</f>
        <v>87600</v>
      </c>
      <c r="F21" s="309" t="s">
        <v>125</v>
      </c>
      <c r="G21" s="310">
        <f>D24</f>
        <v>80163</v>
      </c>
      <c r="I21" s="309" t="s">
        <v>126</v>
      </c>
      <c r="J21" s="310">
        <f>L13/1000</f>
        <v>5.42625</v>
      </c>
    </row>
    <row r="22">
      <c r="C22" s="275"/>
      <c r="D22" s="275"/>
    </row>
    <row r="24" ht="30.0" customHeight="1">
      <c r="C24" s="309" t="s">
        <v>125</v>
      </c>
      <c r="D24" s="310">
        <f>D13+H13</f>
        <v>80163</v>
      </c>
      <c r="F24" s="309" t="s">
        <v>127</v>
      </c>
      <c r="G24" s="311">
        <v>83000.0</v>
      </c>
      <c r="I24" s="309" t="s">
        <v>128</v>
      </c>
      <c r="J24" s="311">
        <v>5.275</v>
      </c>
    </row>
    <row r="27" ht="30.0" customHeight="1">
      <c r="C27" s="309" t="s">
        <v>103</v>
      </c>
      <c r="D27" s="312">
        <f>100*(D24-D21)/D21</f>
        <v>-8.489726027</v>
      </c>
      <c r="F27" s="309" t="s">
        <v>103</v>
      </c>
      <c r="G27" s="312">
        <f>100*(G24-G21)/G21</f>
        <v>3.539039208</v>
      </c>
      <c r="I27" s="309" t="s">
        <v>103</v>
      </c>
      <c r="J27" s="312">
        <f>100*(J24-J21)/J21</f>
        <v>-2.787376181</v>
      </c>
    </row>
    <row r="48">
      <c r="B48" s="275"/>
      <c r="C48" s="275"/>
      <c r="D48" s="275"/>
      <c r="E48" s="275"/>
      <c r="F48" s="275"/>
      <c r="G48" s="275"/>
      <c r="H48" s="275"/>
      <c r="I48" s="275"/>
      <c r="J48" s="275"/>
      <c r="K48" s="275"/>
      <c r="L48" s="275"/>
      <c r="M48" s="275"/>
      <c r="N48" s="275"/>
    </row>
    <row r="49">
      <c r="B49" s="275"/>
      <c r="C49" s="275"/>
      <c r="D49" s="275"/>
      <c r="E49" s="275"/>
      <c r="F49" s="275"/>
      <c r="G49" s="275"/>
      <c r="H49" s="275"/>
      <c r="I49" s="275"/>
      <c r="J49" s="275"/>
      <c r="K49" s="275"/>
      <c r="L49" s="275"/>
      <c r="M49" s="275"/>
      <c r="N49" s="275"/>
    </row>
    <row r="50">
      <c r="B50" s="275"/>
      <c r="C50" s="275"/>
      <c r="D50" s="275"/>
      <c r="E50" s="275"/>
      <c r="F50" s="275"/>
      <c r="G50" s="275"/>
      <c r="H50" s="275"/>
      <c r="I50" s="275"/>
      <c r="J50" s="275"/>
      <c r="K50" s="275"/>
      <c r="L50" s="275"/>
      <c r="M50" s="275"/>
      <c r="N50" s="275"/>
    </row>
    <row r="51">
      <c r="B51" s="275"/>
      <c r="C51" s="275"/>
      <c r="D51" s="275"/>
      <c r="E51" s="275"/>
      <c r="F51" s="275"/>
      <c r="G51" s="275"/>
      <c r="H51" s="275"/>
      <c r="I51" s="275"/>
      <c r="J51" s="275"/>
      <c r="K51" s="275"/>
      <c r="L51" s="275"/>
      <c r="M51" s="275"/>
      <c r="N51" s="275"/>
    </row>
    <row r="52">
      <c r="B52" s="275"/>
      <c r="C52" s="275"/>
      <c r="D52" s="275"/>
      <c r="E52" s="275"/>
      <c r="F52" s="275"/>
      <c r="G52" s="275"/>
      <c r="H52" s="275"/>
      <c r="I52" s="275"/>
      <c r="J52" s="275"/>
      <c r="K52" s="275"/>
      <c r="L52" s="275"/>
      <c r="M52" s="275"/>
      <c r="N52" s="275"/>
    </row>
    <row r="53">
      <c r="B53" s="275"/>
      <c r="C53" s="275"/>
      <c r="D53" s="275"/>
      <c r="E53" s="275"/>
      <c r="F53" s="275"/>
      <c r="G53" s="275"/>
      <c r="H53" s="275"/>
      <c r="I53" s="275"/>
      <c r="J53" s="275"/>
      <c r="K53" s="275"/>
      <c r="L53" s="275"/>
      <c r="M53" s="275"/>
      <c r="N53" s="275"/>
    </row>
    <row r="54">
      <c r="B54" s="275"/>
      <c r="C54" s="275"/>
      <c r="D54" s="275"/>
      <c r="E54" s="275"/>
      <c r="F54" s="275"/>
      <c r="G54" s="275"/>
      <c r="H54" s="275"/>
      <c r="I54" s="275"/>
      <c r="J54" s="275"/>
      <c r="K54" s="275"/>
      <c r="L54" s="275"/>
      <c r="M54" s="275"/>
      <c r="N54" s="275"/>
    </row>
    <row r="55">
      <c r="B55" s="275"/>
      <c r="C55" s="275"/>
      <c r="D55" s="275"/>
      <c r="E55" s="275"/>
      <c r="F55" s="275"/>
      <c r="G55" s="275"/>
      <c r="H55" s="275"/>
      <c r="I55" s="275"/>
      <c r="J55" s="275"/>
      <c r="K55" s="275"/>
      <c r="L55" s="275"/>
      <c r="M55" s="275"/>
      <c r="N55" s="275"/>
    </row>
    <row r="56">
      <c r="B56" s="275"/>
      <c r="C56" s="275"/>
      <c r="D56" s="275"/>
      <c r="E56" s="275"/>
      <c r="F56" s="275"/>
      <c r="G56" s="275"/>
      <c r="H56" s="275"/>
      <c r="I56" s="275"/>
      <c r="J56" s="275"/>
      <c r="K56" s="275"/>
      <c r="L56" s="275"/>
      <c r="M56" s="275"/>
      <c r="N56" s="275"/>
    </row>
    <row r="57">
      <c r="B57" s="275"/>
      <c r="C57" s="275"/>
      <c r="D57" s="275"/>
      <c r="E57" s="275"/>
      <c r="F57" s="275"/>
      <c r="G57" s="275"/>
      <c r="H57" s="275"/>
      <c r="I57" s="275"/>
      <c r="J57" s="275"/>
      <c r="K57" s="275"/>
      <c r="L57" s="275"/>
      <c r="M57" s="275"/>
      <c r="N57" s="275"/>
    </row>
    <row r="58">
      <c r="B58" s="275"/>
      <c r="C58" s="275"/>
      <c r="D58" s="275"/>
      <c r="E58" s="275"/>
      <c r="F58" s="275"/>
      <c r="G58" s="275"/>
      <c r="H58" s="275"/>
      <c r="I58" s="275"/>
      <c r="J58" s="275"/>
      <c r="K58" s="275"/>
      <c r="L58" s="275"/>
      <c r="M58" s="275"/>
      <c r="N58" s="275"/>
    </row>
    <row r="59">
      <c r="B59" s="275"/>
      <c r="C59" s="275"/>
      <c r="D59" s="275"/>
      <c r="E59" s="275"/>
      <c r="F59" s="275"/>
      <c r="G59" s="275"/>
      <c r="H59" s="275"/>
      <c r="I59" s="275"/>
      <c r="J59" s="275"/>
      <c r="K59" s="275"/>
      <c r="L59" s="275"/>
      <c r="M59" s="275"/>
      <c r="N59" s="275"/>
    </row>
    <row r="60">
      <c r="B60" s="275"/>
      <c r="C60" s="275"/>
      <c r="D60" s="275"/>
      <c r="E60" s="275"/>
      <c r="F60" s="275"/>
      <c r="G60" s="275"/>
      <c r="H60" s="275"/>
      <c r="I60" s="275"/>
      <c r="J60" s="275"/>
      <c r="K60" s="275"/>
      <c r="L60" s="275"/>
      <c r="M60" s="275"/>
      <c r="N60" s="275"/>
    </row>
    <row r="61">
      <c r="B61" s="275"/>
      <c r="C61" s="275"/>
      <c r="D61" s="275"/>
      <c r="E61" s="275"/>
      <c r="F61" s="275"/>
      <c r="G61" s="275"/>
      <c r="H61" s="275"/>
      <c r="I61" s="275"/>
      <c r="J61" s="275"/>
      <c r="K61" s="275"/>
      <c r="L61" s="275"/>
      <c r="M61" s="275"/>
      <c r="N61" s="275"/>
    </row>
    <row r="62">
      <c r="B62" s="275"/>
      <c r="C62" s="275"/>
      <c r="D62" s="275"/>
      <c r="E62" s="275"/>
      <c r="F62" s="275"/>
      <c r="G62" s="275"/>
      <c r="H62" s="275"/>
      <c r="I62" s="275"/>
      <c r="J62" s="275"/>
      <c r="K62" s="275"/>
      <c r="L62" s="275"/>
      <c r="M62" s="275"/>
      <c r="N62" s="275"/>
    </row>
    <row r="63">
      <c r="B63" s="275"/>
      <c r="C63" s="275"/>
      <c r="D63" s="275"/>
      <c r="E63" s="275"/>
      <c r="F63" s="275"/>
      <c r="G63" s="275"/>
      <c r="H63" s="275"/>
      <c r="I63" s="275"/>
      <c r="J63" s="275"/>
      <c r="K63" s="275"/>
      <c r="L63" s="275"/>
      <c r="M63" s="275"/>
      <c r="N63" s="275"/>
    </row>
    <row r="64">
      <c r="B64" s="275"/>
      <c r="C64" s="275"/>
      <c r="D64" s="275"/>
      <c r="E64" s="275"/>
      <c r="F64" s="275"/>
      <c r="G64" s="275"/>
      <c r="H64" s="275"/>
      <c r="I64" s="275"/>
      <c r="J64" s="275"/>
      <c r="K64" s="275"/>
      <c r="L64" s="275"/>
      <c r="M64" s="275"/>
      <c r="N64" s="275"/>
    </row>
    <row r="65">
      <c r="B65" s="275"/>
      <c r="C65" s="275"/>
      <c r="D65" s="275"/>
      <c r="E65" s="275"/>
      <c r="F65" s="275"/>
      <c r="G65" s="275"/>
      <c r="H65" s="275"/>
      <c r="I65" s="275"/>
      <c r="J65" s="275"/>
      <c r="K65" s="275"/>
      <c r="L65" s="275"/>
      <c r="M65" s="275"/>
      <c r="N65" s="275"/>
    </row>
    <row r="66">
      <c r="B66" s="275"/>
      <c r="C66" s="275"/>
      <c r="D66" s="275"/>
      <c r="E66" s="275"/>
      <c r="F66" s="275"/>
      <c r="G66" s="275"/>
      <c r="H66" s="275"/>
      <c r="I66" s="275"/>
      <c r="J66" s="275"/>
      <c r="K66" s="275"/>
      <c r="L66" s="275"/>
      <c r="M66" s="275"/>
      <c r="N66" s="275"/>
    </row>
    <row r="67">
      <c r="B67" s="275"/>
      <c r="C67" s="275"/>
      <c r="D67" s="275"/>
      <c r="E67" s="275"/>
      <c r="F67" s="275"/>
      <c r="G67" s="275"/>
      <c r="H67" s="275"/>
      <c r="I67" s="275"/>
      <c r="J67" s="275"/>
      <c r="K67" s="275"/>
      <c r="L67" s="275"/>
      <c r="M67" s="275"/>
      <c r="N67" s="275"/>
    </row>
    <row r="68">
      <c r="B68" s="275"/>
      <c r="C68" s="275"/>
      <c r="D68" s="275"/>
      <c r="E68" s="275"/>
      <c r="F68" s="275"/>
      <c r="G68" s="275"/>
      <c r="H68" s="275"/>
      <c r="I68" s="275"/>
      <c r="J68" s="275"/>
      <c r="K68" s="275"/>
      <c r="L68" s="275"/>
      <c r="M68" s="275"/>
      <c r="N68" s="275"/>
    </row>
    <row r="69">
      <c r="B69" s="275"/>
      <c r="C69" s="275"/>
      <c r="D69" s="275"/>
      <c r="E69" s="275"/>
      <c r="F69" s="275"/>
      <c r="G69" s="275"/>
      <c r="H69" s="275"/>
      <c r="I69" s="275"/>
      <c r="J69" s="275"/>
      <c r="K69" s="275"/>
      <c r="L69" s="275"/>
      <c r="M69" s="275"/>
      <c r="N69" s="275"/>
    </row>
    <row r="70">
      <c r="B70" s="275"/>
      <c r="C70" s="275"/>
      <c r="D70" s="275"/>
      <c r="E70" s="275"/>
      <c r="F70" s="275"/>
      <c r="G70" s="275"/>
      <c r="H70" s="275"/>
      <c r="I70" s="275"/>
      <c r="J70" s="275"/>
      <c r="K70" s="275"/>
      <c r="L70" s="275"/>
      <c r="M70" s="275"/>
      <c r="N70" s="275"/>
    </row>
    <row r="71">
      <c r="B71" s="275"/>
      <c r="C71" s="275"/>
      <c r="D71" s="275"/>
      <c r="E71" s="275"/>
      <c r="F71" s="275"/>
      <c r="G71" s="275"/>
      <c r="H71" s="275"/>
      <c r="I71" s="275"/>
      <c r="J71" s="275"/>
      <c r="K71" s="275"/>
      <c r="L71" s="275"/>
      <c r="M71" s="275"/>
      <c r="N71" s="275"/>
    </row>
    <row r="72">
      <c r="B72" s="275"/>
      <c r="C72" s="275"/>
      <c r="D72" s="275"/>
      <c r="E72" s="275"/>
      <c r="F72" s="275"/>
      <c r="G72" s="275"/>
      <c r="H72" s="275"/>
      <c r="I72" s="275"/>
      <c r="J72" s="275"/>
      <c r="K72" s="275"/>
      <c r="L72" s="275"/>
      <c r="M72" s="275"/>
      <c r="N72" s="275"/>
    </row>
    <row r="73">
      <c r="B73" s="275"/>
      <c r="C73" s="275"/>
      <c r="D73" s="275"/>
      <c r="E73" s="275"/>
      <c r="F73" s="275"/>
      <c r="G73" s="275"/>
      <c r="H73" s="275"/>
      <c r="I73" s="275"/>
      <c r="J73" s="275"/>
      <c r="K73" s="275"/>
      <c r="L73" s="275"/>
      <c r="M73" s="275"/>
      <c r="N73" s="275"/>
    </row>
    <row r="74">
      <c r="B74" s="275"/>
      <c r="C74" s="275"/>
      <c r="D74" s="275"/>
      <c r="E74" s="275"/>
      <c r="F74" s="275"/>
      <c r="G74" s="275"/>
      <c r="H74" s="275"/>
      <c r="I74" s="275"/>
      <c r="J74" s="275"/>
      <c r="K74" s="275"/>
      <c r="L74" s="275"/>
      <c r="M74" s="275"/>
      <c r="N74" s="275"/>
    </row>
    <row r="75">
      <c r="B75" s="275"/>
      <c r="C75" s="275"/>
      <c r="D75" s="275"/>
      <c r="E75" s="275"/>
      <c r="F75" s="275"/>
      <c r="G75" s="275"/>
      <c r="H75" s="275"/>
      <c r="I75" s="275"/>
      <c r="J75" s="275"/>
      <c r="K75" s="275"/>
      <c r="L75" s="275"/>
      <c r="M75" s="275"/>
      <c r="N75" s="275"/>
    </row>
    <row r="76">
      <c r="B76" s="275"/>
      <c r="C76" s="275"/>
      <c r="D76" s="275"/>
      <c r="E76" s="275"/>
      <c r="F76" s="275"/>
      <c r="G76" s="275"/>
      <c r="H76" s="275"/>
      <c r="I76" s="275"/>
      <c r="J76" s="275"/>
      <c r="K76" s="275"/>
      <c r="L76" s="275"/>
      <c r="M76" s="275"/>
      <c r="N76" s="275"/>
    </row>
    <row r="77">
      <c r="B77" s="275"/>
      <c r="C77" s="275"/>
      <c r="D77" s="275"/>
      <c r="E77" s="275"/>
      <c r="F77" s="275"/>
      <c r="G77" s="275"/>
      <c r="H77" s="275"/>
      <c r="I77" s="275"/>
      <c r="J77" s="275"/>
      <c r="K77" s="275"/>
      <c r="L77" s="275"/>
      <c r="M77" s="275"/>
      <c r="N77" s="275"/>
    </row>
    <row r="78">
      <c r="B78" s="275"/>
      <c r="C78" s="275"/>
      <c r="D78" s="275"/>
      <c r="E78" s="275"/>
      <c r="F78" s="275"/>
      <c r="G78" s="275"/>
      <c r="H78" s="275"/>
      <c r="I78" s="275"/>
      <c r="J78" s="275"/>
      <c r="K78" s="275"/>
      <c r="L78" s="275"/>
      <c r="M78" s="275"/>
      <c r="N78" s="275"/>
    </row>
    <row r="79">
      <c r="B79" s="275"/>
      <c r="C79" s="275"/>
      <c r="D79" s="275"/>
      <c r="E79" s="275"/>
      <c r="F79" s="275"/>
      <c r="G79" s="275"/>
      <c r="H79" s="275"/>
      <c r="I79" s="275"/>
      <c r="J79" s="275"/>
      <c r="K79" s="275"/>
      <c r="L79" s="275"/>
      <c r="M79" s="275"/>
      <c r="N79" s="275"/>
    </row>
    <row r="80">
      <c r="B80" s="275"/>
      <c r="C80" s="275"/>
      <c r="D80" s="275"/>
      <c r="E80" s="275"/>
      <c r="F80" s="275"/>
      <c r="G80" s="275"/>
      <c r="H80" s="275"/>
      <c r="I80" s="275"/>
      <c r="J80" s="275"/>
      <c r="K80" s="275"/>
      <c r="L80" s="275"/>
      <c r="M80" s="275"/>
      <c r="N80" s="275"/>
    </row>
    <row r="81">
      <c r="B81" s="275"/>
      <c r="C81" s="275"/>
      <c r="D81" s="275"/>
      <c r="E81" s="275"/>
      <c r="F81" s="275"/>
      <c r="G81" s="275"/>
      <c r="H81" s="275"/>
      <c r="I81" s="275"/>
      <c r="J81" s="275"/>
      <c r="K81" s="275"/>
      <c r="L81" s="275"/>
      <c r="M81" s="275"/>
      <c r="N81" s="275"/>
    </row>
    <row r="82">
      <c r="B82" s="275"/>
      <c r="C82" s="275"/>
      <c r="D82" s="275"/>
      <c r="E82" s="275"/>
      <c r="F82" s="275"/>
      <c r="G82" s="275"/>
      <c r="H82" s="275"/>
      <c r="I82" s="275"/>
      <c r="J82" s="275"/>
      <c r="K82" s="275"/>
      <c r="L82" s="275"/>
      <c r="M82" s="275"/>
      <c r="N82" s="275"/>
    </row>
    <row r="83">
      <c r="B83" s="275"/>
      <c r="C83" s="275"/>
      <c r="D83" s="275"/>
      <c r="E83" s="275"/>
      <c r="F83" s="275"/>
      <c r="G83" s="275"/>
      <c r="H83" s="275"/>
      <c r="I83" s="275"/>
      <c r="J83" s="275"/>
      <c r="K83" s="275"/>
      <c r="L83" s="275"/>
      <c r="M83" s="275"/>
      <c r="N83" s="275"/>
    </row>
    <row r="84">
      <c r="B84" s="275"/>
      <c r="C84" s="275"/>
      <c r="D84" s="275"/>
      <c r="E84" s="275"/>
      <c r="F84" s="275"/>
      <c r="G84" s="275"/>
      <c r="H84" s="275"/>
      <c r="I84" s="275"/>
      <c r="J84" s="275"/>
      <c r="K84" s="275"/>
      <c r="L84" s="275"/>
      <c r="M84" s="275"/>
      <c r="N84" s="275"/>
    </row>
    <row r="85">
      <c r="B85" s="275"/>
      <c r="C85" s="275"/>
      <c r="D85" s="275"/>
      <c r="E85" s="275"/>
      <c r="F85" s="275"/>
      <c r="G85" s="275"/>
      <c r="H85" s="275"/>
      <c r="I85" s="275"/>
      <c r="J85" s="275"/>
      <c r="K85" s="275"/>
      <c r="L85" s="275"/>
      <c r="M85" s="275"/>
      <c r="N85" s="275"/>
    </row>
    <row r="86">
      <c r="B86" s="275"/>
      <c r="C86" s="275"/>
      <c r="D86" s="275"/>
      <c r="E86" s="275"/>
      <c r="F86" s="275"/>
      <c r="G86" s="275"/>
      <c r="H86" s="275"/>
      <c r="I86" s="275"/>
      <c r="J86" s="275"/>
      <c r="K86" s="275"/>
      <c r="L86" s="275"/>
      <c r="M86" s="275"/>
      <c r="N86" s="275"/>
    </row>
    <row r="87">
      <c r="B87" s="275"/>
      <c r="C87" s="275"/>
      <c r="D87" s="275"/>
      <c r="E87" s="275"/>
      <c r="F87" s="275"/>
      <c r="G87" s="275"/>
      <c r="H87" s="275"/>
      <c r="I87" s="275"/>
      <c r="J87" s="275"/>
      <c r="K87" s="275"/>
      <c r="L87" s="275"/>
      <c r="M87" s="275"/>
      <c r="N87" s="275"/>
    </row>
    <row r="88">
      <c r="B88" s="275"/>
      <c r="C88" s="275"/>
      <c r="D88" s="275"/>
      <c r="E88" s="275"/>
      <c r="F88" s="275"/>
      <c r="G88" s="275"/>
      <c r="H88" s="275"/>
      <c r="I88" s="275"/>
      <c r="J88" s="275"/>
      <c r="K88" s="275"/>
      <c r="L88" s="275"/>
      <c r="M88" s="275"/>
      <c r="N88" s="275"/>
    </row>
    <row r="89">
      <c r="B89" s="275"/>
      <c r="C89" s="275"/>
      <c r="D89" s="275"/>
      <c r="E89" s="275"/>
      <c r="F89" s="275"/>
      <c r="G89" s="275"/>
      <c r="H89" s="275"/>
      <c r="I89" s="275"/>
      <c r="J89" s="275"/>
      <c r="K89" s="275"/>
      <c r="L89" s="275"/>
      <c r="M89" s="275"/>
      <c r="N89" s="275"/>
    </row>
    <row r="90">
      <c r="B90" s="275"/>
      <c r="C90" s="275"/>
      <c r="D90" s="275"/>
      <c r="E90" s="275"/>
      <c r="F90" s="275"/>
      <c r="G90" s="275"/>
      <c r="H90" s="275"/>
      <c r="I90" s="275"/>
      <c r="J90" s="275"/>
      <c r="K90" s="275"/>
      <c r="L90" s="275"/>
      <c r="M90" s="275"/>
      <c r="N90" s="275"/>
    </row>
    <row r="91">
      <c r="B91" s="275"/>
      <c r="C91" s="275"/>
      <c r="D91" s="275"/>
      <c r="E91" s="275"/>
      <c r="F91" s="275"/>
      <c r="G91" s="275"/>
      <c r="H91" s="275"/>
      <c r="I91" s="275"/>
      <c r="J91" s="275"/>
      <c r="K91" s="275"/>
      <c r="L91" s="275"/>
      <c r="M91" s="275"/>
      <c r="N91" s="275"/>
    </row>
    <row r="92">
      <c r="B92" s="275"/>
      <c r="C92" s="275"/>
      <c r="D92" s="275"/>
      <c r="E92" s="275"/>
      <c r="F92" s="275"/>
      <c r="G92" s="275"/>
      <c r="H92" s="275"/>
      <c r="I92" s="275"/>
      <c r="J92" s="275"/>
      <c r="K92" s="275"/>
      <c r="L92" s="275"/>
      <c r="M92" s="275"/>
      <c r="N92" s="275"/>
    </row>
    <row r="93">
      <c r="B93" s="275"/>
      <c r="C93" s="275"/>
      <c r="D93" s="275"/>
      <c r="E93" s="275"/>
      <c r="F93" s="275"/>
      <c r="G93" s="275"/>
      <c r="H93" s="275"/>
      <c r="I93" s="275"/>
      <c r="J93" s="275"/>
      <c r="K93" s="275"/>
      <c r="L93" s="275"/>
      <c r="M93" s="275"/>
      <c r="N93" s="275"/>
    </row>
    <row r="94">
      <c r="B94" s="275"/>
      <c r="C94" s="275"/>
      <c r="D94" s="275"/>
      <c r="E94" s="275"/>
      <c r="F94" s="275"/>
      <c r="G94" s="275"/>
      <c r="H94" s="275"/>
      <c r="I94" s="275"/>
      <c r="J94" s="275"/>
      <c r="K94" s="275"/>
      <c r="L94" s="275"/>
      <c r="M94" s="275"/>
      <c r="N94" s="275"/>
    </row>
    <row r="95">
      <c r="B95" s="275"/>
      <c r="C95" s="275"/>
      <c r="D95" s="275"/>
      <c r="E95" s="275"/>
      <c r="F95" s="275"/>
      <c r="G95" s="275"/>
      <c r="H95" s="275"/>
      <c r="I95" s="275"/>
      <c r="J95" s="275"/>
      <c r="K95" s="275"/>
      <c r="L95" s="275"/>
      <c r="M95" s="275"/>
      <c r="N95" s="275"/>
    </row>
    <row r="96">
      <c r="B96" s="275"/>
      <c r="C96" s="275"/>
      <c r="D96" s="275"/>
      <c r="E96" s="275"/>
      <c r="F96" s="275"/>
      <c r="G96" s="275"/>
      <c r="H96" s="275"/>
      <c r="I96" s="275"/>
      <c r="J96" s="275"/>
      <c r="K96" s="275"/>
      <c r="L96" s="275"/>
      <c r="M96" s="275"/>
      <c r="N96" s="275"/>
    </row>
    <row r="97">
      <c r="B97" s="275"/>
      <c r="C97" s="275"/>
      <c r="D97" s="275"/>
      <c r="E97" s="275"/>
      <c r="F97" s="275"/>
      <c r="G97" s="275"/>
      <c r="H97" s="275"/>
      <c r="I97" s="275"/>
      <c r="J97" s="275"/>
      <c r="K97" s="275"/>
      <c r="L97" s="275"/>
      <c r="M97" s="275"/>
      <c r="N97" s="275"/>
    </row>
    <row r="98">
      <c r="B98" s="275"/>
      <c r="C98" s="275"/>
      <c r="D98" s="275"/>
      <c r="E98" s="275"/>
      <c r="F98" s="275"/>
      <c r="G98" s="275"/>
      <c r="H98" s="275"/>
      <c r="I98" s="275"/>
      <c r="J98" s="275"/>
      <c r="K98" s="275"/>
      <c r="L98" s="275"/>
      <c r="M98" s="275"/>
      <c r="N98" s="275"/>
    </row>
    <row r="99">
      <c r="B99" s="275"/>
      <c r="C99" s="275"/>
      <c r="D99" s="275"/>
      <c r="E99" s="275"/>
      <c r="F99" s="275"/>
      <c r="G99" s="275"/>
      <c r="H99" s="275"/>
      <c r="I99" s="275"/>
      <c r="J99" s="275"/>
      <c r="K99" s="275"/>
      <c r="L99" s="275"/>
      <c r="M99" s="275"/>
      <c r="N99" s="275"/>
    </row>
    <row r="100">
      <c r="B100" s="275"/>
      <c r="C100" s="275"/>
      <c r="D100" s="275"/>
      <c r="E100" s="275"/>
      <c r="F100" s="275"/>
      <c r="G100" s="275"/>
      <c r="H100" s="275"/>
      <c r="I100" s="275"/>
      <c r="J100" s="275"/>
      <c r="K100" s="275"/>
      <c r="L100" s="275"/>
      <c r="M100" s="275"/>
      <c r="N100" s="275"/>
    </row>
    <row r="101">
      <c r="B101" s="275"/>
      <c r="C101" s="275"/>
      <c r="D101" s="275"/>
      <c r="E101" s="275"/>
      <c r="F101" s="275"/>
      <c r="G101" s="275"/>
      <c r="H101" s="275"/>
      <c r="I101" s="275"/>
      <c r="J101" s="275"/>
      <c r="K101" s="275"/>
      <c r="L101" s="275"/>
      <c r="M101" s="275"/>
      <c r="N101" s="275"/>
    </row>
    <row r="102">
      <c r="B102" s="275"/>
      <c r="C102" s="275"/>
      <c r="D102" s="275"/>
      <c r="E102" s="275"/>
      <c r="F102" s="275"/>
      <c r="G102" s="275"/>
      <c r="H102" s="275"/>
      <c r="I102" s="275"/>
      <c r="J102" s="275"/>
      <c r="K102" s="275"/>
      <c r="L102" s="275"/>
      <c r="M102" s="275"/>
      <c r="N102" s="275"/>
    </row>
    <row r="103">
      <c r="B103" s="275"/>
      <c r="C103" s="275"/>
      <c r="D103" s="275"/>
      <c r="E103" s="275"/>
      <c r="F103" s="275"/>
      <c r="G103" s="275"/>
      <c r="H103" s="275"/>
      <c r="I103" s="275"/>
      <c r="J103" s="275"/>
      <c r="K103" s="275"/>
      <c r="L103" s="275"/>
      <c r="M103" s="275"/>
      <c r="N103" s="275"/>
    </row>
    <row r="104">
      <c r="B104" s="275"/>
      <c r="C104" s="275"/>
      <c r="D104" s="275"/>
      <c r="E104" s="275"/>
      <c r="F104" s="275"/>
      <c r="G104" s="275"/>
      <c r="H104" s="275"/>
      <c r="I104" s="275"/>
      <c r="J104" s="275"/>
      <c r="K104" s="275"/>
      <c r="L104" s="275"/>
      <c r="M104" s="275"/>
      <c r="N104" s="275"/>
    </row>
    <row r="105">
      <c r="B105" s="275"/>
      <c r="C105" s="275"/>
      <c r="D105" s="275"/>
      <c r="E105" s="275"/>
      <c r="F105" s="275"/>
      <c r="G105" s="275"/>
      <c r="H105" s="275"/>
      <c r="I105" s="275"/>
      <c r="J105" s="275"/>
      <c r="K105" s="275"/>
      <c r="L105" s="275"/>
      <c r="M105" s="275"/>
      <c r="N105" s="275"/>
    </row>
    <row r="106">
      <c r="B106" s="275"/>
      <c r="C106" s="275"/>
      <c r="D106" s="275"/>
      <c r="E106" s="275"/>
      <c r="F106" s="275"/>
      <c r="G106" s="275"/>
      <c r="H106" s="275"/>
      <c r="I106" s="275"/>
      <c r="J106" s="275"/>
      <c r="K106" s="275"/>
      <c r="L106" s="275"/>
      <c r="M106" s="275"/>
      <c r="N106" s="275"/>
    </row>
    <row r="107">
      <c r="B107" s="275"/>
      <c r="C107" s="275"/>
      <c r="D107" s="275"/>
      <c r="E107" s="275"/>
      <c r="F107" s="275"/>
      <c r="G107" s="275"/>
      <c r="H107" s="275"/>
      <c r="I107" s="275"/>
      <c r="J107" s="275"/>
      <c r="K107" s="275"/>
      <c r="L107" s="275"/>
      <c r="M107" s="275"/>
      <c r="N107" s="275"/>
    </row>
    <row r="108">
      <c r="B108" s="275"/>
      <c r="C108" s="275"/>
      <c r="D108" s="275"/>
      <c r="E108" s="275"/>
      <c r="F108" s="275"/>
      <c r="G108" s="275"/>
      <c r="H108" s="275"/>
      <c r="I108" s="275"/>
      <c r="J108" s="275"/>
      <c r="K108" s="275"/>
      <c r="L108" s="275"/>
      <c r="M108" s="275"/>
      <c r="N108" s="275"/>
    </row>
    <row r="109">
      <c r="B109" s="275"/>
      <c r="C109" s="275"/>
      <c r="D109" s="275"/>
      <c r="E109" s="275"/>
      <c r="F109" s="275"/>
      <c r="G109" s="275"/>
      <c r="H109" s="275"/>
      <c r="I109" s="275"/>
      <c r="J109" s="275"/>
      <c r="K109" s="275"/>
      <c r="L109" s="275"/>
      <c r="M109" s="275"/>
      <c r="N109" s="275"/>
    </row>
    <row r="110">
      <c r="B110" s="275"/>
      <c r="C110" s="275"/>
      <c r="D110" s="275"/>
      <c r="E110" s="275"/>
      <c r="F110" s="275"/>
      <c r="G110" s="275"/>
      <c r="H110" s="275"/>
      <c r="I110" s="275"/>
      <c r="J110" s="275"/>
      <c r="K110" s="275"/>
      <c r="L110" s="275"/>
      <c r="M110" s="275"/>
      <c r="N110" s="275"/>
    </row>
    <row r="111">
      <c r="B111" s="275"/>
      <c r="C111" s="275"/>
      <c r="D111" s="275"/>
      <c r="E111" s="275"/>
      <c r="F111" s="275"/>
      <c r="G111" s="275"/>
      <c r="H111" s="275"/>
      <c r="I111" s="275"/>
      <c r="J111" s="275"/>
      <c r="K111" s="275"/>
      <c r="L111" s="275"/>
      <c r="M111" s="275"/>
      <c r="N111" s="275"/>
    </row>
    <row r="112">
      <c r="B112" s="275"/>
      <c r="C112" s="275"/>
      <c r="D112" s="275"/>
      <c r="E112" s="275"/>
      <c r="F112" s="275"/>
      <c r="G112" s="275"/>
      <c r="H112" s="275"/>
      <c r="I112" s="275"/>
      <c r="J112" s="275"/>
      <c r="K112" s="275"/>
      <c r="L112" s="275"/>
      <c r="M112" s="275"/>
      <c r="N112" s="275"/>
    </row>
    <row r="113">
      <c r="B113" s="275"/>
      <c r="C113" s="275"/>
      <c r="D113" s="275"/>
      <c r="E113" s="275"/>
      <c r="F113" s="275"/>
      <c r="G113" s="275"/>
      <c r="H113" s="275"/>
      <c r="I113" s="275"/>
      <c r="J113" s="275"/>
      <c r="K113" s="275"/>
      <c r="L113" s="275"/>
      <c r="M113" s="275"/>
      <c r="N113" s="275"/>
    </row>
    <row r="114">
      <c r="B114" s="275"/>
      <c r="C114" s="275"/>
      <c r="D114" s="275"/>
      <c r="E114" s="275"/>
      <c r="F114" s="275"/>
      <c r="G114" s="275"/>
      <c r="H114" s="275"/>
      <c r="I114" s="275"/>
      <c r="J114" s="275"/>
      <c r="K114" s="275"/>
      <c r="L114" s="275"/>
      <c r="M114" s="275"/>
      <c r="N114" s="275"/>
    </row>
    <row r="115">
      <c r="B115" s="275"/>
      <c r="C115" s="275"/>
      <c r="D115" s="275"/>
      <c r="E115" s="275"/>
      <c r="F115" s="275"/>
      <c r="G115" s="275"/>
      <c r="H115" s="275"/>
      <c r="I115" s="275"/>
      <c r="J115" s="275"/>
      <c r="K115" s="275"/>
      <c r="L115" s="275"/>
      <c r="M115" s="275"/>
      <c r="N115" s="275"/>
    </row>
    <row r="116">
      <c r="B116" s="275"/>
      <c r="C116" s="275"/>
      <c r="D116" s="275"/>
      <c r="E116" s="275"/>
      <c r="F116" s="275"/>
      <c r="G116" s="275"/>
      <c r="H116" s="275"/>
      <c r="I116" s="275"/>
      <c r="J116" s="275"/>
      <c r="K116" s="275"/>
      <c r="L116" s="275"/>
      <c r="M116" s="275"/>
      <c r="N116" s="275"/>
    </row>
    <row r="117">
      <c r="B117" s="275"/>
      <c r="C117" s="275"/>
      <c r="D117" s="275"/>
      <c r="E117" s="275"/>
      <c r="F117" s="275"/>
      <c r="G117" s="275"/>
      <c r="H117" s="275"/>
      <c r="I117" s="275"/>
      <c r="J117" s="275"/>
      <c r="K117" s="275"/>
      <c r="L117" s="275"/>
      <c r="M117" s="275"/>
      <c r="N117" s="275"/>
    </row>
    <row r="118">
      <c r="B118" s="275"/>
      <c r="C118" s="275"/>
      <c r="D118" s="275"/>
      <c r="E118" s="275"/>
      <c r="F118" s="275"/>
      <c r="G118" s="275"/>
      <c r="H118" s="275"/>
      <c r="I118" s="275"/>
      <c r="J118" s="275"/>
      <c r="K118" s="275"/>
      <c r="L118" s="275"/>
      <c r="M118" s="275"/>
      <c r="N118" s="275"/>
    </row>
    <row r="119">
      <c r="B119" s="275"/>
      <c r="C119" s="275"/>
      <c r="D119" s="275"/>
      <c r="E119" s="275"/>
      <c r="F119" s="275"/>
      <c r="G119" s="275"/>
      <c r="H119" s="275"/>
      <c r="I119" s="275"/>
      <c r="J119" s="275"/>
      <c r="K119" s="275"/>
      <c r="L119" s="275"/>
      <c r="M119" s="275"/>
      <c r="N119" s="275"/>
    </row>
    <row r="120">
      <c r="B120" s="275"/>
      <c r="C120" s="275"/>
      <c r="D120" s="275"/>
      <c r="E120" s="275"/>
      <c r="F120" s="275"/>
      <c r="G120" s="275"/>
      <c r="H120" s="275"/>
      <c r="I120" s="275"/>
      <c r="J120" s="275"/>
      <c r="K120" s="275"/>
      <c r="L120" s="275"/>
      <c r="M120" s="275"/>
      <c r="N120" s="275"/>
    </row>
    <row r="121">
      <c r="B121" s="275"/>
      <c r="C121" s="275"/>
      <c r="D121" s="275"/>
      <c r="E121" s="275"/>
      <c r="F121" s="275"/>
      <c r="G121" s="275"/>
      <c r="H121" s="275"/>
      <c r="I121" s="275"/>
      <c r="J121" s="275"/>
      <c r="K121" s="275"/>
      <c r="L121" s="275"/>
      <c r="M121" s="275"/>
      <c r="N121" s="275"/>
    </row>
    <row r="122">
      <c r="B122" s="275"/>
      <c r="C122" s="275"/>
      <c r="D122" s="275"/>
      <c r="E122" s="275"/>
      <c r="F122" s="275"/>
      <c r="G122" s="275"/>
      <c r="H122" s="275"/>
      <c r="I122" s="275"/>
      <c r="J122" s="275"/>
      <c r="K122" s="275"/>
      <c r="L122" s="275"/>
      <c r="M122" s="275"/>
      <c r="N122" s="275"/>
    </row>
    <row r="123">
      <c r="B123" s="275"/>
      <c r="C123" s="275"/>
      <c r="D123" s="275"/>
      <c r="E123" s="275"/>
      <c r="F123" s="275"/>
      <c r="G123" s="275"/>
      <c r="H123" s="275"/>
      <c r="I123" s="275"/>
      <c r="J123" s="275"/>
      <c r="K123" s="275"/>
      <c r="L123" s="275"/>
      <c r="M123" s="275"/>
      <c r="N123" s="275"/>
    </row>
    <row r="124">
      <c r="B124" s="275"/>
      <c r="C124" s="275"/>
      <c r="D124" s="275"/>
      <c r="E124" s="275"/>
      <c r="F124" s="275"/>
      <c r="G124" s="275"/>
      <c r="H124" s="275"/>
      <c r="I124" s="275"/>
      <c r="J124" s="275"/>
      <c r="K124" s="275"/>
      <c r="L124" s="275"/>
      <c r="M124" s="275"/>
      <c r="N124" s="275"/>
    </row>
    <row r="125">
      <c r="B125" s="275"/>
      <c r="C125" s="275"/>
      <c r="D125" s="275"/>
      <c r="E125" s="275"/>
      <c r="F125" s="275"/>
      <c r="G125" s="275"/>
      <c r="H125" s="275"/>
      <c r="I125" s="275"/>
      <c r="J125" s="275"/>
      <c r="K125" s="275"/>
      <c r="L125" s="275"/>
      <c r="M125" s="275"/>
      <c r="N125" s="275"/>
    </row>
    <row r="126">
      <c r="B126" s="275"/>
      <c r="C126" s="275"/>
      <c r="D126" s="275"/>
      <c r="E126" s="275"/>
      <c r="F126" s="275"/>
      <c r="G126" s="275"/>
      <c r="H126" s="275"/>
      <c r="I126" s="275"/>
      <c r="J126" s="275"/>
      <c r="K126" s="275"/>
      <c r="L126" s="275"/>
      <c r="M126" s="275"/>
      <c r="N126" s="275"/>
    </row>
    <row r="127">
      <c r="B127" s="275"/>
      <c r="C127" s="275"/>
      <c r="D127" s="275"/>
      <c r="E127" s="275"/>
      <c r="F127" s="275"/>
      <c r="G127" s="275"/>
      <c r="H127" s="275"/>
      <c r="I127" s="275"/>
      <c r="J127" s="275"/>
      <c r="K127" s="275"/>
      <c r="L127" s="275"/>
      <c r="M127" s="275"/>
      <c r="N127" s="275"/>
    </row>
    <row r="128">
      <c r="B128" s="275"/>
      <c r="C128" s="275"/>
      <c r="D128" s="275"/>
      <c r="E128" s="275"/>
      <c r="F128" s="275"/>
      <c r="G128" s="275"/>
      <c r="H128" s="275"/>
      <c r="I128" s="275"/>
      <c r="J128" s="275"/>
      <c r="K128" s="275"/>
      <c r="L128" s="275"/>
      <c r="M128" s="275"/>
      <c r="N128" s="275"/>
    </row>
    <row r="129">
      <c r="B129" s="275"/>
      <c r="C129" s="275"/>
      <c r="D129" s="275"/>
      <c r="E129" s="275"/>
      <c r="F129" s="275"/>
      <c r="G129" s="275"/>
      <c r="H129" s="275"/>
      <c r="I129" s="275"/>
      <c r="J129" s="275"/>
      <c r="K129" s="275"/>
      <c r="L129" s="275"/>
      <c r="M129" s="275"/>
      <c r="N129" s="275"/>
    </row>
    <row r="130">
      <c r="B130" s="275"/>
      <c r="C130" s="275"/>
      <c r="D130" s="275"/>
      <c r="E130" s="275"/>
      <c r="F130" s="275"/>
      <c r="G130" s="275"/>
      <c r="H130" s="275"/>
      <c r="I130" s="275"/>
      <c r="J130" s="275"/>
      <c r="K130" s="275"/>
      <c r="L130" s="275"/>
      <c r="M130" s="275"/>
      <c r="N130" s="275"/>
    </row>
    <row r="131">
      <c r="B131" s="275"/>
      <c r="C131" s="275"/>
      <c r="D131" s="275"/>
      <c r="E131" s="275"/>
      <c r="F131" s="275"/>
      <c r="G131" s="275"/>
      <c r="H131" s="275"/>
      <c r="I131" s="275"/>
      <c r="J131" s="275"/>
      <c r="K131" s="275"/>
      <c r="L131" s="275"/>
      <c r="M131" s="275"/>
      <c r="N131" s="275"/>
    </row>
    <row r="132">
      <c r="B132" s="275"/>
      <c r="C132" s="275"/>
      <c r="D132" s="275"/>
      <c r="E132" s="275"/>
      <c r="F132" s="275"/>
      <c r="G132" s="275"/>
      <c r="H132" s="275"/>
      <c r="I132" s="275"/>
      <c r="J132" s="275"/>
      <c r="K132" s="275"/>
      <c r="L132" s="275"/>
      <c r="M132" s="275"/>
      <c r="N132" s="275"/>
    </row>
    <row r="133">
      <c r="B133" s="275"/>
      <c r="C133" s="275"/>
      <c r="D133" s="275"/>
      <c r="E133" s="275"/>
      <c r="F133" s="275"/>
      <c r="G133" s="275"/>
      <c r="H133" s="275"/>
      <c r="I133" s="275"/>
      <c r="J133" s="275"/>
      <c r="K133" s="275"/>
      <c r="L133" s="275"/>
      <c r="M133" s="275"/>
      <c r="N133" s="275"/>
    </row>
    <row r="134">
      <c r="B134" s="275"/>
      <c r="C134" s="275"/>
      <c r="D134" s="275"/>
      <c r="E134" s="275"/>
      <c r="F134" s="275"/>
      <c r="G134" s="275"/>
      <c r="H134" s="275"/>
      <c r="I134" s="275"/>
      <c r="J134" s="275"/>
      <c r="K134" s="275"/>
      <c r="L134" s="275"/>
      <c r="M134" s="275"/>
      <c r="N134" s="275"/>
    </row>
    <row r="135">
      <c r="B135" s="275"/>
      <c r="C135" s="275"/>
      <c r="D135" s="275"/>
      <c r="E135" s="275"/>
      <c r="F135" s="275"/>
      <c r="G135" s="275"/>
      <c r="H135" s="275"/>
      <c r="I135" s="275"/>
      <c r="J135" s="275"/>
      <c r="K135" s="275"/>
      <c r="L135" s="275"/>
      <c r="M135" s="275"/>
      <c r="N135" s="275"/>
    </row>
    <row r="136">
      <c r="B136" s="275"/>
      <c r="C136" s="275"/>
      <c r="D136" s="275"/>
      <c r="E136" s="275"/>
      <c r="F136" s="275"/>
      <c r="G136" s="275"/>
      <c r="H136" s="275"/>
      <c r="I136" s="275"/>
      <c r="J136" s="275"/>
      <c r="K136" s="275"/>
      <c r="L136" s="275"/>
      <c r="M136" s="275"/>
      <c r="N136" s="275"/>
    </row>
    <row r="137">
      <c r="B137" s="275"/>
      <c r="C137" s="275"/>
      <c r="D137" s="275"/>
      <c r="E137" s="275"/>
      <c r="F137" s="275"/>
      <c r="G137" s="275"/>
      <c r="H137" s="275"/>
      <c r="I137" s="275"/>
      <c r="J137" s="275"/>
      <c r="K137" s="275"/>
      <c r="L137" s="275"/>
      <c r="M137" s="275"/>
      <c r="N137" s="275"/>
    </row>
    <row r="138">
      <c r="B138" s="275"/>
      <c r="C138" s="275"/>
      <c r="D138" s="275"/>
      <c r="E138" s="275"/>
      <c r="F138" s="275"/>
      <c r="G138" s="275"/>
      <c r="H138" s="275"/>
      <c r="I138" s="275"/>
      <c r="J138" s="275"/>
      <c r="K138" s="275"/>
      <c r="L138" s="275"/>
      <c r="M138" s="275"/>
      <c r="N138" s="275"/>
    </row>
    <row r="139">
      <c r="B139" s="275"/>
      <c r="C139" s="275"/>
      <c r="D139" s="275"/>
      <c r="E139" s="275"/>
      <c r="F139" s="275"/>
      <c r="G139" s="275"/>
      <c r="H139" s="275"/>
      <c r="I139" s="275"/>
      <c r="J139" s="275"/>
      <c r="K139" s="275"/>
      <c r="L139" s="275"/>
      <c r="M139" s="275"/>
      <c r="N139" s="275"/>
    </row>
    <row r="140">
      <c r="B140" s="275"/>
      <c r="C140" s="275"/>
      <c r="D140" s="275"/>
      <c r="E140" s="275"/>
      <c r="F140" s="275"/>
      <c r="G140" s="275"/>
      <c r="H140" s="275"/>
      <c r="I140" s="275"/>
      <c r="J140" s="275"/>
      <c r="K140" s="275"/>
      <c r="L140" s="275"/>
      <c r="M140" s="275"/>
      <c r="N140" s="275"/>
    </row>
    <row r="141">
      <c r="B141" s="275"/>
      <c r="C141" s="275"/>
      <c r="D141" s="275"/>
      <c r="E141" s="275"/>
      <c r="F141" s="275"/>
      <c r="G141" s="275"/>
      <c r="H141" s="275"/>
      <c r="I141" s="275"/>
      <c r="J141" s="275"/>
      <c r="K141" s="275"/>
      <c r="L141" s="275"/>
      <c r="M141" s="275"/>
      <c r="N141" s="275"/>
    </row>
    <row r="142">
      <c r="B142" s="275"/>
      <c r="C142" s="275"/>
      <c r="D142" s="275"/>
      <c r="E142" s="275"/>
      <c r="F142" s="275"/>
      <c r="G142" s="275"/>
      <c r="H142" s="275"/>
      <c r="I142" s="275"/>
      <c r="J142" s="275"/>
      <c r="K142" s="275"/>
      <c r="L142" s="275"/>
      <c r="M142" s="275"/>
      <c r="N142" s="275"/>
    </row>
    <row r="143">
      <c r="B143" s="275"/>
      <c r="C143" s="275"/>
      <c r="D143" s="275"/>
      <c r="E143" s="275"/>
      <c r="F143" s="275"/>
      <c r="G143" s="275"/>
      <c r="H143" s="275"/>
      <c r="I143" s="275"/>
      <c r="J143" s="275"/>
      <c r="K143" s="275"/>
      <c r="L143" s="275"/>
      <c r="M143" s="275"/>
      <c r="N143" s="275"/>
    </row>
    <row r="144">
      <c r="B144" s="275"/>
      <c r="C144" s="275"/>
      <c r="D144" s="275"/>
      <c r="E144" s="275"/>
      <c r="F144" s="275"/>
      <c r="G144" s="275"/>
      <c r="H144" s="275"/>
      <c r="I144" s="275"/>
      <c r="J144" s="275"/>
      <c r="K144" s="275"/>
      <c r="L144" s="275"/>
      <c r="M144" s="275"/>
      <c r="N144" s="275"/>
    </row>
    <row r="145">
      <c r="B145" s="275"/>
      <c r="C145" s="275"/>
      <c r="D145" s="275"/>
      <c r="E145" s="275"/>
      <c r="F145" s="275"/>
      <c r="G145" s="275"/>
      <c r="H145" s="275"/>
      <c r="I145" s="275"/>
      <c r="J145" s="275"/>
      <c r="K145" s="275"/>
      <c r="L145" s="275"/>
      <c r="M145" s="275"/>
      <c r="N145" s="275"/>
    </row>
    <row r="146">
      <c r="B146" s="275"/>
      <c r="C146" s="275"/>
      <c r="D146" s="275"/>
      <c r="E146" s="275"/>
      <c r="F146" s="275"/>
      <c r="G146" s="275"/>
      <c r="H146" s="275"/>
      <c r="I146" s="275"/>
      <c r="J146" s="275"/>
      <c r="K146" s="275"/>
      <c r="L146" s="275"/>
      <c r="M146" s="275"/>
      <c r="N146" s="275"/>
    </row>
    <row r="147">
      <c r="B147" s="275"/>
      <c r="C147" s="275"/>
      <c r="D147" s="275"/>
      <c r="E147" s="275"/>
      <c r="F147" s="275"/>
      <c r="G147" s="275"/>
      <c r="H147" s="275"/>
      <c r="I147" s="275"/>
      <c r="J147" s="275"/>
      <c r="K147" s="275"/>
      <c r="L147" s="275"/>
      <c r="M147" s="275"/>
      <c r="N147" s="275"/>
    </row>
    <row r="148">
      <c r="B148" s="275"/>
      <c r="C148" s="275"/>
      <c r="D148" s="275"/>
      <c r="E148" s="275"/>
      <c r="F148" s="275"/>
      <c r="G148" s="275"/>
      <c r="H148" s="275"/>
      <c r="I148" s="275"/>
      <c r="J148" s="275"/>
      <c r="K148" s="275"/>
      <c r="L148" s="275"/>
      <c r="M148" s="275"/>
      <c r="N148" s="275"/>
    </row>
    <row r="149">
      <c r="B149" s="275"/>
      <c r="C149" s="275"/>
      <c r="D149" s="275"/>
      <c r="E149" s="275"/>
      <c r="F149" s="275"/>
      <c r="G149" s="275"/>
      <c r="H149" s="275"/>
      <c r="I149" s="275"/>
      <c r="J149" s="275"/>
      <c r="K149" s="275"/>
      <c r="L149" s="275"/>
      <c r="M149" s="275"/>
      <c r="N149" s="275"/>
    </row>
    <row r="150">
      <c r="B150" s="275"/>
      <c r="C150" s="275"/>
      <c r="D150" s="275"/>
      <c r="E150" s="275"/>
      <c r="F150" s="275"/>
      <c r="G150" s="275"/>
      <c r="H150" s="275"/>
      <c r="I150" s="275"/>
      <c r="J150" s="275"/>
      <c r="K150" s="275"/>
      <c r="L150" s="275"/>
      <c r="M150" s="275"/>
      <c r="N150" s="275"/>
    </row>
    <row r="151">
      <c r="B151" s="275"/>
      <c r="C151" s="275"/>
      <c r="D151" s="275"/>
      <c r="E151" s="275"/>
      <c r="F151" s="275"/>
      <c r="G151" s="275"/>
      <c r="H151" s="275"/>
      <c r="I151" s="275"/>
      <c r="J151" s="275"/>
      <c r="K151" s="275"/>
      <c r="L151" s="275"/>
      <c r="M151" s="275"/>
      <c r="N151" s="275"/>
    </row>
    <row r="152">
      <c r="B152" s="275"/>
      <c r="C152" s="275"/>
      <c r="D152" s="275"/>
      <c r="E152" s="275"/>
      <c r="F152" s="275"/>
      <c r="G152" s="275"/>
      <c r="H152" s="275"/>
      <c r="I152" s="275"/>
      <c r="J152" s="275"/>
      <c r="K152" s="275"/>
      <c r="L152" s="275"/>
      <c r="M152" s="275"/>
      <c r="N152" s="275"/>
    </row>
    <row r="153">
      <c r="B153" s="275"/>
      <c r="C153" s="275"/>
      <c r="D153" s="275"/>
      <c r="E153" s="275"/>
      <c r="F153" s="275"/>
      <c r="G153" s="275"/>
      <c r="H153" s="275"/>
      <c r="I153" s="275"/>
      <c r="J153" s="275"/>
      <c r="K153" s="275"/>
      <c r="L153" s="275"/>
      <c r="M153" s="275"/>
      <c r="N153" s="275"/>
    </row>
    <row r="154">
      <c r="B154" s="275"/>
      <c r="C154" s="275"/>
      <c r="D154" s="275"/>
      <c r="E154" s="275"/>
      <c r="F154" s="275"/>
      <c r="G154" s="275"/>
      <c r="H154" s="275"/>
      <c r="I154" s="275"/>
      <c r="J154" s="275"/>
      <c r="K154" s="275"/>
      <c r="L154" s="275"/>
      <c r="M154" s="275"/>
      <c r="N154" s="275"/>
    </row>
    <row r="155">
      <c r="B155" s="275"/>
      <c r="C155" s="275"/>
      <c r="D155" s="275"/>
      <c r="E155" s="275"/>
      <c r="F155" s="275"/>
      <c r="G155" s="275"/>
      <c r="H155" s="275"/>
      <c r="I155" s="275"/>
      <c r="J155" s="275"/>
      <c r="K155" s="275"/>
      <c r="L155" s="275"/>
      <c r="M155" s="275"/>
      <c r="N155" s="275"/>
    </row>
    <row r="156">
      <c r="B156" s="275"/>
      <c r="C156" s="275"/>
      <c r="D156" s="275"/>
      <c r="E156" s="275"/>
      <c r="F156" s="275"/>
      <c r="G156" s="275"/>
      <c r="H156" s="275"/>
      <c r="I156" s="275"/>
      <c r="J156" s="275"/>
      <c r="K156" s="275"/>
      <c r="L156" s="275"/>
      <c r="M156" s="275"/>
      <c r="N156" s="275"/>
    </row>
    <row r="157">
      <c r="B157" s="275"/>
      <c r="C157" s="275"/>
      <c r="D157" s="275"/>
      <c r="E157" s="275"/>
      <c r="F157" s="275"/>
      <c r="G157" s="275"/>
      <c r="H157" s="275"/>
      <c r="I157" s="275"/>
      <c r="J157" s="275"/>
      <c r="K157" s="275"/>
      <c r="L157" s="275"/>
      <c r="M157" s="275"/>
      <c r="N157" s="275"/>
    </row>
    <row r="158">
      <c r="B158" s="275"/>
      <c r="C158" s="275"/>
      <c r="D158" s="275"/>
      <c r="E158" s="275"/>
      <c r="F158" s="275"/>
      <c r="G158" s="275"/>
      <c r="H158" s="275"/>
      <c r="I158" s="275"/>
      <c r="J158" s="275"/>
      <c r="K158" s="275"/>
      <c r="L158" s="275"/>
      <c r="M158" s="275"/>
      <c r="N158" s="275"/>
    </row>
    <row r="159">
      <c r="B159" s="275"/>
      <c r="C159" s="275"/>
      <c r="D159" s="275"/>
      <c r="E159" s="275"/>
      <c r="F159" s="275"/>
      <c r="G159" s="275"/>
      <c r="H159" s="275"/>
      <c r="I159" s="275"/>
      <c r="J159" s="275"/>
      <c r="K159" s="275"/>
      <c r="L159" s="275"/>
      <c r="M159" s="275"/>
      <c r="N159" s="275"/>
    </row>
    <row r="160">
      <c r="B160" s="275"/>
      <c r="C160" s="275"/>
      <c r="D160" s="275"/>
      <c r="E160" s="275"/>
      <c r="F160" s="275"/>
      <c r="G160" s="275"/>
      <c r="H160" s="275"/>
      <c r="I160" s="275"/>
      <c r="J160" s="275"/>
      <c r="K160" s="275"/>
      <c r="L160" s="275"/>
      <c r="M160" s="275"/>
      <c r="N160" s="275"/>
    </row>
    <row r="161">
      <c r="B161" s="275"/>
      <c r="C161" s="275"/>
      <c r="D161" s="275"/>
      <c r="E161" s="275"/>
      <c r="F161" s="275"/>
      <c r="G161" s="275"/>
      <c r="H161" s="275"/>
      <c r="I161" s="275"/>
      <c r="J161" s="275"/>
      <c r="K161" s="275"/>
      <c r="L161" s="275"/>
      <c r="M161" s="275"/>
      <c r="N161" s="275"/>
    </row>
    <row r="162">
      <c r="B162" s="275"/>
      <c r="C162" s="275"/>
      <c r="D162" s="275"/>
      <c r="E162" s="275"/>
      <c r="F162" s="275"/>
      <c r="G162" s="275"/>
      <c r="H162" s="275"/>
      <c r="I162" s="275"/>
      <c r="J162" s="275"/>
      <c r="K162" s="275"/>
      <c r="L162" s="275"/>
      <c r="M162" s="275"/>
      <c r="N162" s="275"/>
    </row>
    <row r="163">
      <c r="B163" s="275"/>
      <c r="C163" s="275"/>
      <c r="D163" s="275"/>
      <c r="E163" s="275"/>
      <c r="F163" s="275"/>
      <c r="G163" s="275"/>
      <c r="H163" s="275"/>
      <c r="I163" s="275"/>
      <c r="J163" s="275"/>
      <c r="K163" s="275"/>
      <c r="L163" s="275"/>
      <c r="M163" s="275"/>
      <c r="N163" s="275"/>
    </row>
    <row r="164">
      <c r="B164" s="275"/>
      <c r="C164" s="275"/>
      <c r="D164" s="275"/>
      <c r="E164" s="275"/>
      <c r="F164" s="275"/>
      <c r="G164" s="275"/>
      <c r="H164" s="275"/>
      <c r="I164" s="275"/>
      <c r="J164" s="275"/>
      <c r="K164" s="275"/>
      <c r="L164" s="275"/>
      <c r="M164" s="275"/>
      <c r="N164" s="275"/>
    </row>
    <row r="165">
      <c r="B165" s="275"/>
      <c r="C165" s="275"/>
      <c r="D165" s="275"/>
      <c r="E165" s="275"/>
      <c r="F165" s="275"/>
      <c r="G165" s="275"/>
      <c r="H165" s="275"/>
      <c r="I165" s="275"/>
      <c r="J165" s="275"/>
      <c r="K165" s="275"/>
      <c r="L165" s="275"/>
      <c r="M165" s="275"/>
      <c r="N165" s="275"/>
    </row>
    <row r="166">
      <c r="B166" s="275"/>
      <c r="C166" s="275"/>
      <c r="D166" s="275"/>
      <c r="E166" s="275"/>
      <c r="F166" s="275"/>
      <c r="G166" s="275"/>
      <c r="H166" s="275"/>
      <c r="I166" s="275"/>
      <c r="J166" s="275"/>
      <c r="K166" s="275"/>
      <c r="L166" s="275"/>
      <c r="M166" s="275"/>
      <c r="N166" s="275"/>
    </row>
    <row r="167">
      <c r="B167" s="275"/>
      <c r="C167" s="275"/>
      <c r="D167" s="275"/>
      <c r="E167" s="275"/>
      <c r="F167" s="275"/>
      <c r="G167" s="275"/>
      <c r="H167" s="275"/>
      <c r="I167" s="275"/>
      <c r="J167" s="275"/>
      <c r="K167" s="275"/>
      <c r="L167" s="275"/>
      <c r="M167" s="275"/>
      <c r="N167" s="275"/>
    </row>
    <row r="168">
      <c r="B168" s="275"/>
      <c r="C168" s="275"/>
      <c r="D168" s="275"/>
      <c r="E168" s="275"/>
      <c r="F168" s="275"/>
      <c r="G168" s="275"/>
      <c r="H168" s="275"/>
      <c r="I168" s="275"/>
      <c r="J168" s="275"/>
      <c r="K168" s="275"/>
      <c r="L168" s="275"/>
      <c r="M168" s="275"/>
      <c r="N168" s="275"/>
    </row>
    <row r="169">
      <c r="B169" s="275"/>
      <c r="C169" s="275"/>
      <c r="D169" s="275"/>
      <c r="E169" s="275"/>
      <c r="F169" s="275"/>
      <c r="G169" s="275"/>
      <c r="H169" s="275"/>
      <c r="I169" s="275"/>
      <c r="J169" s="275"/>
      <c r="K169" s="275"/>
      <c r="L169" s="275"/>
      <c r="M169" s="275"/>
      <c r="N169" s="275"/>
    </row>
    <row r="170">
      <c r="B170" s="275"/>
      <c r="C170" s="275"/>
      <c r="D170" s="275"/>
      <c r="E170" s="275"/>
      <c r="F170" s="275"/>
      <c r="G170" s="275"/>
      <c r="H170" s="275"/>
      <c r="I170" s="275"/>
      <c r="J170" s="275"/>
      <c r="K170" s="275"/>
      <c r="L170" s="275"/>
      <c r="M170" s="275"/>
      <c r="N170" s="275"/>
    </row>
    <row r="171">
      <c r="B171" s="275"/>
      <c r="C171" s="275"/>
      <c r="D171" s="275"/>
      <c r="E171" s="275"/>
      <c r="F171" s="275"/>
      <c r="G171" s="275"/>
      <c r="H171" s="275"/>
      <c r="I171" s="275"/>
      <c r="J171" s="275"/>
      <c r="K171" s="275"/>
      <c r="L171" s="275"/>
      <c r="M171" s="275"/>
      <c r="N171" s="275"/>
    </row>
    <row r="172">
      <c r="B172" s="275"/>
      <c r="C172" s="275"/>
      <c r="D172" s="275"/>
      <c r="E172" s="275"/>
      <c r="F172" s="275"/>
      <c r="G172" s="275"/>
      <c r="H172" s="275"/>
      <c r="I172" s="275"/>
      <c r="J172" s="275"/>
      <c r="K172" s="275"/>
      <c r="L172" s="275"/>
      <c r="M172" s="275"/>
      <c r="N172" s="275"/>
    </row>
    <row r="173">
      <c r="B173" s="275"/>
      <c r="C173" s="275"/>
      <c r="D173" s="275"/>
      <c r="E173" s="275"/>
      <c r="F173" s="275"/>
      <c r="G173" s="275"/>
      <c r="H173" s="275"/>
      <c r="I173" s="275"/>
      <c r="J173" s="275"/>
      <c r="K173" s="275"/>
      <c r="L173" s="275"/>
      <c r="M173" s="275"/>
      <c r="N173" s="275"/>
    </row>
    <row r="174">
      <c r="B174" s="275"/>
      <c r="C174" s="275"/>
      <c r="D174" s="275"/>
      <c r="E174" s="275"/>
      <c r="F174" s="275"/>
      <c r="G174" s="275"/>
      <c r="H174" s="275"/>
      <c r="I174" s="275"/>
      <c r="J174" s="275"/>
      <c r="K174" s="275"/>
      <c r="L174" s="275"/>
      <c r="M174" s="275"/>
      <c r="N174" s="275"/>
    </row>
    <row r="175">
      <c r="B175" s="275"/>
      <c r="C175" s="275"/>
      <c r="D175" s="275"/>
      <c r="E175" s="275"/>
      <c r="F175" s="275"/>
      <c r="G175" s="275"/>
      <c r="H175" s="275"/>
      <c r="I175" s="275"/>
      <c r="J175" s="275"/>
      <c r="K175" s="275"/>
      <c r="L175" s="275"/>
      <c r="M175" s="275"/>
      <c r="N175" s="275"/>
    </row>
    <row r="176">
      <c r="B176" s="275"/>
      <c r="C176" s="275"/>
      <c r="D176" s="275"/>
      <c r="E176" s="275"/>
      <c r="F176" s="275"/>
      <c r="G176" s="275"/>
      <c r="H176" s="275"/>
      <c r="I176" s="275"/>
      <c r="J176" s="275"/>
      <c r="K176" s="275"/>
      <c r="L176" s="275"/>
      <c r="M176" s="275"/>
      <c r="N176" s="275"/>
    </row>
    <row r="177">
      <c r="B177" s="275"/>
      <c r="C177" s="275"/>
      <c r="D177" s="275"/>
      <c r="E177" s="275"/>
      <c r="F177" s="275"/>
      <c r="G177" s="275"/>
      <c r="H177" s="275"/>
      <c r="I177" s="275"/>
      <c r="J177" s="275"/>
      <c r="K177" s="275"/>
      <c r="L177" s="275"/>
      <c r="M177" s="275"/>
      <c r="N177" s="275"/>
    </row>
    <row r="178">
      <c r="B178" s="275"/>
      <c r="C178" s="275"/>
      <c r="D178" s="275"/>
      <c r="E178" s="275"/>
      <c r="F178" s="275"/>
      <c r="G178" s="275"/>
      <c r="H178" s="275"/>
      <c r="I178" s="275"/>
      <c r="J178" s="275"/>
      <c r="K178" s="275"/>
      <c r="L178" s="275"/>
      <c r="M178" s="275"/>
      <c r="N178" s="275"/>
    </row>
    <row r="179">
      <c r="B179" s="275"/>
      <c r="C179" s="275"/>
      <c r="D179" s="275"/>
      <c r="E179" s="275"/>
      <c r="F179" s="275"/>
      <c r="G179" s="275"/>
      <c r="H179" s="275"/>
      <c r="I179" s="275"/>
      <c r="J179" s="275"/>
      <c r="K179" s="275"/>
      <c r="L179" s="275"/>
      <c r="M179" s="275"/>
      <c r="N179" s="275"/>
    </row>
    <row r="180">
      <c r="B180" s="275"/>
      <c r="C180" s="275"/>
      <c r="D180" s="275"/>
      <c r="E180" s="275"/>
      <c r="F180" s="275"/>
      <c r="G180" s="275"/>
      <c r="H180" s="275"/>
      <c r="I180" s="275"/>
      <c r="J180" s="275"/>
      <c r="K180" s="275"/>
      <c r="L180" s="275"/>
      <c r="M180" s="275"/>
      <c r="N180" s="275"/>
    </row>
    <row r="181">
      <c r="B181" s="275"/>
      <c r="C181" s="275"/>
      <c r="D181" s="275"/>
      <c r="E181" s="275"/>
      <c r="F181" s="275"/>
      <c r="G181" s="275"/>
      <c r="H181" s="275"/>
      <c r="I181" s="275"/>
      <c r="J181" s="275"/>
      <c r="K181" s="275"/>
      <c r="L181" s="275"/>
      <c r="M181" s="275"/>
      <c r="N181" s="275"/>
    </row>
    <row r="182">
      <c r="B182" s="275"/>
      <c r="C182" s="275"/>
      <c r="D182" s="275"/>
      <c r="E182" s="275"/>
      <c r="F182" s="275"/>
      <c r="G182" s="275"/>
      <c r="H182" s="275"/>
      <c r="I182" s="275"/>
      <c r="J182" s="275"/>
      <c r="K182" s="275"/>
      <c r="L182" s="275"/>
      <c r="M182" s="275"/>
      <c r="N182" s="275"/>
    </row>
    <row r="183">
      <c r="B183" s="275"/>
      <c r="C183" s="275"/>
      <c r="D183" s="275"/>
      <c r="E183" s="275"/>
      <c r="F183" s="275"/>
      <c r="G183" s="275"/>
      <c r="H183" s="275"/>
      <c r="I183" s="275"/>
      <c r="J183" s="275"/>
      <c r="K183" s="275"/>
      <c r="L183" s="275"/>
      <c r="M183" s="275"/>
      <c r="N183" s="275"/>
    </row>
    <row r="184">
      <c r="B184" s="275"/>
      <c r="C184" s="275"/>
      <c r="D184" s="275"/>
      <c r="E184" s="275"/>
      <c r="F184" s="275"/>
      <c r="G184" s="275"/>
      <c r="H184" s="275"/>
      <c r="I184" s="275"/>
      <c r="J184" s="275"/>
      <c r="K184" s="275"/>
      <c r="L184" s="275"/>
      <c r="M184" s="275"/>
      <c r="N184" s="275"/>
    </row>
    <row r="185">
      <c r="B185" s="275"/>
      <c r="C185" s="275"/>
      <c r="D185" s="275"/>
      <c r="E185" s="275"/>
      <c r="F185" s="275"/>
      <c r="G185" s="275"/>
      <c r="H185" s="275"/>
      <c r="I185" s="275"/>
      <c r="J185" s="275"/>
      <c r="K185" s="275"/>
      <c r="L185" s="275"/>
      <c r="M185" s="275"/>
      <c r="N185" s="275"/>
    </row>
    <row r="186">
      <c r="B186" s="275"/>
      <c r="C186" s="275"/>
      <c r="D186" s="275"/>
      <c r="E186" s="275"/>
      <c r="F186" s="275"/>
      <c r="G186" s="275"/>
      <c r="H186" s="275"/>
      <c r="I186" s="275"/>
      <c r="J186" s="275"/>
      <c r="K186" s="275"/>
      <c r="L186" s="275"/>
      <c r="M186" s="275"/>
      <c r="N186" s="275"/>
    </row>
    <row r="187">
      <c r="B187" s="275"/>
      <c r="C187" s="275"/>
      <c r="D187" s="275"/>
      <c r="E187" s="275"/>
      <c r="F187" s="275"/>
      <c r="G187" s="275"/>
      <c r="H187" s="275"/>
      <c r="I187" s="275"/>
      <c r="J187" s="275"/>
      <c r="K187" s="275"/>
      <c r="L187" s="275"/>
      <c r="M187" s="275"/>
      <c r="N187" s="275"/>
    </row>
    <row r="188">
      <c r="B188" s="275"/>
      <c r="C188" s="275"/>
      <c r="D188" s="275"/>
      <c r="E188" s="275"/>
      <c r="F188" s="275"/>
      <c r="G188" s="275"/>
      <c r="H188" s="275"/>
      <c r="I188" s="275"/>
      <c r="J188" s="275"/>
      <c r="K188" s="275"/>
      <c r="L188" s="275"/>
      <c r="M188" s="275"/>
      <c r="N188" s="275"/>
    </row>
    <row r="189">
      <c r="B189" s="275"/>
      <c r="C189" s="275"/>
      <c r="D189" s="275"/>
      <c r="E189" s="275"/>
      <c r="F189" s="275"/>
      <c r="G189" s="275"/>
      <c r="H189" s="275"/>
      <c r="I189" s="275"/>
      <c r="J189" s="275"/>
      <c r="K189" s="275"/>
      <c r="L189" s="275"/>
      <c r="M189" s="275"/>
      <c r="N189" s="275"/>
    </row>
    <row r="190">
      <c r="B190" s="275"/>
      <c r="C190" s="275"/>
      <c r="D190" s="275"/>
      <c r="E190" s="275"/>
      <c r="F190" s="275"/>
      <c r="G190" s="275"/>
      <c r="H190" s="275"/>
      <c r="I190" s="275"/>
      <c r="J190" s="275"/>
      <c r="K190" s="275"/>
      <c r="L190" s="275"/>
      <c r="M190" s="275"/>
      <c r="N190" s="275"/>
    </row>
    <row r="191">
      <c r="B191" s="275"/>
      <c r="C191" s="275"/>
      <c r="D191" s="275"/>
      <c r="E191" s="275"/>
      <c r="F191" s="275"/>
      <c r="G191" s="275"/>
      <c r="H191" s="275"/>
      <c r="I191" s="275"/>
      <c r="J191" s="275"/>
      <c r="K191" s="275"/>
      <c r="L191" s="275"/>
      <c r="M191" s="275"/>
      <c r="N191" s="275"/>
    </row>
    <row r="192">
      <c r="B192" s="275"/>
      <c r="C192" s="275"/>
      <c r="D192" s="275"/>
      <c r="E192" s="275"/>
      <c r="F192" s="275"/>
      <c r="G192" s="275"/>
      <c r="H192" s="275"/>
      <c r="I192" s="275"/>
      <c r="J192" s="275"/>
      <c r="K192" s="275"/>
      <c r="L192" s="275"/>
      <c r="M192" s="275"/>
      <c r="N192" s="275"/>
    </row>
    <row r="193">
      <c r="B193" s="275"/>
      <c r="C193" s="275"/>
      <c r="D193" s="275"/>
      <c r="E193" s="275"/>
      <c r="F193" s="275"/>
      <c r="G193" s="275"/>
      <c r="H193" s="275"/>
      <c r="I193" s="275"/>
      <c r="J193" s="275"/>
      <c r="K193" s="275"/>
      <c r="L193" s="275"/>
      <c r="M193" s="275"/>
      <c r="N193" s="275"/>
    </row>
    <row r="194">
      <c r="B194" s="275"/>
      <c r="C194" s="275"/>
      <c r="D194" s="275"/>
      <c r="E194" s="275"/>
      <c r="F194" s="275"/>
      <c r="G194" s="275"/>
      <c r="H194" s="275"/>
      <c r="I194" s="275"/>
      <c r="J194" s="275"/>
      <c r="K194" s="275"/>
      <c r="L194" s="275"/>
      <c r="M194" s="275"/>
      <c r="N194" s="275"/>
    </row>
    <row r="195">
      <c r="B195" s="275"/>
      <c r="C195" s="275"/>
      <c r="D195" s="275"/>
      <c r="E195" s="275"/>
      <c r="F195" s="275"/>
      <c r="G195" s="275"/>
      <c r="H195" s="275"/>
      <c r="I195" s="275"/>
      <c r="J195" s="275"/>
      <c r="K195" s="275"/>
      <c r="L195" s="275"/>
      <c r="M195" s="275"/>
      <c r="N195" s="275"/>
    </row>
    <row r="196">
      <c r="B196" s="275"/>
      <c r="C196" s="275"/>
      <c r="D196" s="275"/>
      <c r="E196" s="275"/>
      <c r="F196" s="275"/>
      <c r="G196" s="275"/>
      <c r="H196" s="275"/>
      <c r="I196" s="275"/>
      <c r="J196" s="275"/>
      <c r="K196" s="275"/>
      <c r="L196" s="275"/>
      <c r="M196" s="275"/>
      <c r="N196" s="275"/>
    </row>
    <row r="197">
      <c r="B197" s="275"/>
      <c r="C197" s="275"/>
      <c r="D197" s="275"/>
      <c r="E197" s="275"/>
      <c r="F197" s="275"/>
      <c r="G197" s="275"/>
      <c r="H197" s="275"/>
      <c r="I197" s="275"/>
      <c r="J197" s="275"/>
      <c r="K197" s="275"/>
      <c r="L197" s="275"/>
      <c r="M197" s="275"/>
      <c r="N197" s="275"/>
    </row>
    <row r="198">
      <c r="B198" s="275"/>
      <c r="C198" s="275"/>
      <c r="D198" s="275"/>
      <c r="E198" s="275"/>
      <c r="F198" s="275"/>
      <c r="G198" s="275"/>
      <c r="H198" s="275"/>
      <c r="I198" s="275"/>
      <c r="J198" s="275"/>
      <c r="K198" s="275"/>
      <c r="L198" s="275"/>
      <c r="M198" s="275"/>
      <c r="N198" s="275"/>
    </row>
    <row r="199">
      <c r="B199" s="275"/>
      <c r="C199" s="275"/>
      <c r="D199" s="275"/>
      <c r="E199" s="275"/>
      <c r="F199" s="275"/>
      <c r="G199" s="275"/>
      <c r="H199" s="275"/>
      <c r="I199" s="275"/>
      <c r="J199" s="275"/>
      <c r="K199" s="275"/>
      <c r="L199" s="275"/>
      <c r="M199" s="275"/>
      <c r="N199" s="275"/>
    </row>
    <row r="200">
      <c r="B200" s="275"/>
      <c r="C200" s="275"/>
      <c r="D200" s="275"/>
      <c r="E200" s="275"/>
      <c r="F200" s="275"/>
      <c r="G200" s="275"/>
      <c r="H200" s="275"/>
      <c r="I200" s="275"/>
      <c r="J200" s="275"/>
      <c r="K200" s="275"/>
      <c r="L200" s="275"/>
      <c r="M200" s="275"/>
      <c r="N200" s="275"/>
    </row>
    <row r="201">
      <c r="B201" s="275"/>
      <c r="C201" s="275"/>
      <c r="D201" s="275"/>
      <c r="E201" s="275"/>
      <c r="F201" s="275"/>
      <c r="G201" s="275"/>
      <c r="H201" s="275"/>
      <c r="I201" s="275"/>
      <c r="J201" s="275"/>
      <c r="K201" s="275"/>
      <c r="L201" s="275"/>
      <c r="M201" s="275"/>
      <c r="N201" s="275"/>
    </row>
    <row r="202">
      <c r="B202" s="275"/>
      <c r="C202" s="275"/>
      <c r="D202" s="275"/>
      <c r="E202" s="275"/>
      <c r="F202" s="275"/>
      <c r="G202" s="275"/>
      <c r="H202" s="275"/>
      <c r="I202" s="275"/>
      <c r="J202" s="275"/>
      <c r="K202" s="275"/>
      <c r="L202" s="275"/>
      <c r="M202" s="275"/>
      <c r="N202" s="275"/>
    </row>
    <row r="203">
      <c r="B203" s="275"/>
      <c r="C203" s="275"/>
      <c r="D203" s="275"/>
      <c r="E203" s="275"/>
      <c r="F203" s="275"/>
      <c r="G203" s="275"/>
      <c r="H203" s="275"/>
      <c r="I203" s="275"/>
      <c r="J203" s="275"/>
      <c r="K203" s="275"/>
      <c r="L203" s="275"/>
      <c r="M203" s="275"/>
      <c r="N203" s="275"/>
    </row>
    <row r="204">
      <c r="B204" s="275"/>
      <c r="C204" s="275"/>
      <c r="D204" s="275"/>
      <c r="E204" s="275"/>
      <c r="F204" s="275"/>
      <c r="G204" s="275"/>
      <c r="H204" s="275"/>
      <c r="I204" s="275"/>
      <c r="J204" s="275"/>
      <c r="K204" s="275"/>
      <c r="L204" s="275"/>
      <c r="M204" s="275"/>
      <c r="N204" s="275"/>
    </row>
    <row r="205">
      <c r="B205" s="275"/>
      <c r="C205" s="275"/>
      <c r="D205" s="275"/>
      <c r="E205" s="275"/>
      <c r="F205" s="275"/>
      <c r="G205" s="275"/>
      <c r="H205" s="275"/>
      <c r="I205" s="275"/>
      <c r="J205" s="275"/>
      <c r="K205" s="275"/>
      <c r="L205" s="275"/>
      <c r="M205" s="275"/>
      <c r="N205" s="275"/>
    </row>
    <row r="206">
      <c r="B206" s="275"/>
      <c r="C206" s="275"/>
      <c r="D206" s="275"/>
      <c r="E206" s="275"/>
      <c r="F206" s="275"/>
      <c r="G206" s="275"/>
      <c r="H206" s="275"/>
      <c r="I206" s="275"/>
      <c r="J206" s="275"/>
      <c r="K206" s="275"/>
      <c r="L206" s="275"/>
      <c r="M206" s="275"/>
      <c r="N206" s="275"/>
    </row>
    <row r="207">
      <c r="B207" s="275"/>
      <c r="C207" s="275"/>
      <c r="D207" s="275"/>
      <c r="E207" s="275"/>
      <c r="F207" s="275"/>
      <c r="G207" s="275"/>
      <c r="H207" s="275"/>
      <c r="I207" s="275"/>
      <c r="J207" s="275"/>
      <c r="K207" s="275"/>
      <c r="L207" s="275"/>
      <c r="M207" s="275"/>
      <c r="N207" s="275"/>
    </row>
    <row r="208">
      <c r="B208" s="275"/>
      <c r="C208" s="275"/>
      <c r="D208" s="275"/>
      <c r="E208" s="275"/>
      <c r="F208" s="275"/>
      <c r="G208" s="275"/>
      <c r="H208" s="275"/>
      <c r="I208" s="275"/>
      <c r="J208" s="275"/>
      <c r="K208" s="275"/>
      <c r="L208" s="275"/>
      <c r="M208" s="275"/>
      <c r="N208" s="275"/>
    </row>
    <row r="209">
      <c r="B209" s="275"/>
      <c r="C209" s="275"/>
      <c r="D209" s="275"/>
      <c r="E209" s="275"/>
      <c r="F209" s="275"/>
      <c r="G209" s="275"/>
      <c r="H209" s="275"/>
      <c r="I209" s="275"/>
      <c r="J209" s="275"/>
      <c r="K209" s="275"/>
      <c r="L209" s="275"/>
      <c r="M209" s="275"/>
      <c r="N209" s="275"/>
    </row>
    <row r="210">
      <c r="B210" s="275"/>
      <c r="C210" s="275"/>
      <c r="D210" s="275"/>
      <c r="E210" s="275"/>
      <c r="F210" s="275"/>
      <c r="G210" s="275"/>
      <c r="H210" s="275"/>
      <c r="I210" s="275"/>
      <c r="J210" s="275"/>
      <c r="K210" s="275"/>
      <c r="L210" s="275"/>
      <c r="M210" s="275"/>
      <c r="N210" s="275"/>
    </row>
    <row r="211">
      <c r="B211" s="275"/>
      <c r="C211" s="275"/>
      <c r="D211" s="275"/>
      <c r="E211" s="275"/>
      <c r="F211" s="275"/>
      <c r="G211" s="275"/>
      <c r="H211" s="275"/>
      <c r="I211" s="275"/>
      <c r="J211" s="275"/>
      <c r="K211" s="275"/>
      <c r="L211" s="275"/>
      <c r="M211" s="275"/>
      <c r="N211" s="275"/>
    </row>
    <row r="212">
      <c r="B212" s="275"/>
      <c r="C212" s="275"/>
      <c r="D212" s="275"/>
      <c r="E212" s="275"/>
      <c r="F212" s="275"/>
      <c r="G212" s="275"/>
      <c r="H212" s="275"/>
      <c r="I212" s="275"/>
      <c r="J212" s="275"/>
      <c r="K212" s="275"/>
      <c r="L212" s="275"/>
      <c r="M212" s="275"/>
      <c r="N212" s="275"/>
    </row>
    <row r="213">
      <c r="B213" s="275"/>
      <c r="C213" s="275"/>
      <c r="D213" s="275"/>
      <c r="E213" s="275"/>
      <c r="F213" s="275"/>
      <c r="G213" s="275"/>
      <c r="H213" s="275"/>
      <c r="I213" s="275"/>
      <c r="J213" s="275"/>
      <c r="K213" s="275"/>
      <c r="L213" s="275"/>
      <c r="M213" s="275"/>
      <c r="N213" s="275"/>
    </row>
    <row r="214">
      <c r="B214" s="275"/>
      <c r="C214" s="275"/>
      <c r="D214" s="275"/>
      <c r="E214" s="275"/>
      <c r="F214" s="275"/>
      <c r="G214" s="275"/>
      <c r="H214" s="275"/>
      <c r="I214" s="275"/>
      <c r="J214" s="275"/>
      <c r="K214" s="275"/>
      <c r="L214" s="275"/>
      <c r="M214" s="275"/>
      <c r="N214" s="275"/>
    </row>
    <row r="215">
      <c r="B215" s="275"/>
      <c r="C215" s="275"/>
      <c r="D215" s="275"/>
      <c r="E215" s="275"/>
      <c r="F215" s="275"/>
      <c r="G215" s="275"/>
      <c r="H215" s="275"/>
      <c r="I215" s="275"/>
      <c r="J215" s="275"/>
      <c r="K215" s="275"/>
      <c r="L215" s="275"/>
      <c r="M215" s="275"/>
      <c r="N215" s="275"/>
    </row>
    <row r="216">
      <c r="B216" s="275"/>
      <c r="C216" s="275"/>
      <c r="D216" s="275"/>
      <c r="E216" s="275"/>
      <c r="F216" s="275"/>
      <c r="G216" s="275"/>
      <c r="H216" s="275"/>
      <c r="I216" s="275"/>
      <c r="J216" s="275"/>
      <c r="K216" s="275"/>
      <c r="L216" s="275"/>
      <c r="M216" s="275"/>
      <c r="N216" s="275"/>
    </row>
    <row r="217">
      <c r="B217" s="275"/>
      <c r="C217" s="275"/>
      <c r="D217" s="275"/>
      <c r="E217" s="275"/>
      <c r="F217" s="275"/>
      <c r="G217" s="275"/>
      <c r="H217" s="275"/>
      <c r="I217" s="275"/>
      <c r="J217" s="275"/>
      <c r="K217" s="275"/>
      <c r="L217" s="275"/>
      <c r="M217" s="275"/>
      <c r="N217" s="275"/>
    </row>
    <row r="218">
      <c r="B218" s="275"/>
      <c r="C218" s="275"/>
      <c r="D218" s="275"/>
      <c r="E218" s="275"/>
      <c r="F218" s="275"/>
      <c r="G218" s="275"/>
      <c r="H218" s="275"/>
      <c r="I218" s="275"/>
      <c r="J218" s="275"/>
      <c r="K218" s="275"/>
      <c r="L218" s="275"/>
      <c r="M218" s="275"/>
      <c r="N218" s="275"/>
    </row>
    <row r="219">
      <c r="B219" s="275"/>
      <c r="C219" s="275"/>
      <c r="D219" s="275"/>
      <c r="E219" s="275"/>
      <c r="F219" s="275"/>
      <c r="G219" s="275"/>
      <c r="H219" s="275"/>
      <c r="I219" s="275"/>
      <c r="J219" s="275"/>
      <c r="K219" s="275"/>
      <c r="L219" s="275"/>
      <c r="M219" s="275"/>
      <c r="N219" s="275"/>
    </row>
    <row r="220">
      <c r="B220" s="275"/>
      <c r="C220" s="275"/>
      <c r="D220" s="275"/>
      <c r="E220" s="275"/>
      <c r="F220" s="275"/>
      <c r="G220" s="275"/>
      <c r="H220" s="275"/>
      <c r="I220" s="275"/>
      <c r="J220" s="275"/>
      <c r="K220" s="275"/>
      <c r="L220" s="275"/>
      <c r="M220" s="275"/>
      <c r="N220" s="275"/>
    </row>
    <row r="221">
      <c r="B221" s="275"/>
      <c r="C221" s="275"/>
      <c r="D221" s="275"/>
      <c r="E221" s="275"/>
      <c r="F221" s="275"/>
      <c r="G221" s="275"/>
      <c r="H221" s="275"/>
      <c r="I221" s="275"/>
      <c r="J221" s="275"/>
      <c r="K221" s="275"/>
      <c r="L221" s="275"/>
      <c r="M221" s="275"/>
      <c r="N221" s="275"/>
    </row>
    <row r="222">
      <c r="B222" s="275"/>
      <c r="C222" s="275"/>
      <c r="D222" s="275"/>
      <c r="E222" s="275"/>
      <c r="F222" s="275"/>
      <c r="G222" s="275"/>
      <c r="H222" s="275"/>
      <c r="I222" s="275"/>
      <c r="J222" s="275"/>
      <c r="K222" s="275"/>
      <c r="L222" s="275"/>
      <c r="M222" s="275"/>
      <c r="N222" s="275"/>
    </row>
    <row r="223">
      <c r="B223" s="275"/>
      <c r="C223" s="275"/>
      <c r="D223" s="275"/>
      <c r="E223" s="275"/>
      <c r="F223" s="275"/>
      <c r="G223" s="275"/>
      <c r="H223" s="275"/>
      <c r="I223" s="275"/>
      <c r="J223" s="275"/>
      <c r="K223" s="275"/>
      <c r="L223" s="275"/>
      <c r="M223" s="275"/>
      <c r="N223" s="275"/>
    </row>
    <row r="224">
      <c r="B224" s="275"/>
      <c r="C224" s="275"/>
      <c r="D224" s="275"/>
      <c r="E224" s="275"/>
      <c r="F224" s="275"/>
      <c r="G224" s="275"/>
      <c r="H224" s="275"/>
      <c r="I224" s="275"/>
      <c r="J224" s="275"/>
      <c r="K224" s="275"/>
      <c r="L224" s="275"/>
      <c r="M224" s="275"/>
      <c r="N224" s="275"/>
    </row>
    <row r="225">
      <c r="B225" s="275"/>
      <c r="C225" s="275"/>
      <c r="D225" s="275"/>
      <c r="E225" s="275"/>
      <c r="F225" s="275"/>
      <c r="G225" s="275"/>
      <c r="H225" s="275"/>
      <c r="I225" s="275"/>
      <c r="J225" s="275"/>
      <c r="K225" s="275"/>
      <c r="L225" s="275"/>
      <c r="M225" s="275"/>
      <c r="N225" s="275"/>
    </row>
    <row r="226">
      <c r="B226" s="275"/>
      <c r="C226" s="275"/>
      <c r="D226" s="275"/>
      <c r="E226" s="275"/>
      <c r="F226" s="275"/>
      <c r="G226" s="275"/>
      <c r="H226" s="275"/>
      <c r="I226" s="275"/>
      <c r="J226" s="275"/>
      <c r="K226" s="275"/>
      <c r="L226" s="275"/>
      <c r="M226" s="275"/>
      <c r="N226" s="275"/>
    </row>
    <row r="227">
      <c r="B227" s="275"/>
      <c r="C227" s="275"/>
      <c r="D227" s="275"/>
      <c r="E227" s="275"/>
      <c r="F227" s="275"/>
      <c r="G227" s="275"/>
      <c r="H227" s="275"/>
      <c r="I227" s="275"/>
      <c r="J227" s="275"/>
      <c r="K227" s="275"/>
      <c r="L227" s="275"/>
      <c r="M227" s="275"/>
      <c r="N227" s="275"/>
    </row>
    <row r="228">
      <c r="B228" s="275"/>
      <c r="C228" s="275"/>
      <c r="D228" s="275"/>
      <c r="E228" s="275"/>
      <c r="F228" s="275"/>
      <c r="G228" s="275"/>
      <c r="H228" s="275"/>
      <c r="I228" s="275"/>
      <c r="J228" s="275"/>
      <c r="K228" s="275"/>
      <c r="L228" s="275"/>
      <c r="M228" s="275"/>
      <c r="N228" s="275"/>
    </row>
    <row r="229">
      <c r="B229" s="275"/>
      <c r="C229" s="275"/>
      <c r="D229" s="275"/>
      <c r="E229" s="275"/>
      <c r="F229" s="275"/>
      <c r="G229" s="275"/>
      <c r="H229" s="275"/>
      <c r="I229" s="275"/>
      <c r="J229" s="275"/>
      <c r="K229" s="275"/>
      <c r="L229" s="275"/>
      <c r="M229" s="275"/>
      <c r="N229" s="275"/>
    </row>
    <row r="230">
      <c r="B230" s="275"/>
      <c r="C230" s="275"/>
      <c r="D230" s="275"/>
      <c r="E230" s="275"/>
      <c r="F230" s="275"/>
      <c r="G230" s="275"/>
      <c r="H230" s="275"/>
      <c r="I230" s="275"/>
      <c r="J230" s="275"/>
      <c r="K230" s="275"/>
      <c r="L230" s="275"/>
      <c r="M230" s="275"/>
      <c r="N230" s="275"/>
    </row>
    <row r="231">
      <c r="B231" s="275"/>
      <c r="C231" s="275"/>
      <c r="D231" s="275"/>
      <c r="E231" s="275"/>
      <c r="F231" s="275"/>
      <c r="G231" s="275"/>
      <c r="H231" s="275"/>
      <c r="I231" s="275"/>
      <c r="J231" s="275"/>
      <c r="K231" s="275"/>
      <c r="L231" s="275"/>
      <c r="M231" s="275"/>
      <c r="N231" s="275"/>
    </row>
    <row r="232">
      <c r="B232" s="275"/>
      <c r="C232" s="275"/>
      <c r="D232" s="275"/>
      <c r="E232" s="275"/>
      <c r="F232" s="275"/>
      <c r="G232" s="275"/>
      <c r="H232" s="275"/>
      <c r="I232" s="275"/>
      <c r="J232" s="275"/>
      <c r="K232" s="275"/>
      <c r="L232" s="275"/>
      <c r="M232" s="275"/>
      <c r="N232" s="275"/>
    </row>
    <row r="233">
      <c r="B233" s="275"/>
      <c r="C233" s="275"/>
      <c r="D233" s="275"/>
      <c r="E233" s="275"/>
      <c r="F233" s="275"/>
      <c r="G233" s="275"/>
      <c r="H233" s="275"/>
      <c r="I233" s="275"/>
      <c r="J233" s="275"/>
      <c r="K233" s="275"/>
      <c r="L233" s="275"/>
      <c r="M233" s="275"/>
      <c r="N233" s="275"/>
    </row>
    <row r="234">
      <c r="B234" s="275"/>
      <c r="C234" s="275"/>
      <c r="D234" s="275"/>
      <c r="E234" s="275"/>
      <c r="F234" s="275"/>
      <c r="G234" s="275"/>
      <c r="H234" s="275"/>
      <c r="I234" s="275"/>
      <c r="J234" s="275"/>
      <c r="K234" s="275"/>
      <c r="L234" s="275"/>
      <c r="M234" s="275"/>
      <c r="N234" s="275"/>
    </row>
    <row r="235">
      <c r="B235" s="275"/>
      <c r="C235" s="275"/>
      <c r="D235" s="275"/>
      <c r="E235" s="275"/>
      <c r="F235" s="275"/>
      <c r="G235" s="275"/>
      <c r="H235" s="275"/>
      <c r="I235" s="275"/>
      <c r="J235" s="275"/>
      <c r="K235" s="275"/>
      <c r="L235" s="275"/>
      <c r="M235" s="275"/>
      <c r="N235" s="275"/>
    </row>
    <row r="236">
      <c r="B236" s="275"/>
      <c r="C236" s="275"/>
      <c r="D236" s="275"/>
      <c r="E236" s="275"/>
      <c r="F236" s="275"/>
      <c r="G236" s="275"/>
      <c r="H236" s="275"/>
      <c r="I236" s="275"/>
      <c r="J236" s="275"/>
      <c r="K236" s="275"/>
      <c r="L236" s="275"/>
      <c r="M236" s="275"/>
      <c r="N236" s="275"/>
    </row>
    <row r="237">
      <c r="B237" s="275"/>
      <c r="C237" s="275"/>
      <c r="D237" s="275"/>
      <c r="E237" s="275"/>
      <c r="F237" s="275"/>
      <c r="G237" s="275"/>
      <c r="H237" s="275"/>
      <c r="I237" s="275"/>
      <c r="J237" s="275"/>
      <c r="K237" s="275"/>
      <c r="L237" s="275"/>
      <c r="M237" s="275"/>
      <c r="N237" s="275"/>
    </row>
    <row r="238">
      <c r="B238" s="275"/>
      <c r="C238" s="275"/>
      <c r="D238" s="275"/>
      <c r="E238" s="275"/>
      <c r="F238" s="275"/>
      <c r="G238" s="275"/>
      <c r="H238" s="275"/>
      <c r="I238" s="275"/>
      <c r="J238" s="275"/>
      <c r="K238" s="275"/>
      <c r="L238" s="275"/>
      <c r="M238" s="275"/>
      <c r="N238" s="275"/>
    </row>
    <row r="239">
      <c r="B239" s="275"/>
      <c r="C239" s="275"/>
      <c r="D239" s="275"/>
      <c r="E239" s="275"/>
      <c r="F239" s="275"/>
      <c r="G239" s="275"/>
      <c r="H239" s="275"/>
      <c r="I239" s="275"/>
      <c r="J239" s="275"/>
      <c r="K239" s="275"/>
      <c r="L239" s="275"/>
      <c r="M239" s="275"/>
      <c r="N239" s="275"/>
    </row>
    <row r="240">
      <c r="B240" s="275"/>
      <c r="C240" s="275"/>
      <c r="D240" s="275"/>
      <c r="E240" s="275"/>
      <c r="F240" s="275"/>
      <c r="G240" s="275"/>
      <c r="H240" s="275"/>
      <c r="I240" s="275"/>
      <c r="J240" s="275"/>
      <c r="K240" s="275"/>
      <c r="L240" s="275"/>
      <c r="M240" s="275"/>
      <c r="N240" s="275"/>
    </row>
    <row r="241">
      <c r="B241" s="275"/>
      <c r="C241" s="275"/>
      <c r="D241" s="275"/>
      <c r="E241" s="275"/>
      <c r="F241" s="275"/>
      <c r="G241" s="275"/>
      <c r="H241" s="275"/>
      <c r="I241" s="275"/>
      <c r="J241" s="275"/>
      <c r="K241" s="275"/>
      <c r="L241" s="275"/>
      <c r="M241" s="275"/>
      <c r="N241" s="275"/>
    </row>
    <row r="242">
      <c r="B242" s="275"/>
      <c r="C242" s="275"/>
      <c r="D242" s="275"/>
      <c r="E242" s="275"/>
      <c r="F242" s="275"/>
      <c r="G242" s="275"/>
      <c r="H242" s="275"/>
      <c r="I242" s="275"/>
      <c r="J242" s="275"/>
      <c r="K242" s="275"/>
      <c r="L242" s="275"/>
      <c r="M242" s="275"/>
      <c r="N242" s="275"/>
    </row>
    <row r="243">
      <c r="B243" s="275"/>
      <c r="C243" s="275"/>
      <c r="D243" s="275"/>
      <c r="E243" s="275"/>
      <c r="F243" s="275"/>
      <c r="G243" s="275"/>
      <c r="H243" s="275"/>
      <c r="I243" s="275"/>
      <c r="J243" s="275"/>
      <c r="K243" s="275"/>
      <c r="L243" s="275"/>
      <c r="M243" s="275"/>
      <c r="N243" s="275"/>
    </row>
    <row r="244">
      <c r="B244" s="275"/>
      <c r="C244" s="275"/>
      <c r="D244" s="275"/>
      <c r="E244" s="275"/>
      <c r="F244" s="275"/>
      <c r="G244" s="275"/>
      <c r="H244" s="275"/>
      <c r="I244" s="275"/>
      <c r="J244" s="275"/>
      <c r="K244" s="275"/>
      <c r="L244" s="275"/>
      <c r="M244" s="275"/>
      <c r="N244" s="275"/>
    </row>
    <row r="245">
      <c r="B245" s="275"/>
      <c r="C245" s="275"/>
      <c r="D245" s="275"/>
      <c r="E245" s="275"/>
      <c r="F245" s="275"/>
      <c r="G245" s="275"/>
      <c r="H245" s="275"/>
      <c r="I245" s="275"/>
      <c r="J245" s="275"/>
      <c r="K245" s="275"/>
      <c r="L245" s="275"/>
      <c r="M245" s="275"/>
      <c r="N245" s="275"/>
    </row>
    <row r="246">
      <c r="B246" s="275"/>
      <c r="C246" s="275"/>
      <c r="D246" s="275"/>
      <c r="E246" s="275"/>
      <c r="F246" s="275"/>
      <c r="G246" s="275"/>
      <c r="H246" s="275"/>
      <c r="I246" s="275"/>
      <c r="J246" s="275"/>
      <c r="K246" s="275"/>
      <c r="L246" s="275"/>
      <c r="M246" s="275"/>
      <c r="N246" s="275"/>
    </row>
    <row r="247">
      <c r="B247" s="275"/>
      <c r="C247" s="275"/>
      <c r="D247" s="275"/>
      <c r="E247" s="275"/>
      <c r="F247" s="275"/>
      <c r="G247" s="275"/>
      <c r="H247" s="275"/>
      <c r="I247" s="275"/>
      <c r="J247" s="275"/>
      <c r="K247" s="275"/>
      <c r="L247" s="275"/>
      <c r="M247" s="275"/>
      <c r="N247" s="275"/>
    </row>
    <row r="248">
      <c r="B248" s="275"/>
      <c r="C248" s="275"/>
      <c r="D248" s="275"/>
      <c r="E248" s="275"/>
      <c r="F248" s="275"/>
      <c r="G248" s="275"/>
      <c r="H248" s="275"/>
      <c r="I248" s="275"/>
      <c r="J248" s="275"/>
      <c r="K248" s="275"/>
      <c r="L248" s="275"/>
      <c r="M248" s="275"/>
      <c r="N248" s="275"/>
    </row>
    <row r="249">
      <c r="B249" s="275"/>
      <c r="C249" s="275"/>
      <c r="D249" s="275"/>
      <c r="E249" s="275"/>
      <c r="F249" s="275"/>
      <c r="G249" s="275"/>
      <c r="H249" s="275"/>
      <c r="I249" s="275"/>
      <c r="J249" s="275"/>
      <c r="K249" s="275"/>
      <c r="L249" s="275"/>
      <c r="M249" s="275"/>
      <c r="N249" s="275"/>
    </row>
    <row r="250">
      <c r="B250" s="275"/>
      <c r="C250" s="275"/>
      <c r="D250" s="275"/>
      <c r="E250" s="275"/>
      <c r="F250" s="275"/>
      <c r="G250" s="275"/>
      <c r="H250" s="275"/>
      <c r="I250" s="275"/>
      <c r="J250" s="275"/>
      <c r="K250" s="275"/>
      <c r="L250" s="275"/>
      <c r="M250" s="275"/>
      <c r="N250" s="275"/>
    </row>
    <row r="251">
      <c r="B251" s="275"/>
      <c r="C251" s="275"/>
      <c r="D251" s="275"/>
      <c r="E251" s="275"/>
      <c r="F251" s="275"/>
      <c r="G251" s="275"/>
      <c r="H251" s="275"/>
      <c r="I251" s="275"/>
      <c r="J251" s="275"/>
      <c r="K251" s="275"/>
      <c r="L251" s="275"/>
      <c r="M251" s="275"/>
      <c r="N251" s="275"/>
    </row>
    <row r="252">
      <c r="B252" s="275"/>
      <c r="C252" s="275"/>
      <c r="D252" s="275"/>
      <c r="E252" s="275"/>
      <c r="F252" s="275"/>
      <c r="G252" s="275"/>
      <c r="H252" s="275"/>
      <c r="I252" s="275"/>
      <c r="J252" s="275"/>
      <c r="K252" s="275"/>
      <c r="L252" s="275"/>
      <c r="M252" s="275"/>
      <c r="N252" s="275"/>
    </row>
    <row r="253">
      <c r="B253" s="275"/>
      <c r="C253" s="275"/>
      <c r="D253" s="275"/>
      <c r="E253" s="275"/>
      <c r="F253" s="275"/>
      <c r="G253" s="275"/>
      <c r="H253" s="275"/>
      <c r="I253" s="275"/>
      <c r="J253" s="275"/>
      <c r="K253" s="275"/>
      <c r="L253" s="275"/>
      <c r="M253" s="275"/>
      <c r="N253" s="275"/>
    </row>
    <row r="254">
      <c r="B254" s="275"/>
      <c r="C254" s="275"/>
      <c r="D254" s="275"/>
      <c r="E254" s="275"/>
      <c r="F254" s="275"/>
      <c r="G254" s="275"/>
      <c r="H254" s="275"/>
      <c r="I254" s="275"/>
      <c r="J254" s="275"/>
      <c r="K254" s="275"/>
      <c r="L254" s="275"/>
      <c r="M254" s="275"/>
      <c r="N254" s="275"/>
    </row>
    <row r="255">
      <c r="B255" s="275"/>
      <c r="C255" s="275"/>
      <c r="D255" s="275"/>
      <c r="E255" s="275"/>
      <c r="F255" s="275"/>
      <c r="G255" s="275"/>
      <c r="H255" s="275"/>
      <c r="I255" s="275"/>
      <c r="J255" s="275"/>
      <c r="K255" s="275"/>
      <c r="L255" s="275"/>
      <c r="M255" s="275"/>
      <c r="N255" s="275"/>
    </row>
    <row r="256">
      <c r="B256" s="275"/>
      <c r="C256" s="275"/>
      <c r="D256" s="275"/>
      <c r="E256" s="275"/>
      <c r="F256" s="275"/>
      <c r="G256" s="275"/>
      <c r="H256" s="275"/>
      <c r="I256" s="275"/>
      <c r="J256" s="275"/>
      <c r="K256" s="275"/>
      <c r="L256" s="275"/>
      <c r="M256" s="275"/>
      <c r="N256" s="275"/>
    </row>
    <row r="257">
      <c r="B257" s="275"/>
      <c r="C257" s="275"/>
      <c r="D257" s="275"/>
      <c r="E257" s="275"/>
      <c r="F257" s="275"/>
      <c r="G257" s="275"/>
      <c r="H257" s="275"/>
      <c r="I257" s="275"/>
      <c r="J257" s="275"/>
      <c r="K257" s="275"/>
      <c r="L257" s="275"/>
      <c r="M257" s="275"/>
      <c r="N257" s="275"/>
    </row>
    <row r="258">
      <c r="B258" s="275"/>
      <c r="C258" s="275"/>
      <c r="D258" s="275"/>
      <c r="E258" s="275"/>
      <c r="F258" s="275"/>
      <c r="G258" s="275"/>
      <c r="H258" s="275"/>
      <c r="I258" s="275"/>
      <c r="J258" s="275"/>
      <c r="K258" s="275"/>
      <c r="L258" s="275"/>
      <c r="M258" s="275"/>
      <c r="N258" s="275"/>
    </row>
    <row r="259">
      <c r="B259" s="275"/>
      <c r="C259" s="275"/>
      <c r="D259" s="275"/>
      <c r="E259" s="275"/>
      <c r="F259" s="275"/>
      <c r="G259" s="275"/>
      <c r="H259" s="275"/>
      <c r="I259" s="275"/>
      <c r="J259" s="275"/>
      <c r="K259" s="275"/>
      <c r="L259" s="275"/>
      <c r="M259" s="275"/>
      <c r="N259" s="275"/>
    </row>
    <row r="260">
      <c r="B260" s="275"/>
      <c r="C260" s="275"/>
      <c r="D260" s="275"/>
      <c r="E260" s="275"/>
      <c r="F260" s="275"/>
      <c r="G260" s="275"/>
      <c r="H260" s="275"/>
      <c r="I260" s="275"/>
      <c r="J260" s="275"/>
      <c r="K260" s="275"/>
      <c r="L260" s="275"/>
      <c r="M260" s="275"/>
      <c r="N260" s="275"/>
    </row>
    <row r="261">
      <c r="B261" s="275"/>
      <c r="C261" s="275"/>
      <c r="D261" s="275"/>
      <c r="E261" s="275"/>
      <c r="F261" s="275"/>
      <c r="G261" s="275"/>
      <c r="H261" s="275"/>
      <c r="I261" s="275"/>
      <c r="J261" s="275"/>
      <c r="K261" s="275"/>
      <c r="L261" s="275"/>
      <c r="M261" s="275"/>
      <c r="N261" s="275"/>
    </row>
    <row r="262">
      <c r="B262" s="275"/>
      <c r="C262" s="275"/>
      <c r="D262" s="275"/>
      <c r="E262" s="275"/>
      <c r="F262" s="275"/>
      <c r="G262" s="275"/>
      <c r="H262" s="275"/>
      <c r="I262" s="275"/>
      <c r="J262" s="275"/>
      <c r="K262" s="275"/>
      <c r="L262" s="275"/>
      <c r="M262" s="275"/>
      <c r="N262" s="275"/>
    </row>
    <row r="263">
      <c r="B263" s="275"/>
      <c r="C263" s="275"/>
      <c r="D263" s="275"/>
      <c r="E263" s="275"/>
      <c r="F263" s="275"/>
      <c r="G263" s="275"/>
      <c r="H263" s="275"/>
      <c r="I263" s="275"/>
      <c r="J263" s="275"/>
      <c r="K263" s="275"/>
      <c r="L263" s="275"/>
      <c r="M263" s="275"/>
      <c r="N263" s="275"/>
    </row>
    <row r="264">
      <c r="B264" s="275"/>
      <c r="C264" s="275"/>
      <c r="D264" s="275"/>
      <c r="E264" s="275"/>
      <c r="F264" s="275"/>
      <c r="G264" s="275"/>
      <c r="H264" s="275"/>
      <c r="I264" s="275"/>
      <c r="J264" s="275"/>
      <c r="K264" s="275"/>
      <c r="L264" s="275"/>
      <c r="M264" s="275"/>
      <c r="N264" s="275"/>
    </row>
    <row r="265">
      <c r="B265" s="275"/>
      <c r="C265" s="275"/>
      <c r="D265" s="275"/>
      <c r="E265" s="275"/>
      <c r="F265" s="275"/>
      <c r="G265" s="275"/>
      <c r="H265" s="275"/>
      <c r="I265" s="275"/>
      <c r="J265" s="275"/>
      <c r="K265" s="275"/>
      <c r="L265" s="275"/>
      <c r="M265" s="275"/>
      <c r="N265" s="275"/>
    </row>
    <row r="266">
      <c r="B266" s="275"/>
      <c r="C266" s="275"/>
      <c r="D266" s="275"/>
      <c r="E266" s="275"/>
      <c r="F266" s="275"/>
      <c r="G266" s="275"/>
      <c r="H266" s="275"/>
      <c r="I266" s="275"/>
      <c r="J266" s="275"/>
      <c r="K266" s="275"/>
      <c r="L266" s="275"/>
      <c r="M266" s="275"/>
      <c r="N266" s="275"/>
    </row>
    <row r="267">
      <c r="B267" s="275"/>
      <c r="C267" s="275"/>
      <c r="D267" s="275"/>
      <c r="E267" s="275"/>
      <c r="F267" s="275"/>
      <c r="G267" s="275"/>
      <c r="H267" s="275"/>
      <c r="I267" s="275"/>
      <c r="J267" s="275"/>
      <c r="K267" s="275"/>
      <c r="L267" s="275"/>
      <c r="M267" s="275"/>
      <c r="N267" s="275"/>
    </row>
    <row r="268">
      <c r="B268" s="275"/>
      <c r="C268" s="275"/>
      <c r="D268" s="275"/>
      <c r="E268" s="275"/>
      <c r="F268" s="275"/>
      <c r="G268" s="275"/>
      <c r="H268" s="275"/>
      <c r="I268" s="275"/>
      <c r="J268" s="275"/>
      <c r="K268" s="275"/>
      <c r="L268" s="275"/>
      <c r="M268" s="275"/>
      <c r="N268" s="275"/>
    </row>
    <row r="269">
      <c r="B269" s="275"/>
      <c r="C269" s="275"/>
      <c r="D269" s="275"/>
      <c r="E269" s="275"/>
      <c r="F269" s="275"/>
      <c r="G269" s="275"/>
      <c r="H269" s="275"/>
      <c r="I269" s="275"/>
      <c r="J269" s="275"/>
      <c r="K269" s="275"/>
      <c r="L269" s="275"/>
      <c r="M269" s="275"/>
      <c r="N269" s="275"/>
    </row>
    <row r="270">
      <c r="B270" s="275"/>
      <c r="C270" s="275"/>
      <c r="D270" s="275"/>
      <c r="E270" s="275"/>
      <c r="F270" s="275"/>
      <c r="G270" s="275"/>
      <c r="H270" s="275"/>
      <c r="I270" s="275"/>
      <c r="J270" s="275"/>
      <c r="K270" s="275"/>
      <c r="L270" s="275"/>
      <c r="M270" s="275"/>
      <c r="N270" s="275"/>
    </row>
    <row r="271">
      <c r="B271" s="275"/>
      <c r="C271" s="275"/>
      <c r="D271" s="275"/>
      <c r="E271" s="275"/>
      <c r="F271" s="275"/>
      <c r="G271" s="275"/>
      <c r="H271" s="275"/>
      <c r="I271" s="275"/>
      <c r="J271" s="275"/>
      <c r="K271" s="275"/>
      <c r="L271" s="275"/>
      <c r="M271" s="275"/>
      <c r="N271" s="275"/>
    </row>
    <row r="272">
      <c r="B272" s="275"/>
      <c r="C272" s="275"/>
      <c r="D272" s="275"/>
      <c r="E272" s="275"/>
      <c r="F272" s="275"/>
      <c r="G272" s="275"/>
      <c r="H272" s="275"/>
      <c r="I272" s="275"/>
      <c r="J272" s="275"/>
      <c r="K272" s="275"/>
      <c r="L272" s="275"/>
      <c r="M272" s="275"/>
      <c r="N272" s="275"/>
    </row>
    <row r="273">
      <c r="B273" s="275"/>
      <c r="C273" s="275"/>
      <c r="D273" s="275"/>
      <c r="E273" s="275"/>
      <c r="F273" s="275"/>
      <c r="G273" s="275"/>
      <c r="H273" s="275"/>
      <c r="I273" s="275"/>
      <c r="J273" s="275"/>
      <c r="K273" s="275"/>
      <c r="L273" s="275"/>
      <c r="M273" s="275"/>
      <c r="N273" s="275"/>
    </row>
    <row r="274">
      <c r="B274" s="275"/>
      <c r="C274" s="275"/>
      <c r="D274" s="275"/>
      <c r="E274" s="275"/>
      <c r="F274" s="275"/>
      <c r="G274" s="275"/>
      <c r="H274" s="275"/>
      <c r="I274" s="275"/>
      <c r="J274" s="275"/>
      <c r="K274" s="275"/>
      <c r="L274" s="275"/>
      <c r="M274" s="275"/>
      <c r="N274" s="275"/>
    </row>
    <row r="275">
      <c r="B275" s="275"/>
      <c r="C275" s="275"/>
      <c r="D275" s="275"/>
      <c r="E275" s="275"/>
      <c r="F275" s="275"/>
      <c r="G275" s="275"/>
      <c r="H275" s="275"/>
      <c r="I275" s="275"/>
      <c r="J275" s="275"/>
      <c r="K275" s="275"/>
      <c r="L275" s="275"/>
      <c r="M275" s="275"/>
      <c r="N275" s="275"/>
    </row>
    <row r="276">
      <c r="B276" s="275"/>
      <c r="C276" s="275"/>
      <c r="D276" s="275"/>
      <c r="E276" s="275"/>
      <c r="F276" s="275"/>
      <c r="G276" s="275"/>
      <c r="H276" s="275"/>
      <c r="I276" s="275"/>
      <c r="J276" s="275"/>
      <c r="K276" s="275"/>
      <c r="L276" s="275"/>
      <c r="M276" s="275"/>
      <c r="N276" s="275"/>
    </row>
    <row r="277">
      <c r="B277" s="275"/>
      <c r="C277" s="275"/>
      <c r="D277" s="275"/>
      <c r="E277" s="275"/>
      <c r="F277" s="275"/>
      <c r="G277" s="275"/>
      <c r="H277" s="275"/>
      <c r="I277" s="275"/>
      <c r="J277" s="275"/>
      <c r="K277" s="275"/>
      <c r="L277" s="275"/>
      <c r="M277" s="275"/>
      <c r="N277" s="275"/>
    </row>
    <row r="278">
      <c r="B278" s="275"/>
      <c r="C278" s="275"/>
      <c r="D278" s="275"/>
      <c r="E278" s="275"/>
      <c r="F278" s="275"/>
      <c r="G278" s="275"/>
      <c r="H278" s="275"/>
      <c r="I278" s="275"/>
      <c r="J278" s="275"/>
      <c r="K278" s="275"/>
      <c r="L278" s="275"/>
      <c r="M278" s="275"/>
      <c r="N278" s="275"/>
    </row>
    <row r="279">
      <c r="B279" s="275"/>
      <c r="C279" s="275"/>
      <c r="D279" s="275"/>
      <c r="E279" s="275"/>
      <c r="F279" s="275"/>
      <c r="G279" s="275"/>
      <c r="H279" s="275"/>
      <c r="I279" s="275"/>
      <c r="J279" s="275"/>
      <c r="K279" s="275"/>
      <c r="L279" s="275"/>
      <c r="M279" s="275"/>
      <c r="N279" s="275"/>
    </row>
    <row r="280">
      <c r="B280" s="275"/>
      <c r="C280" s="275"/>
      <c r="D280" s="275"/>
      <c r="E280" s="275"/>
      <c r="F280" s="275"/>
      <c r="G280" s="275"/>
      <c r="H280" s="275"/>
      <c r="I280" s="275"/>
      <c r="J280" s="275"/>
      <c r="K280" s="275"/>
      <c r="L280" s="275"/>
      <c r="M280" s="275"/>
      <c r="N280" s="275"/>
    </row>
    <row r="281">
      <c r="B281" s="275"/>
      <c r="C281" s="275"/>
      <c r="D281" s="275"/>
      <c r="E281" s="275"/>
      <c r="F281" s="275"/>
      <c r="G281" s="275"/>
      <c r="H281" s="275"/>
      <c r="I281" s="275"/>
      <c r="J281" s="275"/>
      <c r="K281" s="275"/>
      <c r="L281" s="275"/>
      <c r="M281" s="275"/>
      <c r="N281" s="275"/>
    </row>
    <row r="282">
      <c r="B282" s="275"/>
      <c r="C282" s="275"/>
      <c r="D282" s="275"/>
      <c r="E282" s="275"/>
      <c r="F282" s="275"/>
      <c r="G282" s="275"/>
      <c r="H282" s="275"/>
      <c r="I282" s="275"/>
      <c r="J282" s="275"/>
      <c r="K282" s="275"/>
      <c r="L282" s="275"/>
      <c r="M282" s="275"/>
      <c r="N282" s="275"/>
    </row>
    <row r="283">
      <c r="B283" s="275"/>
      <c r="C283" s="275"/>
      <c r="D283" s="275"/>
      <c r="E283" s="275"/>
      <c r="F283" s="275"/>
      <c r="G283" s="275"/>
      <c r="H283" s="275"/>
      <c r="I283" s="275"/>
      <c r="J283" s="275"/>
      <c r="K283" s="275"/>
      <c r="L283" s="275"/>
      <c r="M283" s="275"/>
      <c r="N283" s="275"/>
    </row>
    <row r="284">
      <c r="B284" s="275"/>
      <c r="C284" s="275"/>
      <c r="D284" s="275"/>
      <c r="E284" s="275"/>
      <c r="F284" s="275"/>
      <c r="G284" s="275"/>
      <c r="H284" s="275"/>
      <c r="I284" s="275"/>
      <c r="J284" s="275"/>
      <c r="K284" s="275"/>
      <c r="L284" s="275"/>
      <c r="M284" s="275"/>
      <c r="N284" s="275"/>
    </row>
    <row r="285">
      <c r="B285" s="275"/>
      <c r="C285" s="275"/>
      <c r="D285" s="275"/>
      <c r="E285" s="275"/>
      <c r="F285" s="275"/>
      <c r="G285" s="275"/>
      <c r="H285" s="275"/>
      <c r="I285" s="275"/>
      <c r="J285" s="275"/>
      <c r="K285" s="275"/>
      <c r="L285" s="275"/>
      <c r="M285" s="275"/>
      <c r="N285" s="275"/>
    </row>
    <row r="286">
      <c r="B286" s="275"/>
      <c r="C286" s="275"/>
      <c r="D286" s="275"/>
      <c r="E286" s="275"/>
      <c r="F286" s="275"/>
      <c r="G286" s="275"/>
      <c r="H286" s="275"/>
      <c r="I286" s="275"/>
      <c r="J286" s="275"/>
      <c r="K286" s="275"/>
      <c r="L286" s="275"/>
      <c r="M286" s="275"/>
      <c r="N286" s="275"/>
    </row>
    <row r="287">
      <c r="B287" s="275"/>
      <c r="C287" s="275"/>
      <c r="D287" s="275"/>
      <c r="E287" s="275"/>
      <c r="F287" s="275"/>
      <c r="G287" s="275"/>
      <c r="H287" s="275"/>
      <c r="I287" s="275"/>
      <c r="J287" s="275"/>
      <c r="K287" s="275"/>
      <c r="L287" s="275"/>
      <c r="M287" s="275"/>
      <c r="N287" s="275"/>
    </row>
    <row r="288">
      <c r="B288" s="275"/>
      <c r="C288" s="275"/>
      <c r="D288" s="275"/>
      <c r="E288" s="275"/>
      <c r="F288" s="275"/>
      <c r="G288" s="275"/>
      <c r="H288" s="275"/>
      <c r="I288" s="275"/>
      <c r="J288" s="275"/>
      <c r="K288" s="275"/>
      <c r="L288" s="275"/>
      <c r="M288" s="275"/>
      <c r="N288" s="275"/>
    </row>
    <row r="289">
      <c r="B289" s="275"/>
      <c r="C289" s="275"/>
      <c r="D289" s="275"/>
      <c r="E289" s="275"/>
      <c r="F289" s="275"/>
      <c r="G289" s="275"/>
      <c r="H289" s="275"/>
      <c r="I289" s="275"/>
      <c r="J289" s="275"/>
      <c r="K289" s="275"/>
      <c r="L289" s="275"/>
      <c r="M289" s="275"/>
      <c r="N289" s="275"/>
    </row>
    <row r="290">
      <c r="B290" s="275"/>
      <c r="C290" s="275"/>
      <c r="D290" s="275"/>
      <c r="E290" s="275"/>
      <c r="F290" s="275"/>
      <c r="G290" s="275"/>
      <c r="H290" s="275"/>
      <c r="I290" s="275"/>
      <c r="J290" s="275"/>
      <c r="K290" s="275"/>
      <c r="L290" s="275"/>
      <c r="M290" s="275"/>
      <c r="N290" s="275"/>
    </row>
    <row r="291">
      <c r="B291" s="275"/>
      <c r="C291" s="275"/>
      <c r="D291" s="275"/>
      <c r="E291" s="275"/>
      <c r="F291" s="275"/>
      <c r="G291" s="275"/>
      <c r="H291" s="275"/>
      <c r="I291" s="275"/>
      <c r="J291" s="275"/>
      <c r="K291" s="275"/>
      <c r="L291" s="275"/>
      <c r="M291" s="275"/>
      <c r="N291" s="275"/>
    </row>
    <row r="292">
      <c r="B292" s="275"/>
      <c r="C292" s="275"/>
      <c r="D292" s="275"/>
      <c r="E292" s="275"/>
      <c r="F292" s="275"/>
      <c r="G292" s="275"/>
      <c r="H292" s="275"/>
      <c r="I292" s="275"/>
      <c r="J292" s="275"/>
      <c r="K292" s="275"/>
      <c r="L292" s="275"/>
      <c r="M292" s="275"/>
      <c r="N292" s="275"/>
    </row>
    <row r="293">
      <c r="B293" s="275"/>
      <c r="C293" s="275"/>
      <c r="D293" s="275"/>
      <c r="E293" s="275"/>
      <c r="F293" s="275"/>
      <c r="G293" s="275"/>
      <c r="H293" s="275"/>
      <c r="I293" s="275"/>
      <c r="J293" s="275"/>
      <c r="K293" s="275"/>
      <c r="L293" s="275"/>
      <c r="M293" s="275"/>
      <c r="N293" s="275"/>
    </row>
    <row r="294">
      <c r="B294" s="275"/>
      <c r="C294" s="275"/>
      <c r="D294" s="275"/>
      <c r="E294" s="275"/>
      <c r="F294" s="275"/>
      <c r="G294" s="275"/>
      <c r="H294" s="275"/>
      <c r="I294" s="275"/>
      <c r="J294" s="275"/>
      <c r="K294" s="275"/>
      <c r="L294" s="275"/>
      <c r="M294" s="275"/>
      <c r="N294" s="275"/>
    </row>
    <row r="295">
      <c r="B295" s="275"/>
      <c r="C295" s="275"/>
      <c r="D295" s="275"/>
      <c r="E295" s="275"/>
      <c r="F295" s="275"/>
      <c r="G295" s="275"/>
      <c r="H295" s="275"/>
      <c r="I295" s="275"/>
      <c r="J295" s="275"/>
      <c r="K295" s="275"/>
      <c r="L295" s="275"/>
      <c r="M295" s="275"/>
      <c r="N295" s="275"/>
    </row>
    <row r="296">
      <c r="B296" s="275"/>
      <c r="C296" s="275"/>
      <c r="D296" s="275"/>
      <c r="E296" s="275"/>
      <c r="F296" s="275"/>
      <c r="G296" s="275"/>
      <c r="H296" s="275"/>
      <c r="I296" s="275"/>
      <c r="J296" s="275"/>
      <c r="K296" s="275"/>
      <c r="L296" s="275"/>
      <c r="M296" s="275"/>
      <c r="N296" s="275"/>
    </row>
    <row r="297">
      <c r="B297" s="275"/>
      <c r="C297" s="275"/>
      <c r="D297" s="275"/>
      <c r="E297" s="275"/>
      <c r="F297" s="275"/>
      <c r="G297" s="275"/>
      <c r="H297" s="275"/>
      <c r="I297" s="275"/>
      <c r="J297" s="275"/>
      <c r="K297" s="275"/>
      <c r="L297" s="275"/>
      <c r="M297" s="275"/>
      <c r="N297" s="275"/>
    </row>
    <row r="298">
      <c r="B298" s="275"/>
      <c r="C298" s="275"/>
      <c r="D298" s="275"/>
      <c r="E298" s="275"/>
      <c r="F298" s="275"/>
      <c r="G298" s="275"/>
      <c r="H298" s="275"/>
      <c r="I298" s="275"/>
      <c r="J298" s="275"/>
      <c r="K298" s="275"/>
      <c r="L298" s="275"/>
      <c r="M298" s="275"/>
      <c r="N298" s="275"/>
    </row>
    <row r="299">
      <c r="B299" s="275"/>
      <c r="C299" s="275"/>
      <c r="D299" s="275"/>
      <c r="E299" s="275"/>
      <c r="F299" s="275"/>
      <c r="G299" s="275"/>
      <c r="H299" s="275"/>
      <c r="I299" s="275"/>
      <c r="J299" s="275"/>
      <c r="K299" s="275"/>
      <c r="L299" s="275"/>
      <c r="M299" s="275"/>
      <c r="N299" s="275"/>
    </row>
    <row r="300">
      <c r="B300" s="275"/>
      <c r="C300" s="275"/>
      <c r="D300" s="275"/>
      <c r="E300" s="275"/>
      <c r="F300" s="275"/>
      <c r="G300" s="275"/>
      <c r="H300" s="275"/>
      <c r="I300" s="275"/>
      <c r="J300" s="275"/>
      <c r="K300" s="275"/>
      <c r="L300" s="275"/>
      <c r="M300" s="275"/>
      <c r="N300" s="275"/>
    </row>
    <row r="301">
      <c r="B301" s="275"/>
      <c r="C301" s="275"/>
      <c r="D301" s="275"/>
      <c r="E301" s="275"/>
      <c r="F301" s="275"/>
      <c r="G301" s="275"/>
      <c r="H301" s="275"/>
      <c r="I301" s="275"/>
      <c r="J301" s="275"/>
      <c r="K301" s="275"/>
      <c r="L301" s="275"/>
      <c r="M301" s="275"/>
      <c r="N301" s="275"/>
    </row>
    <row r="302">
      <c r="B302" s="275"/>
      <c r="C302" s="275"/>
      <c r="D302" s="275"/>
      <c r="E302" s="275"/>
      <c r="F302" s="275"/>
      <c r="G302" s="275"/>
      <c r="H302" s="275"/>
      <c r="I302" s="275"/>
      <c r="J302" s="275"/>
      <c r="K302" s="275"/>
      <c r="L302" s="275"/>
      <c r="M302" s="275"/>
      <c r="N302" s="275"/>
    </row>
    <row r="303">
      <c r="B303" s="275"/>
      <c r="C303" s="275"/>
      <c r="D303" s="275"/>
      <c r="E303" s="275"/>
      <c r="F303" s="275"/>
      <c r="G303" s="275"/>
      <c r="H303" s="275"/>
      <c r="I303" s="275"/>
      <c r="J303" s="275"/>
      <c r="K303" s="275"/>
      <c r="L303" s="275"/>
      <c r="M303" s="275"/>
      <c r="N303" s="275"/>
    </row>
    <row r="304">
      <c r="B304" s="275"/>
      <c r="C304" s="275"/>
      <c r="D304" s="275"/>
      <c r="E304" s="275"/>
      <c r="F304" s="275"/>
      <c r="G304" s="275"/>
      <c r="H304" s="275"/>
      <c r="I304" s="275"/>
      <c r="J304" s="275"/>
      <c r="K304" s="275"/>
      <c r="L304" s="275"/>
      <c r="M304" s="275"/>
      <c r="N304" s="275"/>
    </row>
    <row r="305">
      <c r="B305" s="275"/>
      <c r="C305" s="275"/>
      <c r="D305" s="275"/>
      <c r="E305" s="275"/>
      <c r="F305" s="275"/>
      <c r="G305" s="275"/>
      <c r="H305" s="275"/>
      <c r="I305" s="275"/>
      <c r="J305" s="275"/>
      <c r="K305" s="275"/>
      <c r="L305" s="275"/>
      <c r="M305" s="275"/>
      <c r="N305" s="275"/>
    </row>
    <row r="306">
      <c r="B306" s="275"/>
      <c r="C306" s="275"/>
      <c r="D306" s="275"/>
      <c r="E306" s="275"/>
      <c r="F306" s="275"/>
      <c r="G306" s="275"/>
      <c r="H306" s="275"/>
      <c r="I306" s="275"/>
      <c r="J306" s="275"/>
      <c r="K306" s="275"/>
      <c r="L306" s="275"/>
      <c r="M306" s="275"/>
      <c r="N306" s="275"/>
    </row>
    <row r="307">
      <c r="B307" s="275"/>
      <c r="C307" s="275"/>
      <c r="D307" s="275"/>
      <c r="E307" s="275"/>
      <c r="F307" s="275"/>
      <c r="G307" s="275"/>
      <c r="H307" s="275"/>
      <c r="I307" s="275"/>
      <c r="J307" s="275"/>
      <c r="K307" s="275"/>
      <c r="L307" s="275"/>
      <c r="M307" s="275"/>
      <c r="N307" s="275"/>
    </row>
    <row r="308">
      <c r="B308" s="275"/>
      <c r="C308" s="275"/>
      <c r="D308" s="275"/>
      <c r="E308" s="275"/>
      <c r="F308" s="275"/>
      <c r="G308" s="275"/>
      <c r="H308" s="275"/>
      <c r="I308" s="275"/>
      <c r="J308" s="275"/>
      <c r="K308" s="275"/>
      <c r="L308" s="275"/>
      <c r="M308" s="275"/>
      <c r="N308" s="275"/>
    </row>
    <row r="309">
      <c r="B309" s="275"/>
      <c r="C309" s="275"/>
      <c r="D309" s="275"/>
      <c r="E309" s="275"/>
      <c r="F309" s="275"/>
      <c r="G309" s="275"/>
      <c r="H309" s="275"/>
      <c r="I309" s="275"/>
      <c r="J309" s="275"/>
      <c r="K309" s="275"/>
      <c r="L309" s="275"/>
      <c r="M309" s="275"/>
      <c r="N309" s="275"/>
    </row>
    <row r="310">
      <c r="B310" s="275"/>
      <c r="C310" s="275"/>
      <c r="D310" s="275"/>
      <c r="E310" s="275"/>
      <c r="F310" s="275"/>
      <c r="G310" s="275"/>
      <c r="H310" s="275"/>
      <c r="I310" s="275"/>
      <c r="J310" s="275"/>
      <c r="K310" s="275"/>
      <c r="L310" s="275"/>
      <c r="M310" s="275"/>
      <c r="N310" s="275"/>
    </row>
    <row r="311">
      <c r="B311" s="275"/>
      <c r="C311" s="275"/>
      <c r="D311" s="275"/>
      <c r="E311" s="275"/>
      <c r="F311" s="275"/>
      <c r="G311" s="275"/>
      <c r="H311" s="275"/>
      <c r="I311" s="275"/>
      <c r="J311" s="275"/>
      <c r="K311" s="275"/>
      <c r="L311" s="275"/>
      <c r="M311" s="275"/>
      <c r="N311" s="275"/>
    </row>
    <row r="312">
      <c r="B312" s="275"/>
      <c r="C312" s="275"/>
      <c r="D312" s="275"/>
      <c r="E312" s="275"/>
      <c r="F312" s="275"/>
      <c r="G312" s="275"/>
      <c r="H312" s="275"/>
      <c r="I312" s="275"/>
      <c r="J312" s="275"/>
      <c r="K312" s="275"/>
      <c r="L312" s="275"/>
      <c r="M312" s="275"/>
      <c r="N312" s="275"/>
    </row>
    <row r="313">
      <c r="B313" s="275"/>
      <c r="C313" s="275"/>
      <c r="D313" s="275"/>
      <c r="E313" s="275"/>
      <c r="F313" s="275"/>
      <c r="G313" s="275"/>
      <c r="H313" s="275"/>
      <c r="I313" s="275"/>
      <c r="J313" s="275"/>
      <c r="K313" s="275"/>
      <c r="L313" s="275"/>
      <c r="M313" s="275"/>
      <c r="N313" s="275"/>
    </row>
    <row r="314">
      <c r="B314" s="275"/>
      <c r="C314" s="275"/>
      <c r="D314" s="275"/>
      <c r="E314" s="275"/>
      <c r="F314" s="275"/>
      <c r="G314" s="275"/>
      <c r="H314" s="275"/>
      <c r="I314" s="275"/>
      <c r="J314" s="275"/>
      <c r="K314" s="275"/>
      <c r="L314" s="275"/>
      <c r="M314" s="275"/>
      <c r="N314" s="275"/>
    </row>
    <row r="315">
      <c r="B315" s="275"/>
      <c r="C315" s="275"/>
      <c r="D315" s="275"/>
      <c r="E315" s="275"/>
      <c r="F315" s="275"/>
      <c r="G315" s="275"/>
      <c r="H315" s="275"/>
      <c r="I315" s="275"/>
      <c r="J315" s="275"/>
      <c r="K315" s="275"/>
      <c r="L315" s="275"/>
      <c r="M315" s="275"/>
      <c r="N315" s="275"/>
    </row>
    <row r="316">
      <c r="B316" s="275"/>
      <c r="C316" s="275"/>
      <c r="D316" s="275"/>
      <c r="E316" s="275"/>
      <c r="F316" s="275"/>
      <c r="G316" s="275"/>
      <c r="H316" s="275"/>
      <c r="I316" s="275"/>
      <c r="J316" s="275"/>
      <c r="K316" s="275"/>
      <c r="L316" s="275"/>
      <c r="M316" s="275"/>
      <c r="N316" s="275"/>
    </row>
    <row r="317">
      <c r="B317" s="275"/>
      <c r="C317" s="275"/>
      <c r="D317" s="275"/>
      <c r="E317" s="275"/>
      <c r="F317" s="275"/>
      <c r="G317" s="275"/>
      <c r="H317" s="275"/>
      <c r="I317" s="275"/>
      <c r="J317" s="275"/>
      <c r="K317" s="275"/>
      <c r="L317" s="275"/>
      <c r="M317" s="275"/>
      <c r="N317" s="275"/>
    </row>
    <row r="318">
      <c r="B318" s="275"/>
      <c r="C318" s="275"/>
      <c r="D318" s="275"/>
      <c r="E318" s="275"/>
      <c r="F318" s="275"/>
      <c r="G318" s="275"/>
      <c r="H318" s="275"/>
      <c r="I318" s="275"/>
      <c r="J318" s="275"/>
      <c r="K318" s="275"/>
      <c r="L318" s="275"/>
      <c r="M318" s="275"/>
      <c r="N318" s="275"/>
    </row>
    <row r="319">
      <c r="B319" s="275"/>
      <c r="C319" s="275"/>
      <c r="D319" s="275"/>
      <c r="E319" s="275"/>
      <c r="F319" s="275"/>
      <c r="G319" s="275"/>
      <c r="H319" s="275"/>
      <c r="I319" s="275"/>
      <c r="J319" s="275"/>
      <c r="K319" s="275"/>
      <c r="L319" s="275"/>
      <c r="M319" s="275"/>
      <c r="N319" s="275"/>
    </row>
    <row r="320">
      <c r="B320" s="275"/>
      <c r="C320" s="275"/>
      <c r="D320" s="275"/>
      <c r="E320" s="275"/>
      <c r="F320" s="275"/>
      <c r="G320" s="275"/>
      <c r="H320" s="275"/>
      <c r="I320" s="275"/>
      <c r="J320" s="275"/>
      <c r="K320" s="275"/>
      <c r="L320" s="275"/>
      <c r="M320" s="275"/>
      <c r="N320" s="275"/>
    </row>
    <row r="321">
      <c r="B321" s="275"/>
      <c r="C321" s="275"/>
      <c r="D321" s="275"/>
      <c r="E321" s="275"/>
      <c r="F321" s="275"/>
      <c r="G321" s="275"/>
      <c r="H321" s="275"/>
      <c r="I321" s="275"/>
      <c r="J321" s="275"/>
      <c r="K321" s="275"/>
      <c r="L321" s="275"/>
      <c r="M321" s="275"/>
      <c r="N321" s="275"/>
    </row>
    <row r="322">
      <c r="B322" s="275"/>
      <c r="C322" s="275"/>
      <c r="D322" s="275"/>
      <c r="E322" s="275"/>
      <c r="F322" s="275"/>
      <c r="G322" s="275"/>
      <c r="H322" s="275"/>
      <c r="I322" s="275"/>
      <c r="J322" s="275"/>
      <c r="K322" s="275"/>
      <c r="L322" s="275"/>
      <c r="M322" s="275"/>
      <c r="N322" s="275"/>
    </row>
    <row r="323">
      <c r="B323" s="275"/>
      <c r="C323" s="275"/>
      <c r="D323" s="275"/>
      <c r="E323" s="275"/>
      <c r="F323" s="275"/>
      <c r="G323" s="275"/>
      <c r="H323" s="275"/>
      <c r="I323" s="275"/>
      <c r="J323" s="275"/>
      <c r="K323" s="275"/>
      <c r="L323" s="275"/>
      <c r="M323" s="275"/>
      <c r="N323" s="275"/>
    </row>
    <row r="324">
      <c r="B324" s="275"/>
      <c r="C324" s="275"/>
      <c r="D324" s="275"/>
      <c r="E324" s="275"/>
      <c r="F324" s="275"/>
      <c r="G324" s="275"/>
      <c r="H324" s="275"/>
      <c r="I324" s="275"/>
      <c r="J324" s="275"/>
      <c r="K324" s="275"/>
      <c r="L324" s="275"/>
      <c r="M324" s="275"/>
      <c r="N324" s="275"/>
    </row>
    <row r="325">
      <c r="B325" s="275"/>
      <c r="C325" s="275"/>
      <c r="D325" s="275"/>
      <c r="E325" s="275"/>
      <c r="F325" s="275"/>
      <c r="G325" s="275"/>
      <c r="H325" s="275"/>
      <c r="I325" s="275"/>
      <c r="J325" s="275"/>
      <c r="K325" s="275"/>
      <c r="L325" s="275"/>
      <c r="M325" s="275"/>
      <c r="N325" s="275"/>
    </row>
    <row r="326">
      <c r="B326" s="275"/>
      <c r="C326" s="275"/>
      <c r="D326" s="275"/>
      <c r="E326" s="275"/>
      <c r="F326" s="275"/>
      <c r="G326" s="275"/>
      <c r="H326" s="275"/>
      <c r="I326" s="275"/>
      <c r="J326" s="275"/>
      <c r="K326" s="275"/>
      <c r="L326" s="275"/>
      <c r="M326" s="275"/>
      <c r="N326" s="275"/>
    </row>
    <row r="327">
      <c r="B327" s="275"/>
      <c r="C327" s="275"/>
      <c r="D327" s="275"/>
      <c r="E327" s="275"/>
      <c r="F327" s="275"/>
      <c r="G327" s="275"/>
      <c r="H327" s="275"/>
      <c r="I327" s="275"/>
      <c r="J327" s="275"/>
      <c r="K327" s="275"/>
      <c r="L327" s="275"/>
      <c r="M327" s="275"/>
      <c r="N327" s="275"/>
    </row>
    <row r="328">
      <c r="B328" s="275"/>
      <c r="C328" s="275"/>
      <c r="D328" s="275"/>
      <c r="E328" s="275"/>
      <c r="F328" s="275"/>
      <c r="G328" s="275"/>
      <c r="H328" s="275"/>
      <c r="I328" s="275"/>
      <c r="J328" s="275"/>
      <c r="K328" s="275"/>
      <c r="L328" s="275"/>
      <c r="M328" s="275"/>
      <c r="N328" s="275"/>
    </row>
    <row r="329">
      <c r="B329" s="275"/>
      <c r="C329" s="275"/>
      <c r="D329" s="275"/>
      <c r="E329" s="275"/>
      <c r="F329" s="275"/>
      <c r="G329" s="275"/>
      <c r="H329" s="275"/>
      <c r="I329" s="275"/>
      <c r="J329" s="275"/>
      <c r="K329" s="275"/>
      <c r="L329" s="275"/>
      <c r="M329" s="275"/>
      <c r="N329" s="275"/>
    </row>
    <row r="330">
      <c r="B330" s="275"/>
      <c r="C330" s="275"/>
      <c r="D330" s="275"/>
      <c r="E330" s="275"/>
      <c r="F330" s="275"/>
      <c r="G330" s="275"/>
      <c r="H330" s="275"/>
      <c r="I330" s="275"/>
      <c r="J330" s="275"/>
      <c r="K330" s="275"/>
      <c r="L330" s="275"/>
      <c r="M330" s="275"/>
      <c r="N330" s="275"/>
    </row>
    <row r="331">
      <c r="B331" s="275"/>
      <c r="C331" s="275"/>
      <c r="D331" s="275"/>
      <c r="E331" s="275"/>
      <c r="F331" s="275"/>
      <c r="G331" s="275"/>
      <c r="H331" s="275"/>
      <c r="I331" s="275"/>
      <c r="J331" s="275"/>
      <c r="K331" s="275"/>
      <c r="L331" s="275"/>
      <c r="M331" s="275"/>
      <c r="N331" s="275"/>
    </row>
    <row r="332">
      <c r="B332" s="275"/>
      <c r="C332" s="275"/>
      <c r="D332" s="275"/>
      <c r="E332" s="275"/>
      <c r="F332" s="275"/>
      <c r="G332" s="275"/>
      <c r="H332" s="275"/>
      <c r="I332" s="275"/>
      <c r="J332" s="275"/>
      <c r="K332" s="275"/>
      <c r="L332" s="275"/>
      <c r="M332" s="275"/>
      <c r="N332" s="275"/>
    </row>
    <row r="333">
      <c r="B333" s="275"/>
      <c r="C333" s="275"/>
      <c r="D333" s="275"/>
      <c r="E333" s="275"/>
      <c r="F333" s="275"/>
      <c r="G333" s="275"/>
      <c r="H333" s="275"/>
      <c r="I333" s="275"/>
      <c r="J333" s="275"/>
      <c r="K333" s="275"/>
      <c r="L333" s="275"/>
      <c r="M333" s="275"/>
      <c r="N333" s="275"/>
    </row>
    <row r="334">
      <c r="B334" s="275"/>
      <c r="C334" s="275"/>
      <c r="D334" s="275"/>
      <c r="E334" s="275"/>
      <c r="F334" s="275"/>
      <c r="G334" s="275"/>
      <c r="H334" s="275"/>
      <c r="I334" s="275"/>
      <c r="J334" s="275"/>
      <c r="K334" s="275"/>
      <c r="L334" s="275"/>
      <c r="M334" s="275"/>
      <c r="N334" s="275"/>
    </row>
    <row r="335">
      <c r="B335" s="275"/>
      <c r="C335" s="275"/>
      <c r="D335" s="275"/>
      <c r="E335" s="275"/>
      <c r="F335" s="275"/>
      <c r="G335" s="275"/>
      <c r="H335" s="275"/>
      <c r="I335" s="275"/>
      <c r="J335" s="275"/>
      <c r="K335" s="275"/>
      <c r="L335" s="275"/>
      <c r="M335" s="275"/>
      <c r="N335" s="275"/>
    </row>
    <row r="336">
      <c r="B336" s="275"/>
      <c r="C336" s="275"/>
      <c r="D336" s="275"/>
      <c r="E336" s="275"/>
      <c r="F336" s="275"/>
      <c r="G336" s="275"/>
      <c r="H336" s="275"/>
      <c r="I336" s="275"/>
      <c r="J336" s="275"/>
      <c r="K336" s="275"/>
      <c r="L336" s="275"/>
      <c r="M336" s="275"/>
      <c r="N336" s="275"/>
    </row>
    <row r="337">
      <c r="B337" s="275"/>
      <c r="C337" s="275"/>
      <c r="D337" s="275"/>
      <c r="E337" s="275"/>
      <c r="F337" s="275"/>
      <c r="G337" s="275"/>
      <c r="H337" s="275"/>
      <c r="I337" s="275"/>
      <c r="J337" s="275"/>
      <c r="K337" s="275"/>
      <c r="L337" s="275"/>
      <c r="M337" s="275"/>
      <c r="N337" s="275"/>
    </row>
    <row r="338">
      <c r="B338" s="275"/>
      <c r="C338" s="275"/>
      <c r="D338" s="275"/>
      <c r="E338" s="275"/>
      <c r="F338" s="275"/>
      <c r="G338" s="275"/>
      <c r="H338" s="275"/>
      <c r="I338" s="275"/>
      <c r="J338" s="275"/>
      <c r="K338" s="275"/>
      <c r="L338" s="275"/>
      <c r="M338" s="275"/>
      <c r="N338" s="275"/>
    </row>
    <row r="339">
      <c r="B339" s="275"/>
      <c r="C339" s="275"/>
      <c r="D339" s="275"/>
      <c r="E339" s="275"/>
      <c r="F339" s="275"/>
      <c r="G339" s="275"/>
      <c r="H339" s="275"/>
      <c r="I339" s="275"/>
      <c r="J339" s="275"/>
      <c r="K339" s="275"/>
      <c r="L339" s="275"/>
      <c r="M339" s="275"/>
      <c r="N339" s="275"/>
    </row>
    <row r="340">
      <c r="B340" s="275"/>
      <c r="C340" s="275"/>
      <c r="D340" s="275"/>
      <c r="E340" s="275"/>
      <c r="F340" s="275"/>
      <c r="G340" s="275"/>
      <c r="H340" s="275"/>
      <c r="I340" s="275"/>
      <c r="J340" s="275"/>
      <c r="K340" s="275"/>
      <c r="L340" s="275"/>
      <c r="M340" s="275"/>
      <c r="N340" s="275"/>
    </row>
    <row r="341">
      <c r="B341" s="275"/>
      <c r="C341" s="275"/>
      <c r="D341" s="275"/>
      <c r="E341" s="275"/>
      <c r="F341" s="275"/>
      <c r="G341" s="275"/>
      <c r="H341" s="275"/>
      <c r="I341" s="275"/>
      <c r="J341" s="275"/>
      <c r="K341" s="275"/>
      <c r="L341" s="275"/>
      <c r="M341" s="275"/>
      <c r="N341" s="275"/>
    </row>
    <row r="342">
      <c r="B342" s="275"/>
      <c r="C342" s="275"/>
      <c r="D342" s="275"/>
      <c r="E342" s="275"/>
      <c r="F342" s="275"/>
      <c r="G342" s="275"/>
      <c r="H342" s="275"/>
      <c r="I342" s="275"/>
      <c r="J342" s="275"/>
      <c r="K342" s="275"/>
      <c r="L342" s="275"/>
      <c r="M342" s="275"/>
      <c r="N342" s="275"/>
    </row>
    <row r="343">
      <c r="B343" s="275"/>
      <c r="C343" s="275"/>
      <c r="D343" s="275"/>
      <c r="E343" s="275"/>
      <c r="F343" s="275"/>
      <c r="G343" s="275"/>
      <c r="H343" s="275"/>
      <c r="I343" s="275"/>
      <c r="J343" s="275"/>
      <c r="K343" s="275"/>
      <c r="L343" s="275"/>
      <c r="M343" s="275"/>
      <c r="N343" s="275"/>
    </row>
    <row r="344">
      <c r="B344" s="275"/>
      <c r="C344" s="275"/>
      <c r="D344" s="275"/>
      <c r="E344" s="275"/>
      <c r="F344" s="275"/>
      <c r="G344" s="275"/>
      <c r="H344" s="275"/>
      <c r="I344" s="275"/>
      <c r="J344" s="275"/>
      <c r="K344" s="275"/>
      <c r="L344" s="275"/>
      <c r="M344" s="275"/>
      <c r="N344" s="275"/>
    </row>
    <row r="345">
      <c r="B345" s="275"/>
      <c r="C345" s="275"/>
      <c r="D345" s="275"/>
      <c r="E345" s="275"/>
      <c r="F345" s="275"/>
      <c r="G345" s="275"/>
      <c r="H345" s="275"/>
      <c r="I345" s="275"/>
      <c r="J345" s="275"/>
      <c r="K345" s="275"/>
      <c r="L345" s="275"/>
      <c r="M345" s="275"/>
      <c r="N345" s="275"/>
    </row>
    <row r="346">
      <c r="B346" s="275"/>
      <c r="C346" s="275"/>
      <c r="D346" s="275"/>
      <c r="E346" s="275"/>
      <c r="F346" s="275"/>
      <c r="G346" s="275"/>
      <c r="H346" s="275"/>
      <c r="I346" s="275"/>
      <c r="J346" s="275"/>
      <c r="K346" s="275"/>
      <c r="L346" s="275"/>
      <c r="M346" s="275"/>
      <c r="N346" s="275"/>
    </row>
    <row r="347">
      <c r="B347" s="275"/>
      <c r="C347" s="275"/>
      <c r="D347" s="275"/>
      <c r="E347" s="275"/>
      <c r="F347" s="275"/>
      <c r="G347" s="275"/>
      <c r="H347" s="275"/>
      <c r="I347" s="275"/>
      <c r="J347" s="275"/>
      <c r="K347" s="275"/>
      <c r="L347" s="275"/>
      <c r="M347" s="275"/>
      <c r="N347" s="275"/>
    </row>
    <row r="348">
      <c r="B348" s="275"/>
      <c r="C348" s="275"/>
      <c r="D348" s="275"/>
      <c r="E348" s="275"/>
      <c r="F348" s="275"/>
      <c r="G348" s="275"/>
      <c r="H348" s="275"/>
      <c r="I348" s="275"/>
      <c r="J348" s="275"/>
      <c r="K348" s="275"/>
      <c r="L348" s="275"/>
      <c r="M348" s="275"/>
      <c r="N348" s="275"/>
    </row>
    <row r="349">
      <c r="B349" s="275"/>
      <c r="C349" s="275"/>
      <c r="D349" s="275"/>
      <c r="E349" s="275"/>
      <c r="F349" s="275"/>
      <c r="G349" s="275"/>
      <c r="H349" s="275"/>
      <c r="I349" s="275"/>
      <c r="J349" s="275"/>
      <c r="K349" s="275"/>
      <c r="L349" s="275"/>
      <c r="M349" s="275"/>
      <c r="N349" s="275"/>
    </row>
    <row r="350">
      <c r="B350" s="275"/>
      <c r="C350" s="275"/>
      <c r="D350" s="275"/>
      <c r="E350" s="275"/>
      <c r="F350" s="275"/>
      <c r="G350" s="275"/>
      <c r="H350" s="275"/>
      <c r="I350" s="275"/>
      <c r="J350" s="275"/>
      <c r="K350" s="275"/>
      <c r="L350" s="275"/>
      <c r="M350" s="275"/>
      <c r="N350" s="275"/>
    </row>
    <row r="351">
      <c r="B351" s="275"/>
      <c r="C351" s="275"/>
      <c r="D351" s="275"/>
      <c r="E351" s="275"/>
      <c r="F351" s="275"/>
      <c r="G351" s="275"/>
      <c r="H351" s="275"/>
      <c r="I351" s="275"/>
      <c r="J351" s="275"/>
      <c r="K351" s="275"/>
      <c r="L351" s="275"/>
      <c r="M351" s="275"/>
      <c r="N351" s="275"/>
    </row>
    <row r="352">
      <c r="B352" s="275"/>
      <c r="C352" s="275"/>
      <c r="D352" s="275"/>
      <c r="E352" s="275"/>
      <c r="F352" s="275"/>
      <c r="G352" s="275"/>
      <c r="H352" s="275"/>
      <c r="I352" s="275"/>
      <c r="J352" s="275"/>
      <c r="K352" s="275"/>
      <c r="L352" s="275"/>
      <c r="M352" s="275"/>
      <c r="N352" s="275"/>
    </row>
    <row r="353">
      <c r="B353" s="275"/>
      <c r="C353" s="275"/>
      <c r="D353" s="275"/>
      <c r="E353" s="275"/>
      <c r="F353" s="275"/>
      <c r="G353" s="275"/>
      <c r="H353" s="275"/>
      <c r="I353" s="275"/>
      <c r="J353" s="275"/>
      <c r="K353" s="275"/>
      <c r="L353" s="275"/>
      <c r="M353" s="275"/>
      <c r="N353" s="275"/>
    </row>
    <row r="354">
      <c r="B354" s="275"/>
      <c r="C354" s="275"/>
      <c r="D354" s="275"/>
      <c r="E354" s="275"/>
      <c r="F354" s="275"/>
      <c r="G354" s="275"/>
      <c r="H354" s="275"/>
      <c r="I354" s="275"/>
      <c r="J354" s="275"/>
      <c r="K354" s="275"/>
      <c r="L354" s="275"/>
      <c r="M354" s="275"/>
      <c r="N354" s="275"/>
    </row>
    <row r="355">
      <c r="B355" s="275"/>
      <c r="C355" s="275"/>
      <c r="D355" s="275"/>
      <c r="E355" s="275"/>
      <c r="F355" s="275"/>
      <c r="G355" s="275"/>
      <c r="H355" s="275"/>
      <c r="I355" s="275"/>
      <c r="J355" s="275"/>
      <c r="K355" s="275"/>
      <c r="L355" s="275"/>
      <c r="M355" s="275"/>
      <c r="N355" s="275"/>
    </row>
    <row r="356">
      <c r="B356" s="275"/>
      <c r="C356" s="275"/>
      <c r="D356" s="275"/>
      <c r="E356" s="275"/>
      <c r="F356" s="275"/>
      <c r="G356" s="275"/>
      <c r="H356" s="275"/>
      <c r="I356" s="275"/>
      <c r="J356" s="275"/>
      <c r="K356" s="275"/>
      <c r="L356" s="275"/>
      <c r="M356" s="275"/>
      <c r="N356" s="275"/>
    </row>
    <row r="357">
      <c r="B357" s="275"/>
      <c r="C357" s="275"/>
      <c r="D357" s="275"/>
      <c r="E357" s="275"/>
      <c r="F357" s="275"/>
      <c r="G357" s="275"/>
      <c r="H357" s="275"/>
      <c r="I357" s="275"/>
      <c r="J357" s="275"/>
      <c r="K357" s="275"/>
      <c r="L357" s="275"/>
      <c r="M357" s="275"/>
      <c r="N357" s="275"/>
    </row>
    <row r="358">
      <c r="B358" s="275"/>
      <c r="C358" s="275"/>
      <c r="D358" s="275"/>
      <c r="E358" s="275"/>
      <c r="F358" s="275"/>
      <c r="G358" s="275"/>
      <c r="H358" s="275"/>
      <c r="I358" s="275"/>
      <c r="J358" s="275"/>
      <c r="K358" s="275"/>
      <c r="L358" s="275"/>
      <c r="M358" s="275"/>
      <c r="N358" s="275"/>
    </row>
    <row r="359">
      <c r="B359" s="275"/>
      <c r="C359" s="275"/>
      <c r="D359" s="275"/>
      <c r="E359" s="275"/>
      <c r="F359" s="275"/>
      <c r="G359" s="275"/>
      <c r="H359" s="275"/>
      <c r="I359" s="275"/>
      <c r="J359" s="275"/>
      <c r="K359" s="275"/>
      <c r="L359" s="275"/>
      <c r="M359" s="275"/>
      <c r="N359" s="275"/>
    </row>
    <row r="360">
      <c r="B360" s="275"/>
      <c r="C360" s="275"/>
      <c r="D360" s="275"/>
      <c r="E360" s="275"/>
      <c r="F360" s="275"/>
      <c r="G360" s="275"/>
      <c r="H360" s="275"/>
      <c r="I360" s="275"/>
      <c r="J360" s="275"/>
      <c r="K360" s="275"/>
      <c r="L360" s="275"/>
      <c r="M360" s="275"/>
      <c r="N360" s="275"/>
    </row>
    <row r="361">
      <c r="B361" s="275"/>
      <c r="C361" s="275"/>
      <c r="D361" s="275"/>
      <c r="E361" s="275"/>
      <c r="F361" s="275"/>
      <c r="G361" s="275"/>
      <c r="H361" s="275"/>
      <c r="I361" s="275"/>
      <c r="J361" s="275"/>
      <c r="K361" s="275"/>
      <c r="L361" s="275"/>
      <c r="M361" s="275"/>
      <c r="N361" s="275"/>
    </row>
    <row r="362">
      <c r="B362" s="275"/>
      <c r="C362" s="275"/>
      <c r="D362" s="275"/>
      <c r="E362" s="275"/>
      <c r="F362" s="275"/>
      <c r="G362" s="275"/>
      <c r="H362" s="275"/>
      <c r="I362" s="275"/>
      <c r="J362" s="275"/>
      <c r="K362" s="275"/>
      <c r="L362" s="275"/>
      <c r="M362" s="275"/>
      <c r="N362" s="275"/>
    </row>
    <row r="363">
      <c r="B363" s="275"/>
      <c r="C363" s="275"/>
      <c r="D363" s="275"/>
      <c r="E363" s="275"/>
      <c r="F363" s="275"/>
      <c r="G363" s="275"/>
      <c r="H363" s="275"/>
      <c r="I363" s="275"/>
      <c r="J363" s="275"/>
      <c r="K363" s="275"/>
      <c r="L363" s="275"/>
      <c r="M363" s="275"/>
      <c r="N363" s="275"/>
    </row>
    <row r="364">
      <c r="B364" s="275"/>
      <c r="C364" s="275"/>
      <c r="D364" s="275"/>
      <c r="E364" s="275"/>
      <c r="F364" s="275"/>
      <c r="G364" s="275"/>
      <c r="H364" s="275"/>
      <c r="I364" s="275"/>
      <c r="J364" s="275"/>
      <c r="K364" s="275"/>
      <c r="L364" s="275"/>
      <c r="M364" s="275"/>
      <c r="N364" s="275"/>
    </row>
    <row r="365">
      <c r="B365" s="275"/>
      <c r="C365" s="275"/>
      <c r="D365" s="275"/>
      <c r="E365" s="275"/>
      <c r="F365" s="275"/>
      <c r="G365" s="275"/>
      <c r="H365" s="275"/>
      <c r="I365" s="275"/>
      <c r="J365" s="275"/>
      <c r="K365" s="275"/>
      <c r="L365" s="275"/>
      <c r="M365" s="275"/>
      <c r="N365" s="275"/>
    </row>
    <row r="366">
      <c r="B366" s="275"/>
      <c r="C366" s="275"/>
      <c r="D366" s="275"/>
      <c r="E366" s="275"/>
      <c r="F366" s="275"/>
      <c r="G366" s="275"/>
      <c r="H366" s="275"/>
      <c r="I366" s="275"/>
      <c r="J366" s="275"/>
      <c r="K366" s="275"/>
      <c r="L366" s="275"/>
      <c r="M366" s="275"/>
      <c r="N366" s="275"/>
    </row>
    <row r="367">
      <c r="B367" s="275"/>
      <c r="C367" s="275"/>
      <c r="D367" s="275"/>
      <c r="E367" s="275"/>
      <c r="F367" s="275"/>
      <c r="G367" s="275"/>
      <c r="H367" s="275"/>
      <c r="I367" s="275"/>
      <c r="J367" s="275"/>
      <c r="K367" s="275"/>
      <c r="L367" s="275"/>
      <c r="M367" s="275"/>
      <c r="N367" s="275"/>
    </row>
    <row r="368">
      <c r="B368" s="275"/>
      <c r="C368" s="275"/>
      <c r="D368" s="275"/>
      <c r="E368" s="275"/>
      <c r="F368" s="275"/>
      <c r="G368" s="275"/>
      <c r="H368" s="275"/>
      <c r="I368" s="275"/>
      <c r="J368" s="275"/>
      <c r="K368" s="275"/>
      <c r="L368" s="275"/>
      <c r="M368" s="275"/>
      <c r="N368" s="275"/>
    </row>
    <row r="369">
      <c r="B369" s="275"/>
      <c r="C369" s="275"/>
      <c r="D369" s="275"/>
      <c r="E369" s="275"/>
      <c r="F369" s="275"/>
      <c r="G369" s="275"/>
      <c r="H369" s="275"/>
      <c r="I369" s="275"/>
      <c r="J369" s="275"/>
      <c r="K369" s="275"/>
      <c r="L369" s="275"/>
      <c r="M369" s="275"/>
      <c r="N369" s="275"/>
    </row>
    <row r="370">
      <c r="B370" s="275"/>
      <c r="C370" s="275"/>
      <c r="D370" s="275"/>
      <c r="E370" s="275"/>
      <c r="F370" s="275"/>
      <c r="G370" s="275"/>
      <c r="H370" s="275"/>
      <c r="I370" s="275"/>
      <c r="J370" s="275"/>
      <c r="K370" s="275"/>
      <c r="L370" s="275"/>
      <c r="M370" s="275"/>
      <c r="N370" s="275"/>
    </row>
    <row r="371">
      <c r="B371" s="275"/>
      <c r="C371" s="275"/>
      <c r="D371" s="275"/>
      <c r="E371" s="275"/>
      <c r="F371" s="275"/>
      <c r="G371" s="275"/>
      <c r="H371" s="275"/>
      <c r="I371" s="275"/>
      <c r="J371" s="275"/>
      <c r="K371" s="275"/>
      <c r="L371" s="275"/>
      <c r="M371" s="275"/>
      <c r="N371" s="275"/>
    </row>
    <row r="372">
      <c r="B372" s="275"/>
      <c r="C372" s="275"/>
      <c r="D372" s="275"/>
      <c r="E372" s="275"/>
      <c r="F372" s="275"/>
      <c r="G372" s="275"/>
      <c r="H372" s="275"/>
      <c r="I372" s="275"/>
      <c r="J372" s="275"/>
      <c r="K372" s="275"/>
      <c r="L372" s="275"/>
      <c r="M372" s="275"/>
      <c r="N372" s="275"/>
    </row>
    <row r="373">
      <c r="B373" s="275"/>
      <c r="C373" s="275"/>
      <c r="D373" s="275"/>
      <c r="E373" s="275"/>
      <c r="F373" s="275"/>
      <c r="G373" s="275"/>
      <c r="H373" s="275"/>
      <c r="I373" s="275"/>
      <c r="J373" s="275"/>
      <c r="K373" s="275"/>
      <c r="L373" s="275"/>
      <c r="M373" s="275"/>
      <c r="N373" s="275"/>
    </row>
    <row r="374">
      <c r="B374" s="275"/>
      <c r="C374" s="275"/>
      <c r="D374" s="275"/>
      <c r="E374" s="275"/>
      <c r="F374" s="275"/>
      <c r="G374" s="275"/>
      <c r="H374" s="275"/>
      <c r="I374" s="275"/>
      <c r="J374" s="275"/>
      <c r="K374" s="275"/>
      <c r="L374" s="275"/>
      <c r="M374" s="275"/>
      <c r="N374" s="275"/>
    </row>
    <row r="375">
      <c r="B375" s="275"/>
      <c r="C375" s="275"/>
      <c r="D375" s="275"/>
      <c r="E375" s="275"/>
      <c r="F375" s="275"/>
      <c r="G375" s="275"/>
      <c r="H375" s="275"/>
      <c r="I375" s="275"/>
      <c r="J375" s="275"/>
      <c r="K375" s="275"/>
      <c r="L375" s="275"/>
      <c r="M375" s="275"/>
      <c r="N375" s="275"/>
    </row>
    <row r="376">
      <c r="B376" s="275"/>
      <c r="C376" s="275"/>
      <c r="D376" s="275"/>
      <c r="E376" s="275"/>
      <c r="F376" s="275"/>
      <c r="G376" s="275"/>
      <c r="H376" s="275"/>
      <c r="I376" s="275"/>
      <c r="J376" s="275"/>
      <c r="K376" s="275"/>
      <c r="L376" s="275"/>
      <c r="M376" s="275"/>
      <c r="N376" s="275"/>
    </row>
    <row r="377">
      <c r="B377" s="275"/>
      <c r="C377" s="275"/>
      <c r="D377" s="275"/>
      <c r="E377" s="275"/>
      <c r="F377" s="275"/>
      <c r="G377" s="275"/>
      <c r="H377" s="275"/>
      <c r="I377" s="275"/>
      <c r="J377" s="275"/>
      <c r="K377" s="275"/>
      <c r="L377" s="275"/>
      <c r="M377" s="275"/>
      <c r="N377" s="275"/>
    </row>
    <row r="378">
      <c r="B378" s="275"/>
      <c r="C378" s="275"/>
      <c r="D378" s="275"/>
      <c r="E378" s="275"/>
      <c r="F378" s="275"/>
      <c r="G378" s="275"/>
      <c r="H378" s="275"/>
      <c r="I378" s="275"/>
      <c r="J378" s="275"/>
      <c r="K378" s="275"/>
      <c r="L378" s="275"/>
      <c r="M378" s="275"/>
      <c r="N378" s="275"/>
    </row>
    <row r="379">
      <c r="B379" s="275"/>
      <c r="C379" s="275"/>
      <c r="D379" s="275"/>
      <c r="E379" s="275"/>
      <c r="F379" s="275"/>
      <c r="G379" s="275"/>
      <c r="H379" s="275"/>
      <c r="I379" s="275"/>
      <c r="J379" s="275"/>
      <c r="K379" s="275"/>
      <c r="L379" s="275"/>
      <c r="M379" s="275"/>
      <c r="N379" s="275"/>
    </row>
    <row r="380">
      <c r="B380" s="275"/>
      <c r="C380" s="275"/>
      <c r="D380" s="275"/>
      <c r="E380" s="275"/>
      <c r="F380" s="275"/>
      <c r="G380" s="275"/>
      <c r="H380" s="275"/>
      <c r="I380" s="275"/>
      <c r="J380" s="275"/>
      <c r="K380" s="275"/>
      <c r="L380" s="275"/>
      <c r="M380" s="275"/>
      <c r="N380" s="275"/>
    </row>
    <row r="381">
      <c r="B381" s="275"/>
      <c r="C381" s="275"/>
      <c r="D381" s="275"/>
      <c r="E381" s="275"/>
      <c r="F381" s="275"/>
      <c r="G381" s="275"/>
      <c r="H381" s="275"/>
      <c r="I381" s="275"/>
      <c r="J381" s="275"/>
      <c r="K381" s="275"/>
      <c r="L381" s="275"/>
      <c r="M381" s="275"/>
      <c r="N381" s="275"/>
    </row>
    <row r="382">
      <c r="B382" s="275"/>
      <c r="C382" s="275"/>
      <c r="D382" s="275"/>
      <c r="E382" s="275"/>
      <c r="F382" s="275"/>
      <c r="G382" s="275"/>
      <c r="H382" s="275"/>
      <c r="I382" s="275"/>
      <c r="J382" s="275"/>
      <c r="K382" s="275"/>
      <c r="L382" s="275"/>
      <c r="M382" s="275"/>
      <c r="N382" s="275"/>
    </row>
    <row r="383">
      <c r="B383" s="275"/>
      <c r="C383" s="275"/>
      <c r="D383" s="275"/>
      <c r="E383" s="275"/>
      <c r="F383" s="275"/>
      <c r="G383" s="275"/>
      <c r="H383" s="275"/>
      <c r="I383" s="275"/>
      <c r="J383" s="275"/>
      <c r="K383" s="275"/>
      <c r="L383" s="275"/>
      <c r="M383" s="275"/>
      <c r="N383" s="275"/>
    </row>
    <row r="384">
      <c r="B384" s="275"/>
      <c r="C384" s="275"/>
      <c r="D384" s="275"/>
      <c r="E384" s="275"/>
      <c r="F384" s="275"/>
      <c r="G384" s="275"/>
      <c r="H384" s="275"/>
      <c r="I384" s="275"/>
      <c r="J384" s="275"/>
      <c r="K384" s="275"/>
      <c r="L384" s="275"/>
      <c r="M384" s="275"/>
      <c r="N384" s="275"/>
    </row>
    <row r="385">
      <c r="B385" s="275"/>
      <c r="C385" s="275"/>
      <c r="D385" s="275"/>
      <c r="E385" s="275"/>
      <c r="F385" s="275"/>
      <c r="G385" s="275"/>
      <c r="H385" s="275"/>
      <c r="I385" s="275"/>
      <c r="J385" s="275"/>
      <c r="K385" s="275"/>
      <c r="L385" s="275"/>
      <c r="M385" s="275"/>
      <c r="N385" s="275"/>
    </row>
    <row r="386">
      <c r="B386" s="275"/>
      <c r="C386" s="275"/>
      <c r="D386" s="275"/>
      <c r="E386" s="275"/>
      <c r="F386" s="275"/>
      <c r="G386" s="275"/>
      <c r="H386" s="275"/>
      <c r="I386" s="275"/>
      <c r="J386" s="275"/>
      <c r="K386" s="275"/>
      <c r="L386" s="275"/>
      <c r="M386" s="275"/>
      <c r="N386" s="275"/>
    </row>
    <row r="387">
      <c r="B387" s="275"/>
      <c r="C387" s="275"/>
      <c r="D387" s="275"/>
      <c r="E387" s="275"/>
      <c r="F387" s="275"/>
      <c r="G387" s="275"/>
      <c r="H387" s="275"/>
      <c r="I387" s="275"/>
      <c r="J387" s="275"/>
      <c r="K387" s="275"/>
      <c r="L387" s="275"/>
      <c r="M387" s="275"/>
      <c r="N387" s="275"/>
    </row>
    <row r="388">
      <c r="B388" s="275"/>
      <c r="C388" s="275"/>
      <c r="D388" s="275"/>
      <c r="E388" s="275"/>
      <c r="F388" s="275"/>
      <c r="G388" s="275"/>
      <c r="H388" s="275"/>
      <c r="I388" s="275"/>
      <c r="J388" s="275"/>
      <c r="K388" s="275"/>
      <c r="L388" s="275"/>
      <c r="M388" s="275"/>
      <c r="N388" s="275"/>
    </row>
    <row r="389">
      <c r="B389" s="275"/>
      <c r="C389" s="275"/>
      <c r="D389" s="275"/>
      <c r="E389" s="275"/>
      <c r="F389" s="275"/>
      <c r="G389" s="275"/>
      <c r="H389" s="275"/>
      <c r="I389" s="275"/>
      <c r="J389" s="275"/>
      <c r="K389" s="275"/>
      <c r="L389" s="275"/>
      <c r="M389" s="275"/>
      <c r="N389" s="275"/>
    </row>
    <row r="390">
      <c r="B390" s="275"/>
      <c r="C390" s="275"/>
      <c r="D390" s="275"/>
      <c r="E390" s="275"/>
      <c r="F390" s="275"/>
      <c r="G390" s="275"/>
      <c r="H390" s="275"/>
      <c r="I390" s="275"/>
      <c r="J390" s="275"/>
      <c r="K390" s="275"/>
      <c r="L390" s="275"/>
      <c r="M390" s="275"/>
      <c r="N390" s="275"/>
    </row>
    <row r="391">
      <c r="B391" s="275"/>
      <c r="C391" s="275"/>
      <c r="D391" s="275"/>
      <c r="E391" s="275"/>
      <c r="F391" s="275"/>
      <c r="G391" s="275"/>
      <c r="H391" s="275"/>
      <c r="I391" s="275"/>
      <c r="J391" s="275"/>
      <c r="K391" s="275"/>
      <c r="L391" s="275"/>
      <c r="M391" s="275"/>
      <c r="N391" s="275"/>
    </row>
    <row r="392">
      <c r="B392" s="275"/>
      <c r="C392" s="275"/>
      <c r="D392" s="275"/>
      <c r="E392" s="275"/>
      <c r="F392" s="275"/>
      <c r="G392" s="275"/>
      <c r="H392" s="275"/>
      <c r="I392" s="275"/>
      <c r="J392" s="275"/>
      <c r="K392" s="275"/>
      <c r="L392" s="275"/>
      <c r="M392" s="275"/>
      <c r="N392" s="275"/>
    </row>
    <row r="393">
      <c r="B393" s="275"/>
      <c r="C393" s="275"/>
      <c r="D393" s="275"/>
      <c r="E393" s="275"/>
      <c r="F393" s="275"/>
      <c r="G393" s="275"/>
      <c r="H393" s="275"/>
      <c r="I393" s="275"/>
      <c r="J393" s="275"/>
      <c r="K393" s="275"/>
      <c r="L393" s="275"/>
      <c r="M393" s="275"/>
      <c r="N393" s="275"/>
    </row>
    <row r="394">
      <c r="B394" s="275"/>
      <c r="C394" s="275"/>
      <c r="D394" s="275"/>
      <c r="E394" s="275"/>
      <c r="F394" s="275"/>
      <c r="G394" s="275"/>
      <c r="H394" s="275"/>
      <c r="I394" s="275"/>
      <c r="J394" s="275"/>
      <c r="K394" s="275"/>
      <c r="L394" s="275"/>
      <c r="M394" s="275"/>
      <c r="N394" s="275"/>
    </row>
    <row r="395">
      <c r="B395" s="275"/>
      <c r="C395" s="275"/>
      <c r="D395" s="275"/>
      <c r="E395" s="275"/>
      <c r="F395" s="275"/>
      <c r="G395" s="275"/>
      <c r="H395" s="275"/>
      <c r="I395" s="275"/>
      <c r="J395" s="275"/>
      <c r="K395" s="275"/>
      <c r="L395" s="275"/>
      <c r="M395" s="275"/>
      <c r="N395" s="275"/>
    </row>
    <row r="396">
      <c r="B396" s="275"/>
      <c r="C396" s="275"/>
      <c r="D396" s="275"/>
      <c r="E396" s="275"/>
      <c r="F396" s="275"/>
      <c r="G396" s="275"/>
      <c r="H396" s="275"/>
      <c r="I396" s="275"/>
      <c r="J396" s="275"/>
      <c r="K396" s="275"/>
      <c r="L396" s="275"/>
      <c r="M396" s="275"/>
      <c r="N396" s="275"/>
    </row>
    <row r="397">
      <c r="B397" s="275"/>
      <c r="C397" s="275"/>
      <c r="D397" s="275"/>
      <c r="E397" s="275"/>
      <c r="F397" s="275"/>
      <c r="G397" s="275"/>
      <c r="H397" s="275"/>
      <c r="I397" s="275"/>
      <c r="J397" s="275"/>
      <c r="K397" s="275"/>
      <c r="L397" s="275"/>
      <c r="M397" s="275"/>
      <c r="N397" s="275"/>
    </row>
    <row r="398">
      <c r="B398" s="275"/>
      <c r="C398" s="275"/>
      <c r="D398" s="275"/>
      <c r="E398" s="275"/>
      <c r="F398" s="275"/>
      <c r="G398" s="275"/>
      <c r="H398" s="275"/>
      <c r="I398" s="275"/>
      <c r="J398" s="275"/>
      <c r="K398" s="275"/>
      <c r="L398" s="275"/>
      <c r="M398" s="275"/>
      <c r="N398" s="275"/>
    </row>
    <row r="399">
      <c r="B399" s="275"/>
      <c r="C399" s="275"/>
      <c r="D399" s="275"/>
      <c r="E399" s="275"/>
      <c r="F399" s="275"/>
      <c r="G399" s="275"/>
      <c r="H399" s="275"/>
      <c r="I399" s="275"/>
      <c r="J399" s="275"/>
      <c r="K399" s="275"/>
      <c r="L399" s="275"/>
      <c r="M399" s="275"/>
      <c r="N399" s="275"/>
    </row>
    <row r="400">
      <c r="B400" s="275"/>
      <c r="C400" s="275"/>
      <c r="D400" s="275"/>
      <c r="E400" s="275"/>
      <c r="F400" s="275"/>
      <c r="G400" s="275"/>
      <c r="H400" s="275"/>
      <c r="I400" s="275"/>
      <c r="J400" s="275"/>
      <c r="K400" s="275"/>
      <c r="L400" s="275"/>
      <c r="M400" s="275"/>
      <c r="N400" s="275"/>
    </row>
    <row r="401">
      <c r="B401" s="275"/>
      <c r="C401" s="275"/>
      <c r="D401" s="275"/>
      <c r="E401" s="275"/>
      <c r="F401" s="275"/>
      <c r="G401" s="275"/>
      <c r="H401" s="275"/>
      <c r="I401" s="275"/>
      <c r="J401" s="275"/>
      <c r="K401" s="275"/>
      <c r="L401" s="275"/>
      <c r="M401" s="275"/>
      <c r="N401" s="275"/>
    </row>
    <row r="402">
      <c r="B402" s="275"/>
      <c r="C402" s="275"/>
      <c r="D402" s="275"/>
      <c r="E402" s="275"/>
      <c r="F402" s="275"/>
      <c r="G402" s="275"/>
      <c r="H402" s="275"/>
      <c r="I402" s="275"/>
      <c r="J402" s="275"/>
      <c r="K402" s="275"/>
      <c r="L402" s="275"/>
      <c r="M402" s="275"/>
      <c r="N402" s="275"/>
    </row>
    <row r="403">
      <c r="B403" s="275"/>
      <c r="C403" s="275"/>
      <c r="D403" s="275"/>
      <c r="E403" s="275"/>
      <c r="F403" s="275"/>
      <c r="G403" s="275"/>
      <c r="H403" s="275"/>
      <c r="I403" s="275"/>
      <c r="J403" s="275"/>
      <c r="K403" s="275"/>
      <c r="L403" s="275"/>
      <c r="M403" s="275"/>
      <c r="N403" s="275"/>
    </row>
    <row r="404">
      <c r="B404" s="275"/>
      <c r="C404" s="275"/>
      <c r="D404" s="275"/>
      <c r="E404" s="275"/>
      <c r="F404" s="275"/>
      <c r="G404" s="275"/>
      <c r="H404" s="275"/>
      <c r="I404" s="275"/>
      <c r="J404" s="275"/>
      <c r="K404" s="275"/>
      <c r="L404" s="275"/>
      <c r="M404" s="275"/>
      <c r="N404" s="275"/>
    </row>
    <row r="405">
      <c r="B405" s="275"/>
      <c r="C405" s="275"/>
      <c r="D405" s="275"/>
      <c r="E405" s="275"/>
      <c r="F405" s="275"/>
      <c r="G405" s="275"/>
      <c r="H405" s="275"/>
      <c r="I405" s="275"/>
      <c r="J405" s="275"/>
      <c r="K405" s="275"/>
      <c r="L405" s="275"/>
      <c r="M405" s="275"/>
      <c r="N405" s="275"/>
    </row>
    <row r="406">
      <c r="B406" s="275"/>
      <c r="C406" s="275"/>
      <c r="D406" s="275"/>
      <c r="E406" s="275"/>
      <c r="F406" s="275"/>
      <c r="G406" s="275"/>
      <c r="H406" s="275"/>
      <c r="I406" s="275"/>
      <c r="J406" s="275"/>
      <c r="K406" s="275"/>
      <c r="L406" s="275"/>
      <c r="M406" s="275"/>
      <c r="N406" s="275"/>
    </row>
    <row r="407">
      <c r="B407" s="275"/>
      <c r="C407" s="275"/>
      <c r="D407" s="275"/>
      <c r="E407" s="275"/>
      <c r="F407" s="275"/>
      <c r="G407" s="275"/>
      <c r="H407" s="275"/>
      <c r="I407" s="275"/>
      <c r="J407" s="275"/>
      <c r="K407" s="275"/>
      <c r="L407" s="275"/>
      <c r="M407" s="275"/>
      <c r="N407" s="275"/>
    </row>
    <row r="408">
      <c r="B408" s="275"/>
      <c r="C408" s="275"/>
      <c r="D408" s="275"/>
      <c r="E408" s="275"/>
      <c r="F408" s="275"/>
      <c r="G408" s="275"/>
      <c r="H408" s="275"/>
      <c r="I408" s="275"/>
      <c r="J408" s="275"/>
      <c r="K408" s="275"/>
      <c r="L408" s="275"/>
      <c r="M408" s="275"/>
      <c r="N408" s="275"/>
    </row>
    <row r="409">
      <c r="B409" s="275"/>
      <c r="C409" s="275"/>
      <c r="D409" s="275"/>
      <c r="E409" s="275"/>
      <c r="F409" s="275"/>
      <c r="G409" s="275"/>
      <c r="H409" s="275"/>
      <c r="I409" s="275"/>
      <c r="J409" s="275"/>
      <c r="K409" s="275"/>
      <c r="L409" s="275"/>
      <c r="M409" s="275"/>
      <c r="N409" s="275"/>
    </row>
    <row r="410">
      <c r="B410" s="275"/>
      <c r="C410" s="275"/>
      <c r="D410" s="275"/>
      <c r="E410" s="275"/>
      <c r="F410" s="275"/>
      <c r="G410" s="275"/>
      <c r="H410" s="275"/>
      <c r="I410" s="275"/>
      <c r="J410" s="275"/>
      <c r="K410" s="275"/>
      <c r="L410" s="275"/>
      <c r="M410" s="275"/>
      <c r="N410" s="275"/>
    </row>
    <row r="411">
      <c r="B411" s="275"/>
      <c r="C411" s="275"/>
      <c r="D411" s="275"/>
      <c r="E411" s="275"/>
      <c r="F411" s="275"/>
      <c r="G411" s="275"/>
      <c r="H411" s="275"/>
      <c r="I411" s="275"/>
      <c r="J411" s="275"/>
      <c r="K411" s="275"/>
      <c r="L411" s="275"/>
      <c r="M411" s="275"/>
      <c r="N411" s="275"/>
    </row>
    <row r="412">
      <c r="B412" s="275"/>
      <c r="C412" s="275"/>
      <c r="D412" s="275"/>
      <c r="E412" s="275"/>
      <c r="F412" s="275"/>
      <c r="G412" s="275"/>
      <c r="H412" s="275"/>
      <c r="I412" s="275"/>
      <c r="J412" s="275"/>
      <c r="K412" s="275"/>
      <c r="L412" s="275"/>
      <c r="M412" s="275"/>
      <c r="N412" s="275"/>
    </row>
    <row r="413">
      <c r="B413" s="275"/>
      <c r="C413" s="275"/>
      <c r="D413" s="275"/>
      <c r="E413" s="275"/>
      <c r="F413" s="275"/>
      <c r="G413" s="275"/>
      <c r="H413" s="275"/>
      <c r="I413" s="275"/>
      <c r="J413" s="275"/>
      <c r="K413" s="275"/>
      <c r="L413" s="275"/>
      <c r="M413" s="275"/>
      <c r="N413" s="275"/>
    </row>
    <row r="414">
      <c r="B414" s="275"/>
      <c r="C414" s="275"/>
      <c r="D414" s="275"/>
      <c r="E414" s="275"/>
      <c r="F414" s="275"/>
      <c r="G414" s="275"/>
      <c r="H414" s="275"/>
      <c r="I414" s="275"/>
      <c r="J414" s="275"/>
      <c r="K414" s="275"/>
      <c r="L414" s="275"/>
      <c r="M414" s="275"/>
      <c r="N414" s="275"/>
    </row>
    <row r="415">
      <c r="B415" s="275"/>
      <c r="C415" s="275"/>
      <c r="D415" s="275"/>
      <c r="E415" s="275"/>
      <c r="F415" s="275"/>
      <c r="G415" s="275"/>
      <c r="H415" s="275"/>
      <c r="I415" s="275"/>
      <c r="J415" s="275"/>
      <c r="K415" s="275"/>
      <c r="L415" s="275"/>
      <c r="M415" s="275"/>
      <c r="N415" s="275"/>
    </row>
    <row r="416">
      <c r="B416" s="275"/>
      <c r="C416" s="275"/>
      <c r="D416" s="275"/>
      <c r="E416" s="275"/>
      <c r="F416" s="275"/>
      <c r="G416" s="275"/>
      <c r="H416" s="275"/>
      <c r="I416" s="275"/>
      <c r="J416" s="275"/>
      <c r="K416" s="275"/>
      <c r="L416" s="275"/>
      <c r="M416" s="275"/>
      <c r="N416" s="275"/>
    </row>
    <row r="417">
      <c r="B417" s="275"/>
      <c r="C417" s="275"/>
      <c r="D417" s="275"/>
      <c r="E417" s="275"/>
      <c r="F417" s="275"/>
      <c r="G417" s="275"/>
      <c r="H417" s="275"/>
      <c r="I417" s="275"/>
      <c r="J417" s="275"/>
      <c r="K417" s="275"/>
      <c r="L417" s="275"/>
      <c r="M417" s="275"/>
      <c r="N417" s="275"/>
    </row>
    <row r="418">
      <c r="B418" s="275"/>
      <c r="C418" s="275"/>
      <c r="D418" s="275"/>
      <c r="E418" s="275"/>
      <c r="F418" s="275"/>
      <c r="G418" s="275"/>
      <c r="H418" s="275"/>
      <c r="I418" s="275"/>
      <c r="J418" s="275"/>
      <c r="K418" s="275"/>
      <c r="L418" s="275"/>
      <c r="M418" s="275"/>
      <c r="N418" s="275"/>
    </row>
    <row r="419">
      <c r="B419" s="275"/>
      <c r="C419" s="275"/>
      <c r="D419" s="275"/>
      <c r="E419" s="275"/>
      <c r="F419" s="275"/>
      <c r="G419" s="275"/>
      <c r="H419" s="275"/>
      <c r="I419" s="275"/>
      <c r="J419" s="275"/>
      <c r="K419" s="275"/>
      <c r="L419" s="275"/>
      <c r="M419" s="275"/>
      <c r="N419" s="275"/>
    </row>
    <row r="420">
      <c r="B420" s="275"/>
      <c r="C420" s="275"/>
      <c r="D420" s="275"/>
      <c r="E420" s="275"/>
      <c r="F420" s="275"/>
      <c r="G420" s="275"/>
      <c r="H420" s="275"/>
      <c r="I420" s="275"/>
      <c r="J420" s="275"/>
      <c r="K420" s="275"/>
      <c r="L420" s="275"/>
      <c r="M420" s="275"/>
      <c r="N420" s="275"/>
    </row>
    <row r="421">
      <c r="B421" s="275"/>
      <c r="C421" s="275"/>
      <c r="D421" s="275"/>
      <c r="E421" s="275"/>
      <c r="F421" s="275"/>
      <c r="G421" s="275"/>
      <c r="H421" s="275"/>
      <c r="I421" s="275"/>
      <c r="J421" s="275"/>
      <c r="K421" s="275"/>
      <c r="L421" s="275"/>
      <c r="M421" s="275"/>
      <c r="N421" s="275"/>
    </row>
    <row r="422">
      <c r="B422" s="275"/>
      <c r="C422" s="275"/>
      <c r="D422" s="275"/>
      <c r="E422" s="275"/>
      <c r="F422" s="275"/>
      <c r="G422" s="275"/>
      <c r="H422" s="275"/>
      <c r="I422" s="275"/>
      <c r="J422" s="275"/>
      <c r="K422" s="275"/>
      <c r="L422" s="275"/>
      <c r="M422" s="275"/>
      <c r="N422" s="275"/>
    </row>
    <row r="423">
      <c r="B423" s="275"/>
      <c r="C423" s="275"/>
      <c r="D423" s="275"/>
      <c r="E423" s="275"/>
      <c r="F423" s="275"/>
      <c r="G423" s="275"/>
      <c r="H423" s="275"/>
      <c r="I423" s="275"/>
      <c r="J423" s="275"/>
      <c r="K423" s="275"/>
      <c r="L423" s="275"/>
      <c r="M423" s="275"/>
      <c r="N423" s="275"/>
    </row>
    <row r="424">
      <c r="B424" s="275"/>
      <c r="C424" s="275"/>
      <c r="D424" s="275"/>
      <c r="E424" s="275"/>
      <c r="F424" s="275"/>
      <c r="G424" s="275"/>
      <c r="H424" s="275"/>
      <c r="I424" s="275"/>
      <c r="J424" s="275"/>
      <c r="K424" s="275"/>
      <c r="L424" s="275"/>
      <c r="M424" s="275"/>
      <c r="N424" s="275"/>
    </row>
    <row r="425">
      <c r="B425" s="275"/>
      <c r="C425" s="275"/>
      <c r="D425" s="275"/>
      <c r="E425" s="275"/>
      <c r="F425" s="275"/>
      <c r="G425" s="275"/>
      <c r="H425" s="275"/>
      <c r="I425" s="275"/>
      <c r="J425" s="275"/>
      <c r="K425" s="275"/>
      <c r="L425" s="275"/>
      <c r="M425" s="275"/>
      <c r="N425" s="275"/>
    </row>
    <row r="426">
      <c r="B426" s="275"/>
      <c r="C426" s="275"/>
      <c r="D426" s="275"/>
      <c r="E426" s="275"/>
      <c r="F426" s="275"/>
      <c r="G426" s="275"/>
      <c r="H426" s="275"/>
      <c r="I426" s="275"/>
      <c r="J426" s="275"/>
      <c r="K426" s="275"/>
      <c r="L426" s="275"/>
      <c r="M426" s="275"/>
      <c r="N426" s="275"/>
    </row>
    <row r="427">
      <c r="B427" s="275"/>
      <c r="C427" s="275"/>
      <c r="D427" s="275"/>
      <c r="E427" s="275"/>
      <c r="F427" s="275"/>
      <c r="G427" s="275"/>
      <c r="H427" s="275"/>
      <c r="I427" s="275"/>
      <c r="J427" s="275"/>
      <c r="K427" s="275"/>
      <c r="L427" s="275"/>
      <c r="M427" s="275"/>
      <c r="N427" s="275"/>
    </row>
    <row r="428">
      <c r="B428" s="275"/>
      <c r="C428" s="275"/>
      <c r="D428" s="275"/>
      <c r="E428" s="275"/>
      <c r="F428" s="275"/>
      <c r="G428" s="275"/>
      <c r="H428" s="275"/>
      <c r="I428" s="275"/>
      <c r="J428" s="275"/>
      <c r="K428" s="275"/>
      <c r="L428" s="275"/>
      <c r="M428" s="275"/>
      <c r="N428" s="275"/>
    </row>
    <row r="429">
      <c r="B429" s="275"/>
      <c r="C429" s="275"/>
      <c r="D429" s="275"/>
      <c r="E429" s="275"/>
      <c r="F429" s="275"/>
      <c r="G429" s="275"/>
      <c r="H429" s="275"/>
      <c r="I429" s="275"/>
      <c r="J429" s="275"/>
      <c r="K429" s="275"/>
      <c r="L429" s="275"/>
      <c r="M429" s="275"/>
      <c r="N429" s="275"/>
    </row>
    <row r="430">
      <c r="B430" s="275"/>
      <c r="C430" s="275"/>
      <c r="D430" s="275"/>
      <c r="E430" s="275"/>
      <c r="F430" s="275"/>
      <c r="G430" s="275"/>
      <c r="H430" s="275"/>
      <c r="I430" s="275"/>
      <c r="J430" s="275"/>
      <c r="K430" s="275"/>
      <c r="L430" s="275"/>
      <c r="M430" s="275"/>
      <c r="N430" s="275"/>
    </row>
    <row r="431">
      <c r="B431" s="275"/>
      <c r="C431" s="275"/>
      <c r="D431" s="275"/>
      <c r="E431" s="275"/>
      <c r="F431" s="275"/>
      <c r="G431" s="275"/>
      <c r="H431" s="275"/>
      <c r="I431" s="275"/>
      <c r="J431" s="275"/>
      <c r="K431" s="275"/>
      <c r="L431" s="275"/>
      <c r="M431" s="275"/>
      <c r="N431" s="275"/>
    </row>
    <row r="432">
      <c r="B432" s="275"/>
      <c r="C432" s="275"/>
      <c r="D432" s="275"/>
      <c r="E432" s="275"/>
      <c r="F432" s="275"/>
      <c r="G432" s="275"/>
      <c r="H432" s="275"/>
      <c r="I432" s="275"/>
      <c r="J432" s="275"/>
      <c r="K432" s="275"/>
      <c r="L432" s="275"/>
      <c r="M432" s="275"/>
      <c r="N432" s="275"/>
    </row>
    <row r="433">
      <c r="B433" s="275"/>
      <c r="C433" s="275"/>
      <c r="D433" s="275"/>
      <c r="E433" s="275"/>
      <c r="F433" s="275"/>
      <c r="G433" s="275"/>
      <c r="H433" s="275"/>
      <c r="I433" s="275"/>
      <c r="J433" s="275"/>
      <c r="K433" s="275"/>
      <c r="L433" s="275"/>
      <c r="M433" s="275"/>
      <c r="N433" s="275"/>
    </row>
    <row r="434">
      <c r="B434" s="275"/>
      <c r="C434" s="275"/>
      <c r="D434" s="275"/>
      <c r="E434" s="275"/>
      <c r="F434" s="275"/>
      <c r="G434" s="275"/>
      <c r="H434" s="275"/>
      <c r="I434" s="275"/>
      <c r="J434" s="275"/>
      <c r="K434" s="275"/>
      <c r="L434" s="275"/>
      <c r="M434" s="275"/>
      <c r="N434" s="275"/>
    </row>
    <row r="435">
      <c r="B435" s="275"/>
      <c r="C435" s="275"/>
      <c r="D435" s="275"/>
      <c r="E435" s="275"/>
      <c r="F435" s="275"/>
      <c r="G435" s="275"/>
      <c r="H435" s="275"/>
      <c r="I435" s="275"/>
      <c r="J435" s="275"/>
      <c r="K435" s="275"/>
      <c r="L435" s="275"/>
      <c r="M435" s="275"/>
      <c r="N435" s="275"/>
    </row>
    <row r="436">
      <c r="B436" s="275"/>
      <c r="C436" s="275"/>
      <c r="D436" s="275"/>
      <c r="E436" s="275"/>
      <c r="F436" s="275"/>
      <c r="G436" s="275"/>
      <c r="H436" s="275"/>
      <c r="I436" s="275"/>
      <c r="J436" s="275"/>
      <c r="K436" s="275"/>
      <c r="L436" s="275"/>
      <c r="M436" s="275"/>
      <c r="N436" s="275"/>
    </row>
    <row r="437">
      <c r="B437" s="275"/>
      <c r="C437" s="275"/>
      <c r="D437" s="275"/>
      <c r="E437" s="275"/>
      <c r="F437" s="275"/>
      <c r="G437" s="275"/>
      <c r="H437" s="275"/>
      <c r="I437" s="275"/>
      <c r="J437" s="275"/>
      <c r="K437" s="275"/>
      <c r="L437" s="275"/>
      <c r="M437" s="275"/>
      <c r="N437" s="275"/>
    </row>
    <row r="438">
      <c r="B438" s="275"/>
      <c r="C438" s="275"/>
      <c r="D438" s="275"/>
      <c r="E438" s="275"/>
      <c r="F438" s="275"/>
      <c r="G438" s="275"/>
      <c r="H438" s="275"/>
      <c r="I438" s="275"/>
      <c r="J438" s="275"/>
      <c r="K438" s="275"/>
      <c r="L438" s="275"/>
      <c r="M438" s="275"/>
      <c r="N438" s="275"/>
    </row>
    <row r="439">
      <c r="B439" s="275"/>
      <c r="C439" s="275"/>
      <c r="D439" s="275"/>
      <c r="E439" s="275"/>
      <c r="F439" s="275"/>
      <c r="G439" s="275"/>
      <c r="H439" s="275"/>
      <c r="I439" s="275"/>
      <c r="J439" s="275"/>
      <c r="K439" s="275"/>
      <c r="L439" s="275"/>
      <c r="M439" s="275"/>
      <c r="N439" s="275"/>
    </row>
    <row r="440">
      <c r="B440" s="275"/>
      <c r="C440" s="275"/>
      <c r="D440" s="275"/>
      <c r="E440" s="275"/>
      <c r="F440" s="275"/>
      <c r="G440" s="275"/>
      <c r="H440" s="275"/>
      <c r="I440" s="275"/>
      <c r="J440" s="275"/>
      <c r="K440" s="275"/>
      <c r="L440" s="275"/>
      <c r="M440" s="275"/>
      <c r="N440" s="275"/>
    </row>
    <row r="441">
      <c r="B441" s="275"/>
      <c r="C441" s="275"/>
      <c r="D441" s="275"/>
      <c r="E441" s="275"/>
      <c r="F441" s="275"/>
      <c r="G441" s="275"/>
      <c r="H441" s="275"/>
      <c r="I441" s="275"/>
      <c r="J441" s="275"/>
      <c r="K441" s="275"/>
      <c r="L441" s="275"/>
      <c r="M441" s="275"/>
      <c r="N441" s="275"/>
    </row>
    <row r="442">
      <c r="B442" s="275"/>
      <c r="C442" s="275"/>
      <c r="D442" s="275"/>
      <c r="E442" s="275"/>
      <c r="F442" s="275"/>
      <c r="G442" s="275"/>
      <c r="H442" s="275"/>
      <c r="I442" s="275"/>
      <c r="J442" s="275"/>
      <c r="K442" s="275"/>
      <c r="L442" s="275"/>
      <c r="M442" s="275"/>
      <c r="N442" s="275"/>
    </row>
    <row r="443">
      <c r="B443" s="275"/>
      <c r="C443" s="275"/>
      <c r="D443" s="275"/>
      <c r="E443" s="275"/>
      <c r="F443" s="275"/>
      <c r="G443" s="275"/>
      <c r="H443" s="275"/>
      <c r="I443" s="275"/>
      <c r="J443" s="275"/>
      <c r="K443" s="275"/>
      <c r="L443" s="275"/>
      <c r="M443" s="275"/>
      <c r="N443" s="275"/>
    </row>
    <row r="444">
      <c r="B444" s="275"/>
      <c r="C444" s="275"/>
      <c r="D444" s="275"/>
      <c r="E444" s="275"/>
      <c r="F444" s="275"/>
      <c r="G444" s="275"/>
      <c r="H444" s="275"/>
      <c r="I444" s="275"/>
      <c r="J444" s="275"/>
      <c r="K444" s="275"/>
      <c r="L444" s="275"/>
      <c r="M444" s="275"/>
      <c r="N444" s="275"/>
    </row>
    <row r="445">
      <c r="B445" s="275"/>
      <c r="C445" s="275"/>
      <c r="D445" s="275"/>
      <c r="E445" s="275"/>
      <c r="F445" s="275"/>
      <c r="G445" s="275"/>
      <c r="H445" s="275"/>
      <c r="I445" s="275"/>
      <c r="J445" s="275"/>
      <c r="K445" s="275"/>
      <c r="L445" s="275"/>
      <c r="M445" s="275"/>
      <c r="N445" s="275"/>
    </row>
    <row r="446">
      <c r="B446" s="275"/>
      <c r="C446" s="275"/>
      <c r="D446" s="275"/>
      <c r="E446" s="275"/>
      <c r="F446" s="275"/>
      <c r="G446" s="275"/>
      <c r="H446" s="275"/>
      <c r="I446" s="275"/>
      <c r="J446" s="275"/>
      <c r="K446" s="275"/>
      <c r="L446" s="275"/>
      <c r="M446" s="275"/>
      <c r="N446" s="275"/>
    </row>
    <row r="447">
      <c r="B447" s="275"/>
      <c r="C447" s="275"/>
      <c r="D447" s="275"/>
      <c r="E447" s="275"/>
      <c r="F447" s="275"/>
      <c r="G447" s="275"/>
      <c r="H447" s="275"/>
      <c r="I447" s="275"/>
      <c r="J447" s="275"/>
      <c r="K447" s="275"/>
      <c r="L447" s="275"/>
      <c r="M447" s="275"/>
      <c r="N447" s="275"/>
    </row>
    <row r="448">
      <c r="B448" s="275"/>
      <c r="C448" s="275"/>
      <c r="D448" s="275"/>
      <c r="E448" s="275"/>
      <c r="F448" s="275"/>
      <c r="G448" s="275"/>
      <c r="H448" s="275"/>
      <c r="I448" s="275"/>
      <c r="J448" s="275"/>
      <c r="K448" s="275"/>
      <c r="L448" s="275"/>
      <c r="M448" s="275"/>
      <c r="N448" s="275"/>
    </row>
    <row r="449">
      <c r="B449" s="275"/>
      <c r="C449" s="275"/>
      <c r="D449" s="275"/>
      <c r="E449" s="275"/>
      <c r="F449" s="275"/>
      <c r="G449" s="275"/>
      <c r="H449" s="275"/>
      <c r="I449" s="275"/>
      <c r="J449" s="275"/>
      <c r="K449" s="275"/>
      <c r="L449" s="275"/>
      <c r="M449" s="275"/>
      <c r="N449" s="275"/>
    </row>
    <row r="450">
      <c r="B450" s="275"/>
      <c r="C450" s="275"/>
      <c r="D450" s="275"/>
      <c r="E450" s="275"/>
      <c r="F450" s="275"/>
      <c r="G450" s="275"/>
      <c r="H450" s="275"/>
      <c r="I450" s="275"/>
      <c r="J450" s="275"/>
      <c r="K450" s="275"/>
      <c r="L450" s="275"/>
      <c r="M450" s="275"/>
      <c r="N450" s="275"/>
    </row>
    <row r="451">
      <c r="B451" s="275"/>
      <c r="C451" s="275"/>
      <c r="D451" s="275"/>
      <c r="E451" s="275"/>
      <c r="F451" s="275"/>
      <c r="G451" s="275"/>
      <c r="H451" s="275"/>
      <c r="I451" s="275"/>
      <c r="J451" s="275"/>
      <c r="K451" s="275"/>
      <c r="L451" s="275"/>
      <c r="M451" s="275"/>
      <c r="N451" s="275"/>
    </row>
    <row r="452">
      <c r="B452" s="275"/>
      <c r="C452" s="275"/>
      <c r="D452" s="275"/>
      <c r="E452" s="275"/>
      <c r="F452" s="275"/>
      <c r="G452" s="275"/>
      <c r="H452" s="275"/>
      <c r="I452" s="275"/>
      <c r="J452" s="275"/>
      <c r="K452" s="275"/>
      <c r="L452" s="275"/>
      <c r="M452" s="275"/>
      <c r="N452" s="275"/>
    </row>
    <row r="453">
      <c r="B453" s="275"/>
      <c r="C453" s="275"/>
      <c r="D453" s="275"/>
      <c r="E453" s="275"/>
      <c r="F453" s="275"/>
      <c r="G453" s="275"/>
      <c r="H453" s="275"/>
      <c r="I453" s="275"/>
      <c r="J453" s="275"/>
      <c r="K453" s="275"/>
      <c r="L453" s="275"/>
      <c r="M453" s="275"/>
      <c r="N453" s="275"/>
    </row>
    <row r="454">
      <c r="B454" s="275"/>
      <c r="C454" s="275"/>
      <c r="D454" s="275"/>
      <c r="E454" s="275"/>
      <c r="F454" s="275"/>
      <c r="G454" s="275"/>
      <c r="H454" s="275"/>
      <c r="I454" s="275"/>
      <c r="J454" s="275"/>
      <c r="K454" s="275"/>
      <c r="L454" s="275"/>
      <c r="M454" s="275"/>
      <c r="N454" s="275"/>
    </row>
    <row r="455">
      <c r="B455" s="275"/>
      <c r="C455" s="275"/>
      <c r="D455" s="275"/>
      <c r="E455" s="275"/>
      <c r="F455" s="275"/>
      <c r="G455" s="275"/>
      <c r="H455" s="275"/>
      <c r="I455" s="275"/>
      <c r="J455" s="275"/>
      <c r="K455" s="275"/>
      <c r="L455" s="275"/>
      <c r="M455" s="275"/>
      <c r="N455" s="275"/>
    </row>
    <row r="456">
      <c r="B456" s="275"/>
      <c r="C456" s="275"/>
      <c r="D456" s="275"/>
      <c r="E456" s="275"/>
      <c r="F456" s="275"/>
      <c r="G456" s="275"/>
      <c r="H456" s="275"/>
      <c r="I456" s="275"/>
      <c r="J456" s="275"/>
      <c r="K456" s="275"/>
      <c r="L456" s="275"/>
      <c r="M456" s="275"/>
      <c r="N456" s="275"/>
    </row>
    <row r="457">
      <c r="B457" s="275"/>
      <c r="C457" s="275"/>
      <c r="D457" s="275"/>
      <c r="E457" s="275"/>
      <c r="F457" s="275"/>
      <c r="G457" s="275"/>
      <c r="H457" s="275"/>
      <c r="I457" s="275"/>
      <c r="J457" s="275"/>
      <c r="K457" s="275"/>
      <c r="L457" s="275"/>
      <c r="M457" s="275"/>
      <c r="N457" s="275"/>
    </row>
    <row r="458">
      <c r="B458" s="275"/>
      <c r="C458" s="275"/>
      <c r="D458" s="275"/>
      <c r="E458" s="275"/>
      <c r="F458" s="275"/>
      <c r="G458" s="275"/>
      <c r="H458" s="275"/>
      <c r="I458" s="275"/>
      <c r="J458" s="275"/>
      <c r="K458" s="275"/>
      <c r="L458" s="275"/>
      <c r="M458" s="275"/>
      <c r="N458" s="275"/>
    </row>
    <row r="459">
      <c r="B459" s="275"/>
      <c r="C459" s="275"/>
      <c r="D459" s="275"/>
      <c r="E459" s="275"/>
      <c r="F459" s="275"/>
      <c r="G459" s="275"/>
      <c r="H459" s="275"/>
      <c r="I459" s="275"/>
      <c r="J459" s="275"/>
      <c r="K459" s="275"/>
      <c r="L459" s="275"/>
      <c r="M459" s="275"/>
      <c r="N459" s="275"/>
    </row>
    <row r="460">
      <c r="B460" s="275"/>
      <c r="C460" s="275"/>
      <c r="D460" s="275"/>
      <c r="E460" s="275"/>
      <c r="F460" s="275"/>
      <c r="G460" s="275"/>
      <c r="H460" s="275"/>
      <c r="I460" s="275"/>
      <c r="J460" s="275"/>
      <c r="K460" s="275"/>
      <c r="L460" s="275"/>
      <c r="M460" s="275"/>
      <c r="N460" s="275"/>
    </row>
    <row r="461">
      <c r="B461" s="275"/>
      <c r="C461" s="275"/>
      <c r="D461" s="275"/>
      <c r="E461" s="275"/>
      <c r="F461" s="275"/>
      <c r="G461" s="275"/>
      <c r="H461" s="275"/>
      <c r="I461" s="275"/>
      <c r="J461" s="275"/>
      <c r="K461" s="275"/>
      <c r="L461" s="275"/>
      <c r="M461" s="275"/>
      <c r="N461" s="275"/>
    </row>
    <row r="462">
      <c r="B462" s="275"/>
      <c r="C462" s="275"/>
      <c r="D462" s="275"/>
      <c r="E462" s="275"/>
      <c r="F462" s="275"/>
      <c r="G462" s="275"/>
      <c r="H462" s="275"/>
      <c r="I462" s="275"/>
      <c r="J462" s="275"/>
      <c r="K462" s="275"/>
      <c r="L462" s="275"/>
      <c r="M462" s="275"/>
      <c r="N462" s="275"/>
    </row>
    <row r="463">
      <c r="B463" s="275"/>
      <c r="C463" s="275"/>
      <c r="D463" s="275"/>
      <c r="E463" s="275"/>
      <c r="F463" s="275"/>
      <c r="G463" s="275"/>
      <c r="H463" s="275"/>
      <c r="I463" s="275"/>
      <c r="J463" s="275"/>
      <c r="K463" s="275"/>
      <c r="L463" s="275"/>
      <c r="M463" s="275"/>
      <c r="N463" s="275"/>
    </row>
    <row r="464">
      <c r="B464" s="275"/>
      <c r="C464" s="275"/>
      <c r="D464" s="275"/>
      <c r="E464" s="275"/>
      <c r="F464" s="275"/>
      <c r="G464" s="275"/>
      <c r="H464" s="275"/>
      <c r="I464" s="275"/>
      <c r="J464" s="275"/>
      <c r="K464" s="275"/>
      <c r="L464" s="275"/>
      <c r="M464" s="275"/>
      <c r="N464" s="275"/>
    </row>
    <row r="465">
      <c r="B465" s="275"/>
      <c r="C465" s="275"/>
      <c r="D465" s="275"/>
      <c r="E465" s="275"/>
      <c r="F465" s="275"/>
      <c r="G465" s="275"/>
      <c r="H465" s="275"/>
      <c r="I465" s="275"/>
      <c r="J465" s="275"/>
      <c r="K465" s="275"/>
      <c r="L465" s="275"/>
      <c r="M465" s="275"/>
      <c r="N465" s="275"/>
    </row>
    <row r="466">
      <c r="B466" s="275"/>
      <c r="C466" s="275"/>
      <c r="D466" s="275"/>
      <c r="E466" s="275"/>
      <c r="F466" s="275"/>
      <c r="G466" s="275"/>
      <c r="H466" s="275"/>
      <c r="I466" s="275"/>
      <c r="J466" s="275"/>
      <c r="K466" s="275"/>
      <c r="L466" s="275"/>
      <c r="M466" s="275"/>
      <c r="N466" s="275"/>
    </row>
    <row r="467">
      <c r="B467" s="275"/>
      <c r="C467" s="275"/>
      <c r="D467" s="275"/>
      <c r="E467" s="275"/>
      <c r="F467" s="275"/>
      <c r="G467" s="275"/>
      <c r="H467" s="275"/>
      <c r="I467" s="275"/>
      <c r="J467" s="275"/>
      <c r="K467" s="275"/>
      <c r="L467" s="275"/>
      <c r="M467" s="275"/>
      <c r="N467" s="275"/>
    </row>
    <row r="468">
      <c r="B468" s="275"/>
      <c r="C468" s="275"/>
      <c r="D468" s="275"/>
      <c r="E468" s="275"/>
      <c r="F468" s="275"/>
      <c r="G468" s="275"/>
      <c r="H468" s="275"/>
      <c r="I468" s="275"/>
      <c r="J468" s="275"/>
      <c r="K468" s="275"/>
      <c r="L468" s="275"/>
      <c r="M468" s="275"/>
      <c r="N468" s="275"/>
    </row>
    <row r="469">
      <c r="B469" s="275"/>
      <c r="C469" s="275"/>
      <c r="D469" s="275"/>
      <c r="E469" s="275"/>
      <c r="F469" s="275"/>
      <c r="G469" s="275"/>
      <c r="H469" s="275"/>
      <c r="I469" s="275"/>
      <c r="J469" s="275"/>
      <c r="K469" s="275"/>
      <c r="L469" s="275"/>
      <c r="M469" s="275"/>
      <c r="N469" s="275"/>
    </row>
    <row r="470">
      <c r="B470" s="275"/>
      <c r="C470" s="275"/>
      <c r="D470" s="275"/>
      <c r="E470" s="275"/>
      <c r="F470" s="275"/>
      <c r="G470" s="275"/>
      <c r="H470" s="275"/>
      <c r="I470" s="275"/>
      <c r="J470" s="275"/>
      <c r="K470" s="275"/>
      <c r="L470" s="275"/>
      <c r="M470" s="275"/>
      <c r="N470" s="275"/>
    </row>
    <row r="471">
      <c r="B471" s="275"/>
      <c r="C471" s="275"/>
      <c r="D471" s="275"/>
      <c r="E471" s="275"/>
      <c r="F471" s="275"/>
      <c r="G471" s="275"/>
      <c r="H471" s="275"/>
      <c r="I471" s="275"/>
      <c r="J471" s="275"/>
      <c r="K471" s="275"/>
      <c r="L471" s="275"/>
      <c r="M471" s="275"/>
      <c r="N471" s="275"/>
    </row>
    <row r="472">
      <c r="B472" s="275"/>
      <c r="C472" s="275"/>
      <c r="D472" s="275"/>
      <c r="E472" s="275"/>
      <c r="F472" s="275"/>
      <c r="G472" s="275"/>
      <c r="H472" s="275"/>
      <c r="I472" s="275"/>
      <c r="J472" s="275"/>
      <c r="K472" s="275"/>
      <c r="L472" s="275"/>
      <c r="M472" s="275"/>
      <c r="N472" s="275"/>
    </row>
    <row r="473">
      <c r="B473" s="275"/>
      <c r="C473" s="275"/>
      <c r="D473" s="275"/>
      <c r="E473" s="275"/>
      <c r="F473" s="275"/>
      <c r="G473" s="275"/>
      <c r="H473" s="275"/>
      <c r="I473" s="275"/>
      <c r="J473" s="275"/>
      <c r="K473" s="275"/>
      <c r="L473" s="275"/>
      <c r="M473" s="275"/>
      <c r="N473" s="275"/>
    </row>
    <row r="474">
      <c r="B474" s="275"/>
      <c r="C474" s="275"/>
      <c r="D474" s="275"/>
      <c r="E474" s="275"/>
      <c r="F474" s="275"/>
      <c r="G474" s="275"/>
      <c r="H474" s="275"/>
      <c r="I474" s="275"/>
      <c r="J474" s="275"/>
      <c r="K474" s="275"/>
      <c r="L474" s="275"/>
      <c r="M474" s="275"/>
      <c r="N474" s="275"/>
    </row>
    <row r="475">
      <c r="B475" s="275"/>
      <c r="C475" s="275"/>
      <c r="D475" s="275"/>
      <c r="E475" s="275"/>
      <c r="F475" s="275"/>
      <c r="G475" s="275"/>
      <c r="H475" s="275"/>
      <c r="I475" s="275"/>
      <c r="J475" s="275"/>
      <c r="K475" s="275"/>
      <c r="L475" s="275"/>
      <c r="M475" s="275"/>
      <c r="N475" s="275"/>
    </row>
    <row r="476">
      <c r="B476" s="275"/>
      <c r="C476" s="275"/>
      <c r="D476" s="275"/>
      <c r="E476" s="275"/>
      <c r="F476" s="275"/>
      <c r="G476" s="275"/>
      <c r="H476" s="275"/>
      <c r="I476" s="275"/>
      <c r="J476" s="275"/>
      <c r="K476" s="275"/>
      <c r="L476" s="275"/>
      <c r="M476" s="275"/>
      <c r="N476" s="275"/>
    </row>
    <row r="477">
      <c r="B477" s="275"/>
      <c r="C477" s="275"/>
      <c r="D477" s="275"/>
      <c r="E477" s="275"/>
      <c r="F477" s="275"/>
      <c r="G477" s="275"/>
      <c r="H477" s="275"/>
      <c r="I477" s="275"/>
      <c r="J477" s="275"/>
      <c r="K477" s="275"/>
      <c r="L477" s="275"/>
      <c r="M477" s="275"/>
      <c r="N477" s="275"/>
    </row>
    <row r="478">
      <c r="B478" s="275"/>
      <c r="C478" s="275"/>
      <c r="D478" s="275"/>
      <c r="E478" s="275"/>
      <c r="F478" s="275"/>
      <c r="G478" s="275"/>
      <c r="H478" s="275"/>
      <c r="I478" s="275"/>
      <c r="J478" s="275"/>
      <c r="K478" s="275"/>
      <c r="L478" s="275"/>
      <c r="M478" s="275"/>
      <c r="N478" s="275"/>
    </row>
    <row r="479">
      <c r="B479" s="275"/>
      <c r="C479" s="275"/>
      <c r="D479" s="275"/>
      <c r="E479" s="275"/>
      <c r="F479" s="275"/>
      <c r="G479" s="275"/>
      <c r="H479" s="275"/>
      <c r="I479" s="275"/>
      <c r="J479" s="275"/>
      <c r="K479" s="275"/>
      <c r="L479" s="275"/>
      <c r="M479" s="275"/>
      <c r="N479" s="275"/>
    </row>
    <row r="480">
      <c r="B480" s="275"/>
      <c r="C480" s="275"/>
      <c r="D480" s="275"/>
      <c r="E480" s="275"/>
      <c r="F480" s="275"/>
      <c r="G480" s="275"/>
      <c r="H480" s="275"/>
      <c r="I480" s="275"/>
      <c r="J480" s="275"/>
      <c r="K480" s="275"/>
      <c r="L480" s="275"/>
      <c r="M480" s="275"/>
      <c r="N480" s="275"/>
    </row>
    <row r="481">
      <c r="B481" s="275"/>
      <c r="C481" s="275"/>
      <c r="D481" s="275"/>
      <c r="E481" s="275"/>
      <c r="F481" s="275"/>
      <c r="G481" s="275"/>
      <c r="H481" s="275"/>
      <c r="I481" s="275"/>
      <c r="J481" s="275"/>
      <c r="K481" s="275"/>
      <c r="L481" s="275"/>
      <c r="M481" s="275"/>
      <c r="N481" s="275"/>
    </row>
    <row r="482">
      <c r="B482" s="275"/>
      <c r="C482" s="275"/>
      <c r="D482" s="275"/>
      <c r="E482" s="275"/>
      <c r="F482" s="275"/>
      <c r="G482" s="275"/>
      <c r="H482" s="275"/>
      <c r="I482" s="275"/>
      <c r="J482" s="275"/>
      <c r="K482" s="275"/>
      <c r="L482" s="275"/>
      <c r="M482" s="275"/>
      <c r="N482" s="275"/>
    </row>
    <row r="483">
      <c r="B483" s="275"/>
      <c r="C483" s="275"/>
      <c r="D483" s="275"/>
      <c r="E483" s="275"/>
      <c r="F483" s="275"/>
      <c r="G483" s="275"/>
      <c r="H483" s="275"/>
      <c r="I483" s="275"/>
      <c r="J483" s="275"/>
      <c r="K483" s="275"/>
      <c r="L483" s="275"/>
      <c r="M483" s="275"/>
      <c r="N483" s="275"/>
    </row>
    <row r="484">
      <c r="B484" s="275"/>
      <c r="C484" s="275"/>
      <c r="D484" s="275"/>
      <c r="E484" s="275"/>
      <c r="F484" s="275"/>
      <c r="G484" s="275"/>
      <c r="H484" s="275"/>
      <c r="I484" s="275"/>
      <c r="J484" s="275"/>
      <c r="K484" s="275"/>
      <c r="L484" s="275"/>
      <c r="M484" s="275"/>
      <c r="N484" s="275"/>
    </row>
    <row r="485">
      <c r="B485" s="275"/>
      <c r="C485" s="275"/>
      <c r="D485" s="275"/>
      <c r="E485" s="275"/>
      <c r="F485" s="275"/>
      <c r="G485" s="275"/>
      <c r="H485" s="275"/>
      <c r="I485" s="275"/>
      <c r="J485" s="275"/>
      <c r="K485" s="275"/>
      <c r="L485" s="275"/>
      <c r="M485" s="275"/>
      <c r="N485" s="275"/>
    </row>
    <row r="486">
      <c r="B486" s="275"/>
      <c r="C486" s="275"/>
      <c r="D486" s="275"/>
      <c r="E486" s="275"/>
      <c r="F486" s="275"/>
      <c r="G486" s="275"/>
      <c r="H486" s="275"/>
      <c r="I486" s="275"/>
      <c r="J486" s="275"/>
      <c r="K486" s="275"/>
      <c r="L486" s="275"/>
      <c r="M486" s="275"/>
      <c r="N486" s="275"/>
    </row>
    <row r="487">
      <c r="B487" s="275"/>
      <c r="C487" s="275"/>
      <c r="D487" s="275"/>
      <c r="E487" s="275"/>
      <c r="F487" s="275"/>
      <c r="G487" s="275"/>
      <c r="H487" s="275"/>
      <c r="I487" s="275"/>
      <c r="J487" s="275"/>
      <c r="K487" s="275"/>
      <c r="L487" s="275"/>
      <c r="M487" s="275"/>
      <c r="N487" s="275"/>
    </row>
    <row r="488">
      <c r="B488" s="275"/>
      <c r="C488" s="275"/>
      <c r="D488" s="275"/>
      <c r="E488" s="275"/>
      <c r="F488" s="275"/>
      <c r="G488" s="275"/>
      <c r="H488" s="275"/>
      <c r="I488" s="275"/>
      <c r="J488" s="275"/>
      <c r="K488" s="275"/>
      <c r="L488" s="275"/>
      <c r="M488" s="275"/>
      <c r="N488" s="275"/>
    </row>
    <row r="489">
      <c r="B489" s="275"/>
      <c r="C489" s="275"/>
      <c r="D489" s="275"/>
      <c r="E489" s="275"/>
      <c r="F489" s="275"/>
      <c r="G489" s="275"/>
      <c r="H489" s="275"/>
      <c r="I489" s="275"/>
      <c r="J489" s="275"/>
      <c r="K489" s="275"/>
      <c r="L489" s="275"/>
      <c r="M489" s="275"/>
      <c r="N489" s="275"/>
    </row>
    <row r="490">
      <c r="B490" s="275"/>
      <c r="C490" s="275"/>
      <c r="D490" s="275"/>
      <c r="E490" s="275"/>
      <c r="F490" s="275"/>
      <c r="G490" s="275"/>
      <c r="H490" s="275"/>
      <c r="I490" s="275"/>
      <c r="J490" s="275"/>
      <c r="K490" s="275"/>
      <c r="L490" s="275"/>
      <c r="M490" s="275"/>
      <c r="N490" s="275"/>
    </row>
    <row r="491">
      <c r="B491" s="275"/>
      <c r="C491" s="275"/>
      <c r="D491" s="275"/>
      <c r="E491" s="275"/>
      <c r="F491" s="275"/>
      <c r="G491" s="275"/>
      <c r="H491" s="275"/>
      <c r="I491" s="275"/>
      <c r="J491" s="275"/>
      <c r="K491" s="275"/>
      <c r="L491" s="275"/>
      <c r="M491" s="275"/>
      <c r="N491" s="275"/>
    </row>
    <row r="492">
      <c r="B492" s="275"/>
      <c r="C492" s="275"/>
      <c r="D492" s="275"/>
      <c r="E492" s="275"/>
      <c r="F492" s="275"/>
      <c r="G492" s="275"/>
      <c r="H492" s="275"/>
      <c r="I492" s="275"/>
      <c r="J492" s="275"/>
      <c r="K492" s="275"/>
      <c r="L492" s="275"/>
      <c r="M492" s="275"/>
      <c r="N492" s="275"/>
    </row>
    <row r="493">
      <c r="B493" s="275"/>
      <c r="C493" s="275"/>
      <c r="D493" s="275"/>
      <c r="E493" s="275"/>
      <c r="F493" s="275"/>
      <c r="G493" s="275"/>
      <c r="H493" s="275"/>
      <c r="I493" s="275"/>
      <c r="J493" s="275"/>
      <c r="K493" s="275"/>
      <c r="L493" s="275"/>
      <c r="M493" s="275"/>
      <c r="N493" s="275"/>
    </row>
    <row r="494">
      <c r="B494" s="275"/>
      <c r="C494" s="275"/>
      <c r="D494" s="275"/>
      <c r="E494" s="275"/>
      <c r="F494" s="275"/>
      <c r="G494" s="275"/>
      <c r="H494" s="275"/>
      <c r="I494" s="275"/>
      <c r="J494" s="275"/>
      <c r="K494" s="275"/>
      <c r="L494" s="275"/>
      <c r="M494" s="275"/>
      <c r="N494" s="275"/>
    </row>
    <row r="495">
      <c r="B495" s="275"/>
      <c r="C495" s="275"/>
      <c r="D495" s="275"/>
      <c r="E495" s="275"/>
      <c r="F495" s="275"/>
      <c r="G495" s="275"/>
      <c r="H495" s="275"/>
      <c r="I495" s="275"/>
      <c r="J495" s="275"/>
      <c r="K495" s="275"/>
      <c r="L495" s="275"/>
      <c r="M495" s="275"/>
      <c r="N495" s="275"/>
    </row>
    <row r="496">
      <c r="B496" s="275"/>
      <c r="C496" s="275"/>
      <c r="D496" s="275"/>
      <c r="E496" s="275"/>
      <c r="F496" s="275"/>
      <c r="G496" s="275"/>
      <c r="H496" s="275"/>
      <c r="I496" s="275"/>
      <c r="J496" s="275"/>
      <c r="K496" s="275"/>
      <c r="L496" s="275"/>
      <c r="M496" s="275"/>
      <c r="N496" s="275"/>
    </row>
    <row r="497">
      <c r="B497" s="275"/>
      <c r="C497" s="275"/>
      <c r="D497" s="275"/>
      <c r="E497" s="275"/>
      <c r="F497" s="275"/>
      <c r="G497" s="275"/>
      <c r="H497" s="275"/>
      <c r="I497" s="275"/>
      <c r="J497" s="275"/>
      <c r="K497" s="275"/>
      <c r="L497" s="275"/>
      <c r="M497" s="275"/>
      <c r="N497" s="275"/>
    </row>
    <row r="498">
      <c r="B498" s="275"/>
      <c r="C498" s="275"/>
      <c r="D498" s="275"/>
      <c r="E498" s="275"/>
      <c r="F498" s="275"/>
      <c r="G498" s="275"/>
      <c r="H498" s="275"/>
      <c r="I498" s="275"/>
      <c r="J498" s="275"/>
      <c r="K498" s="275"/>
      <c r="L498" s="275"/>
      <c r="M498" s="275"/>
      <c r="N498" s="275"/>
    </row>
    <row r="499">
      <c r="B499" s="275"/>
      <c r="C499" s="275"/>
      <c r="D499" s="275"/>
      <c r="E499" s="275"/>
      <c r="F499" s="275"/>
      <c r="G499" s="275"/>
      <c r="H499" s="275"/>
      <c r="I499" s="275"/>
      <c r="J499" s="275"/>
      <c r="K499" s="275"/>
      <c r="L499" s="275"/>
      <c r="M499" s="275"/>
      <c r="N499" s="275"/>
    </row>
    <row r="500">
      <c r="B500" s="275"/>
      <c r="C500" s="275"/>
      <c r="D500" s="275"/>
      <c r="E500" s="275"/>
      <c r="F500" s="275"/>
      <c r="G500" s="275"/>
      <c r="H500" s="275"/>
      <c r="I500" s="275"/>
      <c r="J500" s="275"/>
      <c r="K500" s="275"/>
      <c r="L500" s="275"/>
      <c r="M500" s="275"/>
      <c r="N500" s="275"/>
    </row>
    <row r="501">
      <c r="B501" s="275"/>
      <c r="C501" s="275"/>
      <c r="D501" s="275"/>
      <c r="E501" s="275"/>
      <c r="F501" s="275"/>
      <c r="G501" s="275"/>
      <c r="H501" s="275"/>
      <c r="I501" s="275"/>
      <c r="J501" s="275"/>
      <c r="K501" s="275"/>
      <c r="L501" s="275"/>
      <c r="M501" s="275"/>
      <c r="N501" s="275"/>
    </row>
    <row r="502">
      <c r="B502" s="275"/>
      <c r="C502" s="275"/>
      <c r="D502" s="275"/>
      <c r="E502" s="275"/>
      <c r="F502" s="275"/>
      <c r="G502" s="275"/>
      <c r="H502" s="275"/>
      <c r="I502" s="275"/>
      <c r="J502" s="275"/>
      <c r="K502" s="275"/>
      <c r="L502" s="275"/>
      <c r="M502" s="275"/>
      <c r="N502" s="275"/>
    </row>
    <row r="503">
      <c r="B503" s="275"/>
      <c r="C503" s="275"/>
      <c r="D503" s="275"/>
      <c r="E503" s="275"/>
      <c r="F503" s="275"/>
      <c r="G503" s="275"/>
      <c r="H503" s="275"/>
      <c r="I503" s="275"/>
      <c r="J503" s="275"/>
      <c r="K503" s="275"/>
      <c r="L503" s="275"/>
      <c r="M503" s="275"/>
      <c r="N503" s="275"/>
    </row>
    <row r="504">
      <c r="B504" s="275"/>
      <c r="C504" s="275"/>
      <c r="D504" s="275"/>
      <c r="E504" s="275"/>
      <c r="F504" s="275"/>
      <c r="G504" s="275"/>
      <c r="H504" s="275"/>
      <c r="I504" s="275"/>
      <c r="J504" s="275"/>
      <c r="K504" s="275"/>
      <c r="L504" s="275"/>
      <c r="M504" s="275"/>
      <c r="N504" s="275"/>
    </row>
    <row r="505">
      <c r="B505" s="275"/>
      <c r="C505" s="275"/>
      <c r="D505" s="275"/>
      <c r="E505" s="275"/>
      <c r="F505" s="275"/>
      <c r="G505" s="275"/>
      <c r="H505" s="275"/>
      <c r="I505" s="275"/>
      <c r="J505" s="275"/>
      <c r="K505" s="275"/>
      <c r="L505" s="275"/>
      <c r="M505" s="275"/>
      <c r="N505" s="275"/>
    </row>
    <row r="506">
      <c r="B506" s="275"/>
      <c r="C506" s="275"/>
      <c r="D506" s="275"/>
      <c r="E506" s="275"/>
      <c r="F506" s="275"/>
      <c r="G506" s="275"/>
      <c r="H506" s="275"/>
      <c r="I506" s="275"/>
      <c r="J506" s="275"/>
      <c r="K506" s="275"/>
      <c r="L506" s="275"/>
      <c r="M506" s="275"/>
      <c r="N506" s="275"/>
    </row>
    <row r="507">
      <c r="B507" s="275"/>
      <c r="C507" s="275"/>
      <c r="D507" s="275"/>
      <c r="E507" s="275"/>
      <c r="F507" s="275"/>
      <c r="G507" s="275"/>
      <c r="H507" s="275"/>
      <c r="I507" s="275"/>
      <c r="J507" s="275"/>
      <c r="K507" s="275"/>
      <c r="L507" s="275"/>
      <c r="M507" s="275"/>
      <c r="N507" s="275"/>
    </row>
    <row r="508">
      <c r="B508" s="275"/>
      <c r="C508" s="275"/>
      <c r="D508" s="275"/>
      <c r="E508" s="275"/>
      <c r="F508" s="275"/>
      <c r="G508" s="275"/>
      <c r="H508" s="275"/>
      <c r="I508" s="275"/>
      <c r="J508" s="275"/>
      <c r="K508" s="275"/>
      <c r="L508" s="275"/>
      <c r="M508" s="275"/>
      <c r="N508" s="275"/>
    </row>
    <row r="509">
      <c r="B509" s="275"/>
      <c r="C509" s="275"/>
      <c r="D509" s="275"/>
      <c r="E509" s="275"/>
      <c r="F509" s="275"/>
      <c r="G509" s="275"/>
      <c r="H509" s="275"/>
      <c r="I509" s="275"/>
      <c r="J509" s="275"/>
      <c r="K509" s="275"/>
      <c r="L509" s="275"/>
      <c r="M509" s="275"/>
      <c r="N509" s="275"/>
    </row>
    <row r="510">
      <c r="B510" s="275"/>
      <c r="C510" s="275"/>
      <c r="D510" s="275"/>
      <c r="E510" s="275"/>
      <c r="F510" s="275"/>
      <c r="G510" s="275"/>
      <c r="H510" s="275"/>
      <c r="I510" s="275"/>
      <c r="J510" s="275"/>
      <c r="K510" s="275"/>
      <c r="L510" s="275"/>
      <c r="M510" s="275"/>
      <c r="N510" s="275"/>
    </row>
    <row r="511">
      <c r="B511" s="275"/>
      <c r="C511" s="275"/>
      <c r="D511" s="275"/>
      <c r="E511" s="275"/>
      <c r="F511" s="275"/>
      <c r="G511" s="275"/>
      <c r="H511" s="275"/>
      <c r="I511" s="275"/>
      <c r="J511" s="275"/>
      <c r="K511" s="275"/>
      <c r="L511" s="275"/>
      <c r="M511" s="275"/>
      <c r="N511" s="275"/>
    </row>
    <row r="512">
      <c r="B512" s="275"/>
      <c r="C512" s="275"/>
      <c r="D512" s="275"/>
      <c r="E512" s="275"/>
      <c r="F512" s="275"/>
      <c r="G512" s="275"/>
      <c r="H512" s="275"/>
      <c r="I512" s="275"/>
      <c r="J512" s="275"/>
      <c r="K512" s="275"/>
      <c r="L512" s="275"/>
      <c r="M512" s="275"/>
      <c r="N512" s="275"/>
    </row>
    <row r="513">
      <c r="B513" s="275"/>
      <c r="C513" s="275"/>
      <c r="D513" s="275"/>
      <c r="E513" s="275"/>
      <c r="F513" s="275"/>
      <c r="G513" s="275"/>
      <c r="H513" s="275"/>
      <c r="I513" s="275"/>
      <c r="J513" s="275"/>
      <c r="K513" s="275"/>
      <c r="L513" s="275"/>
      <c r="M513" s="275"/>
      <c r="N513" s="275"/>
    </row>
    <row r="514">
      <c r="B514" s="275"/>
      <c r="C514" s="275"/>
      <c r="D514" s="275"/>
      <c r="E514" s="275"/>
      <c r="F514" s="275"/>
      <c r="G514" s="275"/>
      <c r="H514" s="275"/>
      <c r="I514" s="275"/>
      <c r="J514" s="275"/>
      <c r="K514" s="275"/>
      <c r="L514" s="275"/>
      <c r="M514" s="275"/>
      <c r="N514" s="275"/>
    </row>
    <row r="515">
      <c r="B515" s="275"/>
      <c r="C515" s="275"/>
      <c r="D515" s="275"/>
      <c r="E515" s="275"/>
      <c r="F515" s="275"/>
      <c r="G515" s="275"/>
      <c r="H515" s="275"/>
      <c r="I515" s="275"/>
      <c r="J515" s="275"/>
      <c r="K515" s="275"/>
      <c r="L515" s="275"/>
      <c r="M515" s="275"/>
      <c r="N515" s="275"/>
    </row>
    <row r="516">
      <c r="B516" s="275"/>
      <c r="C516" s="275"/>
      <c r="D516" s="275"/>
      <c r="E516" s="275"/>
      <c r="F516" s="275"/>
      <c r="G516" s="275"/>
      <c r="H516" s="275"/>
      <c r="I516" s="275"/>
      <c r="J516" s="275"/>
      <c r="K516" s="275"/>
      <c r="L516" s="275"/>
      <c r="M516" s="275"/>
      <c r="N516" s="275"/>
    </row>
    <row r="517">
      <c r="B517" s="275"/>
      <c r="C517" s="275"/>
      <c r="D517" s="275"/>
      <c r="E517" s="275"/>
      <c r="F517" s="275"/>
      <c r="G517" s="275"/>
      <c r="H517" s="275"/>
      <c r="I517" s="275"/>
      <c r="J517" s="275"/>
      <c r="K517" s="275"/>
      <c r="L517" s="275"/>
      <c r="M517" s="275"/>
      <c r="N517" s="275"/>
    </row>
    <row r="518">
      <c r="B518" s="275"/>
      <c r="C518" s="275"/>
      <c r="D518" s="275"/>
      <c r="E518" s="275"/>
      <c r="F518" s="275"/>
      <c r="G518" s="275"/>
      <c r="H518" s="275"/>
      <c r="I518" s="275"/>
      <c r="J518" s="275"/>
      <c r="K518" s="275"/>
      <c r="L518" s="275"/>
      <c r="M518" s="275"/>
      <c r="N518" s="275"/>
    </row>
    <row r="519">
      <c r="B519" s="275"/>
      <c r="C519" s="275"/>
      <c r="D519" s="275"/>
      <c r="E519" s="275"/>
      <c r="F519" s="275"/>
      <c r="G519" s="275"/>
      <c r="H519" s="275"/>
      <c r="I519" s="275"/>
      <c r="J519" s="275"/>
      <c r="K519" s="275"/>
      <c r="L519" s="275"/>
      <c r="M519" s="275"/>
      <c r="N519" s="275"/>
    </row>
    <row r="520">
      <c r="B520" s="275"/>
      <c r="C520" s="275"/>
      <c r="D520" s="275"/>
      <c r="E520" s="275"/>
      <c r="F520" s="275"/>
      <c r="G520" s="275"/>
      <c r="H520" s="275"/>
      <c r="I520" s="275"/>
      <c r="J520" s="275"/>
      <c r="K520" s="275"/>
      <c r="L520" s="275"/>
      <c r="M520" s="275"/>
      <c r="N520" s="275"/>
    </row>
    <row r="521">
      <c r="B521" s="275"/>
      <c r="C521" s="275"/>
      <c r="D521" s="275"/>
      <c r="E521" s="275"/>
      <c r="F521" s="275"/>
      <c r="G521" s="275"/>
      <c r="H521" s="275"/>
      <c r="I521" s="275"/>
      <c r="J521" s="275"/>
      <c r="K521" s="275"/>
      <c r="L521" s="275"/>
      <c r="M521" s="275"/>
      <c r="N521" s="275"/>
    </row>
    <row r="522">
      <c r="B522" s="275"/>
      <c r="C522" s="275"/>
      <c r="D522" s="275"/>
      <c r="E522" s="275"/>
      <c r="F522" s="275"/>
      <c r="G522" s="275"/>
      <c r="H522" s="275"/>
      <c r="I522" s="275"/>
      <c r="J522" s="275"/>
      <c r="K522" s="275"/>
      <c r="L522" s="275"/>
      <c r="M522" s="275"/>
      <c r="N522" s="275"/>
    </row>
    <row r="523">
      <c r="B523" s="275"/>
      <c r="C523" s="275"/>
      <c r="D523" s="275"/>
      <c r="E523" s="275"/>
      <c r="F523" s="275"/>
      <c r="G523" s="275"/>
      <c r="H523" s="275"/>
      <c r="I523" s="275"/>
      <c r="J523" s="275"/>
      <c r="K523" s="275"/>
      <c r="L523" s="275"/>
      <c r="M523" s="275"/>
      <c r="N523" s="275"/>
    </row>
    <row r="524">
      <c r="B524" s="275"/>
      <c r="C524" s="275"/>
      <c r="D524" s="275"/>
      <c r="E524" s="275"/>
      <c r="F524" s="275"/>
      <c r="G524" s="275"/>
      <c r="H524" s="275"/>
      <c r="I524" s="275"/>
      <c r="J524" s="275"/>
      <c r="K524" s="275"/>
      <c r="L524" s="275"/>
      <c r="M524" s="275"/>
      <c r="N524" s="275"/>
    </row>
    <row r="525">
      <c r="B525" s="275"/>
      <c r="C525" s="275"/>
      <c r="D525" s="275"/>
      <c r="E525" s="275"/>
      <c r="F525" s="275"/>
      <c r="G525" s="275"/>
      <c r="H525" s="275"/>
      <c r="I525" s="275"/>
      <c r="J525" s="275"/>
      <c r="K525" s="275"/>
      <c r="L525" s="275"/>
      <c r="M525" s="275"/>
      <c r="N525" s="275"/>
    </row>
    <row r="526">
      <c r="B526" s="275"/>
      <c r="C526" s="275"/>
      <c r="D526" s="275"/>
      <c r="E526" s="275"/>
      <c r="F526" s="275"/>
      <c r="G526" s="275"/>
      <c r="H526" s="275"/>
      <c r="I526" s="275"/>
      <c r="J526" s="275"/>
      <c r="K526" s="275"/>
      <c r="L526" s="275"/>
      <c r="M526" s="275"/>
      <c r="N526" s="275"/>
    </row>
    <row r="527">
      <c r="B527" s="275"/>
      <c r="C527" s="275"/>
      <c r="D527" s="275"/>
      <c r="E527" s="275"/>
      <c r="F527" s="275"/>
      <c r="G527" s="275"/>
      <c r="H527" s="275"/>
      <c r="I527" s="275"/>
      <c r="J527" s="275"/>
      <c r="K527" s="275"/>
      <c r="L527" s="275"/>
      <c r="M527" s="275"/>
      <c r="N527" s="275"/>
    </row>
    <row r="528">
      <c r="B528" s="275"/>
      <c r="C528" s="275"/>
      <c r="D528" s="275"/>
      <c r="E528" s="275"/>
      <c r="F528" s="275"/>
      <c r="G528" s="275"/>
      <c r="H528" s="275"/>
      <c r="I528" s="275"/>
      <c r="J528" s="275"/>
      <c r="K528" s="275"/>
      <c r="L528" s="275"/>
      <c r="M528" s="275"/>
      <c r="N528" s="275"/>
    </row>
    <row r="529">
      <c r="B529" s="275"/>
      <c r="C529" s="275"/>
      <c r="D529" s="275"/>
      <c r="E529" s="275"/>
      <c r="F529" s="275"/>
      <c r="G529" s="275"/>
      <c r="H529" s="275"/>
      <c r="I529" s="275"/>
      <c r="J529" s="275"/>
      <c r="K529" s="275"/>
      <c r="L529" s="275"/>
      <c r="M529" s="275"/>
      <c r="N529" s="275"/>
    </row>
    <row r="530">
      <c r="B530" s="275"/>
      <c r="C530" s="275"/>
      <c r="D530" s="275"/>
      <c r="E530" s="275"/>
      <c r="F530" s="275"/>
      <c r="G530" s="275"/>
      <c r="H530" s="275"/>
      <c r="I530" s="275"/>
      <c r="J530" s="275"/>
      <c r="K530" s="275"/>
      <c r="L530" s="275"/>
      <c r="M530" s="275"/>
      <c r="N530" s="275"/>
    </row>
    <row r="531">
      <c r="B531" s="275"/>
      <c r="C531" s="275"/>
      <c r="D531" s="275"/>
      <c r="E531" s="275"/>
      <c r="F531" s="275"/>
      <c r="G531" s="275"/>
      <c r="H531" s="275"/>
      <c r="I531" s="275"/>
      <c r="J531" s="275"/>
      <c r="K531" s="275"/>
      <c r="L531" s="275"/>
      <c r="M531" s="275"/>
      <c r="N531" s="275"/>
    </row>
    <row r="532">
      <c r="B532" s="275"/>
      <c r="C532" s="275"/>
      <c r="D532" s="275"/>
      <c r="E532" s="275"/>
      <c r="F532" s="275"/>
      <c r="G532" s="275"/>
      <c r="H532" s="275"/>
      <c r="I532" s="275"/>
      <c r="J532" s="275"/>
      <c r="K532" s="275"/>
      <c r="L532" s="275"/>
      <c r="M532" s="275"/>
      <c r="N532" s="275"/>
    </row>
    <row r="533">
      <c r="B533" s="275"/>
      <c r="C533" s="275"/>
      <c r="D533" s="275"/>
      <c r="E533" s="275"/>
      <c r="F533" s="275"/>
      <c r="G533" s="275"/>
      <c r="H533" s="275"/>
      <c r="I533" s="275"/>
      <c r="J533" s="275"/>
      <c r="K533" s="275"/>
      <c r="L533" s="275"/>
      <c r="M533" s="275"/>
      <c r="N533" s="275"/>
    </row>
    <row r="534">
      <c r="B534" s="275"/>
      <c r="C534" s="275"/>
      <c r="D534" s="275"/>
      <c r="E534" s="275"/>
      <c r="F534" s="275"/>
      <c r="G534" s="275"/>
      <c r="H534" s="275"/>
      <c r="I534" s="275"/>
      <c r="J534" s="275"/>
      <c r="K534" s="275"/>
      <c r="L534" s="275"/>
      <c r="M534" s="275"/>
      <c r="N534" s="275"/>
    </row>
    <row r="535">
      <c r="B535" s="275"/>
      <c r="C535" s="275"/>
      <c r="D535" s="275"/>
      <c r="E535" s="275"/>
      <c r="F535" s="275"/>
      <c r="G535" s="275"/>
      <c r="H535" s="275"/>
      <c r="I535" s="275"/>
      <c r="J535" s="275"/>
      <c r="K535" s="275"/>
      <c r="L535" s="275"/>
      <c r="M535" s="275"/>
      <c r="N535" s="275"/>
    </row>
    <row r="536">
      <c r="B536" s="275"/>
      <c r="C536" s="275"/>
      <c r="D536" s="275"/>
      <c r="E536" s="275"/>
      <c r="F536" s="275"/>
      <c r="G536" s="275"/>
      <c r="H536" s="275"/>
      <c r="I536" s="275"/>
      <c r="J536" s="275"/>
      <c r="K536" s="275"/>
      <c r="L536" s="275"/>
      <c r="M536" s="275"/>
      <c r="N536" s="275"/>
    </row>
    <row r="537">
      <c r="B537" s="275"/>
      <c r="C537" s="275"/>
      <c r="D537" s="275"/>
      <c r="E537" s="275"/>
      <c r="F537" s="275"/>
      <c r="G537" s="275"/>
      <c r="H537" s="275"/>
      <c r="I537" s="275"/>
      <c r="J537" s="275"/>
      <c r="K537" s="275"/>
      <c r="L537" s="275"/>
      <c r="M537" s="275"/>
      <c r="N537" s="275"/>
    </row>
    <row r="538">
      <c r="B538" s="275"/>
      <c r="C538" s="275"/>
      <c r="D538" s="275"/>
      <c r="E538" s="275"/>
      <c r="F538" s="275"/>
      <c r="G538" s="275"/>
      <c r="H538" s="275"/>
      <c r="I538" s="275"/>
      <c r="J538" s="275"/>
      <c r="K538" s="275"/>
      <c r="L538" s="275"/>
      <c r="M538" s="275"/>
      <c r="N538" s="275"/>
    </row>
    <row r="539">
      <c r="B539" s="275"/>
      <c r="C539" s="275"/>
      <c r="D539" s="275"/>
      <c r="E539" s="275"/>
      <c r="F539" s="275"/>
      <c r="G539" s="275"/>
      <c r="H539" s="275"/>
      <c r="I539" s="275"/>
      <c r="J539" s="275"/>
      <c r="K539" s="275"/>
      <c r="L539" s="275"/>
      <c r="M539" s="275"/>
      <c r="N539" s="275"/>
    </row>
    <row r="540">
      <c r="B540" s="275"/>
      <c r="C540" s="275"/>
      <c r="D540" s="275"/>
      <c r="E540" s="275"/>
      <c r="F540" s="275"/>
      <c r="G540" s="275"/>
      <c r="H540" s="275"/>
      <c r="I540" s="275"/>
      <c r="J540" s="275"/>
      <c r="K540" s="275"/>
      <c r="L540" s="275"/>
      <c r="M540" s="275"/>
      <c r="N540" s="275"/>
    </row>
    <row r="541">
      <c r="B541" s="275"/>
      <c r="C541" s="275"/>
      <c r="D541" s="275"/>
      <c r="E541" s="275"/>
      <c r="F541" s="275"/>
      <c r="G541" s="275"/>
      <c r="H541" s="275"/>
      <c r="I541" s="275"/>
      <c r="J541" s="275"/>
      <c r="K541" s="275"/>
      <c r="L541" s="275"/>
      <c r="M541" s="275"/>
      <c r="N541" s="275"/>
    </row>
    <row r="542">
      <c r="B542" s="275"/>
      <c r="C542" s="275"/>
      <c r="D542" s="275"/>
      <c r="E542" s="275"/>
      <c r="F542" s="275"/>
      <c r="G542" s="275"/>
      <c r="H542" s="275"/>
      <c r="I542" s="275"/>
      <c r="J542" s="275"/>
      <c r="K542" s="275"/>
      <c r="L542" s="275"/>
      <c r="M542" s="275"/>
      <c r="N542" s="275"/>
    </row>
    <row r="543">
      <c r="B543" s="275"/>
      <c r="C543" s="275"/>
      <c r="D543" s="275"/>
      <c r="E543" s="275"/>
      <c r="F543" s="275"/>
      <c r="G543" s="275"/>
      <c r="H543" s="275"/>
      <c r="I543" s="275"/>
      <c r="J543" s="275"/>
      <c r="K543" s="275"/>
      <c r="L543" s="275"/>
      <c r="M543" s="275"/>
      <c r="N543" s="275"/>
    </row>
    <row r="544">
      <c r="B544" s="275"/>
      <c r="C544" s="275"/>
      <c r="D544" s="275"/>
      <c r="E544" s="275"/>
      <c r="F544" s="275"/>
      <c r="G544" s="275"/>
      <c r="H544" s="275"/>
      <c r="I544" s="275"/>
      <c r="J544" s="275"/>
      <c r="K544" s="275"/>
      <c r="L544" s="275"/>
      <c r="M544" s="275"/>
      <c r="N544" s="275"/>
    </row>
    <row r="545">
      <c r="B545" s="275"/>
      <c r="C545" s="275"/>
      <c r="D545" s="275"/>
      <c r="E545" s="275"/>
      <c r="F545" s="275"/>
      <c r="G545" s="275"/>
      <c r="H545" s="275"/>
      <c r="I545" s="275"/>
      <c r="J545" s="275"/>
      <c r="K545" s="275"/>
      <c r="L545" s="275"/>
      <c r="M545" s="275"/>
      <c r="N545" s="275"/>
    </row>
    <row r="546">
      <c r="B546" s="275"/>
      <c r="C546" s="275"/>
      <c r="D546" s="275"/>
      <c r="E546" s="275"/>
      <c r="F546" s="275"/>
      <c r="G546" s="275"/>
      <c r="H546" s="275"/>
      <c r="I546" s="275"/>
      <c r="J546" s="275"/>
      <c r="K546" s="275"/>
      <c r="L546" s="275"/>
      <c r="M546" s="275"/>
      <c r="N546" s="275"/>
    </row>
    <row r="547">
      <c r="B547" s="275"/>
      <c r="C547" s="275"/>
      <c r="D547" s="275"/>
      <c r="E547" s="275"/>
      <c r="F547" s="275"/>
      <c r="G547" s="275"/>
      <c r="H547" s="275"/>
      <c r="I547" s="275"/>
      <c r="J547" s="275"/>
      <c r="K547" s="275"/>
      <c r="L547" s="275"/>
      <c r="M547" s="275"/>
      <c r="N547" s="275"/>
    </row>
    <row r="548">
      <c r="B548" s="275"/>
      <c r="C548" s="275"/>
      <c r="D548" s="275"/>
      <c r="E548" s="275"/>
      <c r="F548" s="275"/>
      <c r="G548" s="275"/>
      <c r="H548" s="275"/>
      <c r="I548" s="275"/>
      <c r="J548" s="275"/>
      <c r="K548" s="275"/>
      <c r="L548" s="275"/>
      <c r="M548" s="275"/>
      <c r="N548" s="275"/>
    </row>
    <row r="549">
      <c r="B549" s="275"/>
      <c r="C549" s="275"/>
      <c r="D549" s="275"/>
      <c r="E549" s="275"/>
      <c r="F549" s="275"/>
      <c r="G549" s="275"/>
      <c r="H549" s="275"/>
      <c r="I549" s="275"/>
      <c r="J549" s="275"/>
      <c r="K549" s="275"/>
      <c r="L549" s="275"/>
      <c r="M549" s="275"/>
      <c r="N549" s="275"/>
    </row>
    <row r="550">
      <c r="B550" s="275"/>
      <c r="C550" s="275"/>
      <c r="D550" s="275"/>
      <c r="E550" s="275"/>
      <c r="F550" s="275"/>
      <c r="G550" s="275"/>
      <c r="H550" s="275"/>
      <c r="I550" s="275"/>
      <c r="J550" s="275"/>
      <c r="K550" s="275"/>
      <c r="L550" s="275"/>
      <c r="M550" s="275"/>
      <c r="N550" s="275"/>
    </row>
    <row r="551">
      <c r="B551" s="275"/>
      <c r="C551" s="275"/>
      <c r="D551" s="275"/>
      <c r="E551" s="275"/>
      <c r="F551" s="275"/>
      <c r="G551" s="275"/>
      <c r="H551" s="275"/>
      <c r="I551" s="275"/>
      <c r="J551" s="275"/>
      <c r="K551" s="275"/>
      <c r="L551" s="275"/>
      <c r="M551" s="275"/>
      <c r="N551" s="275"/>
    </row>
    <row r="552">
      <c r="B552" s="275"/>
      <c r="C552" s="275"/>
      <c r="D552" s="275"/>
      <c r="E552" s="275"/>
      <c r="F552" s="275"/>
      <c r="G552" s="275"/>
      <c r="H552" s="275"/>
      <c r="I552" s="275"/>
      <c r="J552" s="275"/>
      <c r="K552" s="275"/>
      <c r="L552" s="275"/>
      <c r="M552" s="275"/>
      <c r="N552" s="275"/>
    </row>
    <row r="553">
      <c r="B553" s="275"/>
      <c r="C553" s="275"/>
      <c r="D553" s="275"/>
      <c r="E553" s="275"/>
      <c r="F553" s="275"/>
      <c r="G553" s="275"/>
      <c r="H553" s="275"/>
      <c r="I553" s="275"/>
      <c r="J553" s="275"/>
      <c r="K553" s="275"/>
      <c r="L553" s="275"/>
      <c r="M553" s="275"/>
      <c r="N553" s="275"/>
    </row>
    <row r="554">
      <c r="B554" s="275"/>
      <c r="C554" s="275"/>
      <c r="D554" s="275"/>
      <c r="E554" s="275"/>
      <c r="F554" s="275"/>
      <c r="G554" s="275"/>
      <c r="H554" s="275"/>
      <c r="I554" s="275"/>
      <c r="J554" s="275"/>
      <c r="K554" s="275"/>
      <c r="L554" s="275"/>
      <c r="M554" s="275"/>
      <c r="N554" s="275"/>
    </row>
    <row r="555">
      <c r="B555" s="275"/>
      <c r="C555" s="275"/>
      <c r="D555" s="275"/>
      <c r="E555" s="275"/>
      <c r="F555" s="275"/>
      <c r="G555" s="275"/>
      <c r="H555" s="275"/>
      <c r="I555" s="275"/>
      <c r="J555" s="275"/>
      <c r="K555" s="275"/>
      <c r="L555" s="275"/>
      <c r="M555" s="275"/>
      <c r="N555" s="275"/>
    </row>
    <row r="556">
      <c r="B556" s="275"/>
      <c r="C556" s="275"/>
      <c r="D556" s="275"/>
      <c r="E556" s="275"/>
      <c r="F556" s="275"/>
      <c r="G556" s="275"/>
      <c r="H556" s="275"/>
      <c r="I556" s="275"/>
      <c r="J556" s="275"/>
      <c r="K556" s="275"/>
      <c r="L556" s="275"/>
      <c r="M556" s="275"/>
      <c r="N556" s="275"/>
    </row>
    <row r="557">
      <c r="B557" s="275"/>
      <c r="C557" s="275"/>
      <c r="D557" s="275"/>
      <c r="E557" s="275"/>
      <c r="F557" s="275"/>
      <c r="G557" s="275"/>
      <c r="H557" s="275"/>
      <c r="I557" s="275"/>
      <c r="J557" s="275"/>
      <c r="K557" s="275"/>
      <c r="L557" s="275"/>
      <c r="M557" s="275"/>
      <c r="N557" s="275"/>
    </row>
    <row r="558">
      <c r="B558" s="275"/>
      <c r="C558" s="275"/>
      <c r="D558" s="275"/>
      <c r="E558" s="275"/>
      <c r="F558" s="275"/>
      <c r="G558" s="275"/>
      <c r="H558" s="275"/>
      <c r="I558" s="275"/>
      <c r="J558" s="275"/>
      <c r="K558" s="275"/>
      <c r="L558" s="275"/>
      <c r="M558" s="275"/>
      <c r="N558" s="275"/>
    </row>
    <row r="559">
      <c r="B559" s="275"/>
      <c r="C559" s="275"/>
      <c r="D559" s="275"/>
      <c r="E559" s="275"/>
      <c r="F559" s="275"/>
      <c r="G559" s="275"/>
      <c r="H559" s="275"/>
      <c r="I559" s="275"/>
      <c r="J559" s="275"/>
      <c r="K559" s="275"/>
      <c r="L559" s="275"/>
      <c r="M559" s="275"/>
      <c r="N559" s="275"/>
    </row>
    <row r="560">
      <c r="B560" s="275"/>
      <c r="C560" s="275"/>
      <c r="D560" s="275"/>
      <c r="E560" s="275"/>
      <c r="F560" s="275"/>
      <c r="G560" s="275"/>
      <c r="H560" s="275"/>
      <c r="I560" s="275"/>
      <c r="J560" s="275"/>
      <c r="K560" s="275"/>
      <c r="L560" s="275"/>
      <c r="M560" s="275"/>
      <c r="N560" s="275"/>
    </row>
    <row r="561">
      <c r="B561" s="275"/>
      <c r="C561" s="275"/>
      <c r="D561" s="275"/>
      <c r="E561" s="275"/>
      <c r="F561" s="275"/>
      <c r="G561" s="275"/>
      <c r="H561" s="275"/>
      <c r="I561" s="275"/>
      <c r="J561" s="275"/>
      <c r="K561" s="275"/>
      <c r="L561" s="275"/>
      <c r="M561" s="275"/>
      <c r="N561" s="275"/>
    </row>
    <row r="562">
      <c r="B562" s="275"/>
      <c r="C562" s="275"/>
      <c r="D562" s="275"/>
      <c r="E562" s="275"/>
      <c r="F562" s="275"/>
      <c r="G562" s="275"/>
      <c r="H562" s="275"/>
      <c r="I562" s="275"/>
      <c r="J562" s="275"/>
      <c r="K562" s="275"/>
      <c r="L562" s="275"/>
      <c r="M562" s="275"/>
      <c r="N562" s="275"/>
    </row>
    <row r="563">
      <c r="B563" s="275"/>
      <c r="C563" s="275"/>
      <c r="D563" s="275"/>
      <c r="E563" s="275"/>
      <c r="F563" s="275"/>
      <c r="G563" s="275"/>
      <c r="H563" s="275"/>
      <c r="I563" s="275"/>
      <c r="J563" s="275"/>
      <c r="K563" s="275"/>
      <c r="L563" s="275"/>
      <c r="M563" s="275"/>
      <c r="N563" s="275"/>
    </row>
    <row r="564">
      <c r="B564" s="275"/>
      <c r="C564" s="275"/>
      <c r="D564" s="275"/>
      <c r="E564" s="275"/>
      <c r="F564" s="275"/>
      <c r="G564" s="275"/>
      <c r="H564" s="275"/>
      <c r="I564" s="275"/>
      <c r="J564" s="275"/>
      <c r="K564" s="275"/>
      <c r="L564" s="275"/>
      <c r="M564" s="275"/>
      <c r="N564" s="275"/>
    </row>
    <row r="565">
      <c r="B565" s="275"/>
      <c r="C565" s="275"/>
      <c r="D565" s="275"/>
      <c r="E565" s="275"/>
      <c r="F565" s="275"/>
      <c r="G565" s="275"/>
      <c r="H565" s="275"/>
      <c r="I565" s="275"/>
      <c r="J565" s="275"/>
      <c r="K565" s="275"/>
      <c r="L565" s="275"/>
      <c r="M565" s="275"/>
      <c r="N565" s="275"/>
    </row>
    <row r="566">
      <c r="B566" s="275"/>
      <c r="C566" s="275"/>
      <c r="D566" s="275"/>
      <c r="E566" s="275"/>
      <c r="F566" s="275"/>
      <c r="G566" s="275"/>
      <c r="H566" s="275"/>
      <c r="I566" s="275"/>
      <c r="J566" s="275"/>
      <c r="K566" s="275"/>
      <c r="L566" s="275"/>
      <c r="M566" s="275"/>
      <c r="N566" s="275"/>
    </row>
    <row r="567">
      <c r="B567" s="275"/>
      <c r="C567" s="275"/>
      <c r="D567" s="275"/>
      <c r="E567" s="275"/>
      <c r="F567" s="275"/>
      <c r="G567" s="275"/>
      <c r="H567" s="275"/>
      <c r="I567" s="275"/>
      <c r="J567" s="275"/>
      <c r="K567" s="275"/>
      <c r="L567" s="275"/>
      <c r="M567" s="275"/>
      <c r="N567" s="275"/>
    </row>
    <row r="568">
      <c r="B568" s="275"/>
      <c r="C568" s="275"/>
      <c r="D568" s="275"/>
      <c r="E568" s="275"/>
      <c r="F568" s="275"/>
      <c r="G568" s="275"/>
      <c r="H568" s="275"/>
      <c r="I568" s="275"/>
      <c r="J568" s="275"/>
      <c r="K568" s="275"/>
      <c r="L568" s="275"/>
      <c r="M568" s="275"/>
      <c r="N568" s="275"/>
    </row>
    <row r="569">
      <c r="B569" s="275"/>
      <c r="C569" s="275"/>
      <c r="D569" s="275"/>
      <c r="E569" s="275"/>
      <c r="F569" s="275"/>
      <c r="G569" s="275"/>
      <c r="H569" s="275"/>
      <c r="I569" s="275"/>
      <c r="J569" s="275"/>
      <c r="K569" s="275"/>
      <c r="L569" s="275"/>
      <c r="M569" s="275"/>
      <c r="N569" s="275"/>
    </row>
    <row r="570">
      <c r="B570" s="275"/>
      <c r="C570" s="275"/>
      <c r="D570" s="275"/>
      <c r="E570" s="275"/>
      <c r="F570" s="275"/>
      <c r="G570" s="275"/>
      <c r="H570" s="275"/>
      <c r="I570" s="275"/>
      <c r="J570" s="275"/>
      <c r="K570" s="275"/>
      <c r="L570" s="275"/>
      <c r="M570" s="275"/>
      <c r="N570" s="275"/>
    </row>
    <row r="571">
      <c r="B571" s="275"/>
      <c r="C571" s="275"/>
      <c r="D571" s="275"/>
      <c r="E571" s="275"/>
      <c r="F571" s="275"/>
      <c r="G571" s="275"/>
      <c r="H571" s="275"/>
      <c r="I571" s="275"/>
      <c r="J571" s="275"/>
      <c r="K571" s="275"/>
      <c r="L571" s="275"/>
      <c r="M571" s="275"/>
      <c r="N571" s="275"/>
    </row>
    <row r="572">
      <c r="B572" s="275"/>
      <c r="C572" s="275"/>
      <c r="D572" s="275"/>
      <c r="E572" s="275"/>
      <c r="F572" s="275"/>
      <c r="G572" s="275"/>
      <c r="H572" s="275"/>
      <c r="I572" s="275"/>
      <c r="J572" s="275"/>
      <c r="K572" s="275"/>
      <c r="L572" s="275"/>
      <c r="M572" s="275"/>
      <c r="N572" s="275"/>
    </row>
    <row r="573">
      <c r="B573" s="275"/>
      <c r="C573" s="275"/>
      <c r="D573" s="275"/>
      <c r="E573" s="275"/>
      <c r="F573" s="275"/>
      <c r="G573" s="275"/>
      <c r="H573" s="275"/>
      <c r="I573" s="275"/>
      <c r="J573" s="275"/>
      <c r="K573" s="275"/>
      <c r="L573" s="275"/>
      <c r="M573" s="275"/>
      <c r="N573" s="275"/>
    </row>
    <row r="574">
      <c r="B574" s="275"/>
      <c r="C574" s="275"/>
      <c r="D574" s="275"/>
      <c r="E574" s="275"/>
      <c r="F574" s="275"/>
      <c r="G574" s="275"/>
      <c r="H574" s="275"/>
      <c r="I574" s="275"/>
      <c r="J574" s="275"/>
      <c r="K574" s="275"/>
      <c r="L574" s="275"/>
      <c r="M574" s="275"/>
      <c r="N574" s="275"/>
    </row>
    <row r="575">
      <c r="B575" s="275"/>
      <c r="C575" s="275"/>
      <c r="D575" s="275"/>
      <c r="E575" s="275"/>
      <c r="F575" s="275"/>
      <c r="G575" s="275"/>
      <c r="H575" s="275"/>
      <c r="I575" s="275"/>
      <c r="J575" s="275"/>
      <c r="K575" s="275"/>
      <c r="L575" s="275"/>
      <c r="M575" s="275"/>
      <c r="N575" s="275"/>
    </row>
    <row r="576">
      <c r="B576" s="275"/>
      <c r="C576" s="275"/>
      <c r="D576" s="275"/>
      <c r="E576" s="275"/>
      <c r="F576" s="275"/>
      <c r="G576" s="275"/>
      <c r="H576" s="275"/>
      <c r="I576" s="275"/>
      <c r="J576" s="275"/>
      <c r="K576" s="275"/>
      <c r="L576" s="275"/>
      <c r="M576" s="275"/>
      <c r="N576" s="275"/>
    </row>
    <row r="577">
      <c r="B577" s="275"/>
      <c r="C577" s="275"/>
      <c r="D577" s="275"/>
      <c r="E577" s="275"/>
      <c r="F577" s="275"/>
      <c r="G577" s="275"/>
      <c r="H577" s="275"/>
      <c r="I577" s="275"/>
      <c r="J577" s="275"/>
      <c r="K577" s="275"/>
      <c r="L577" s="275"/>
      <c r="M577" s="275"/>
      <c r="N577" s="275"/>
    </row>
    <row r="578">
      <c r="B578" s="275"/>
      <c r="C578" s="275"/>
      <c r="D578" s="275"/>
      <c r="E578" s="275"/>
      <c r="F578" s="275"/>
      <c r="G578" s="275"/>
      <c r="H578" s="275"/>
      <c r="I578" s="275"/>
      <c r="J578" s="275"/>
      <c r="K578" s="275"/>
      <c r="L578" s="275"/>
      <c r="M578" s="275"/>
      <c r="N578" s="275"/>
    </row>
    <row r="579">
      <c r="B579" s="275"/>
      <c r="C579" s="275"/>
      <c r="D579" s="275"/>
      <c r="E579" s="275"/>
      <c r="F579" s="275"/>
      <c r="G579" s="275"/>
      <c r="H579" s="275"/>
      <c r="I579" s="275"/>
      <c r="J579" s="275"/>
      <c r="K579" s="275"/>
      <c r="L579" s="275"/>
      <c r="M579" s="275"/>
      <c r="N579" s="275"/>
    </row>
    <row r="580">
      <c r="B580" s="275"/>
      <c r="C580" s="275"/>
      <c r="D580" s="275"/>
      <c r="E580" s="275"/>
      <c r="F580" s="275"/>
      <c r="G580" s="275"/>
      <c r="H580" s="275"/>
      <c r="I580" s="275"/>
      <c r="J580" s="275"/>
      <c r="K580" s="275"/>
      <c r="L580" s="275"/>
      <c r="M580" s="275"/>
      <c r="N580" s="275"/>
    </row>
    <row r="581">
      <c r="B581" s="275"/>
      <c r="C581" s="275"/>
      <c r="D581" s="275"/>
      <c r="E581" s="275"/>
      <c r="F581" s="275"/>
      <c r="G581" s="275"/>
      <c r="H581" s="275"/>
      <c r="I581" s="275"/>
      <c r="J581" s="275"/>
      <c r="K581" s="275"/>
      <c r="L581" s="275"/>
      <c r="M581" s="275"/>
      <c r="N581" s="275"/>
    </row>
    <row r="582">
      <c r="B582" s="275"/>
      <c r="C582" s="275"/>
      <c r="D582" s="275"/>
      <c r="E582" s="275"/>
      <c r="F582" s="275"/>
      <c r="G582" s="275"/>
      <c r="H582" s="275"/>
      <c r="I582" s="275"/>
      <c r="J582" s="275"/>
      <c r="K582" s="275"/>
      <c r="L582" s="275"/>
      <c r="M582" s="275"/>
      <c r="N582" s="275"/>
    </row>
    <row r="583">
      <c r="B583" s="275"/>
      <c r="C583" s="275"/>
      <c r="D583" s="275"/>
      <c r="E583" s="275"/>
      <c r="F583" s="275"/>
      <c r="G583" s="275"/>
      <c r="H583" s="275"/>
      <c r="I583" s="275"/>
      <c r="J583" s="275"/>
      <c r="K583" s="275"/>
      <c r="L583" s="275"/>
      <c r="M583" s="275"/>
      <c r="N583" s="275"/>
    </row>
    <row r="584">
      <c r="B584" s="275"/>
      <c r="C584" s="275"/>
      <c r="D584" s="275"/>
      <c r="E584" s="275"/>
      <c r="F584" s="275"/>
      <c r="G584" s="275"/>
      <c r="H584" s="275"/>
      <c r="I584" s="275"/>
      <c r="J584" s="275"/>
      <c r="K584" s="275"/>
      <c r="L584" s="275"/>
      <c r="M584" s="275"/>
      <c r="N584" s="275"/>
    </row>
    <row r="585">
      <c r="B585" s="275"/>
      <c r="C585" s="275"/>
      <c r="D585" s="275"/>
      <c r="E585" s="275"/>
      <c r="F585" s="275"/>
      <c r="G585" s="275"/>
      <c r="H585" s="275"/>
      <c r="I585" s="275"/>
      <c r="J585" s="275"/>
      <c r="K585" s="275"/>
      <c r="L585" s="275"/>
      <c r="M585" s="275"/>
      <c r="N585" s="275"/>
    </row>
    <row r="586">
      <c r="B586" s="275"/>
      <c r="C586" s="275"/>
      <c r="D586" s="275"/>
      <c r="E586" s="275"/>
      <c r="F586" s="275"/>
      <c r="G586" s="275"/>
      <c r="H586" s="275"/>
      <c r="I586" s="275"/>
      <c r="J586" s="275"/>
      <c r="K586" s="275"/>
      <c r="L586" s="275"/>
      <c r="M586" s="275"/>
      <c r="N586" s="275"/>
    </row>
    <row r="587">
      <c r="B587" s="275"/>
      <c r="C587" s="275"/>
      <c r="D587" s="275"/>
      <c r="E587" s="275"/>
      <c r="F587" s="275"/>
      <c r="G587" s="275"/>
      <c r="H587" s="275"/>
      <c r="I587" s="275"/>
      <c r="J587" s="275"/>
      <c r="K587" s="275"/>
      <c r="L587" s="275"/>
      <c r="M587" s="275"/>
      <c r="N587" s="275"/>
    </row>
    <row r="588">
      <c r="B588" s="275"/>
      <c r="C588" s="275"/>
      <c r="D588" s="275"/>
      <c r="E588" s="275"/>
      <c r="F588" s="275"/>
      <c r="G588" s="275"/>
      <c r="H588" s="275"/>
      <c r="I588" s="275"/>
      <c r="J588" s="275"/>
      <c r="K588" s="275"/>
      <c r="L588" s="275"/>
      <c r="M588" s="275"/>
      <c r="N588" s="275"/>
    </row>
    <row r="589">
      <c r="B589" s="275"/>
      <c r="C589" s="275"/>
      <c r="D589" s="275"/>
      <c r="E589" s="275"/>
      <c r="F589" s="275"/>
      <c r="G589" s="275"/>
      <c r="H589" s="275"/>
      <c r="I589" s="275"/>
      <c r="J589" s="275"/>
      <c r="K589" s="275"/>
      <c r="L589" s="275"/>
      <c r="M589" s="275"/>
      <c r="N589" s="275"/>
    </row>
    <row r="590">
      <c r="B590" s="275"/>
      <c r="C590" s="275"/>
      <c r="D590" s="275"/>
      <c r="E590" s="275"/>
      <c r="F590" s="275"/>
      <c r="G590" s="275"/>
      <c r="H590" s="275"/>
      <c r="I590" s="275"/>
      <c r="J590" s="275"/>
      <c r="K590" s="275"/>
      <c r="L590" s="275"/>
      <c r="M590" s="275"/>
      <c r="N590" s="275"/>
    </row>
    <row r="591">
      <c r="B591" s="275"/>
      <c r="C591" s="275"/>
      <c r="D591" s="275"/>
      <c r="E591" s="275"/>
      <c r="F591" s="275"/>
      <c r="G591" s="275"/>
      <c r="H591" s="275"/>
      <c r="I591" s="275"/>
      <c r="J591" s="275"/>
      <c r="K591" s="275"/>
      <c r="L591" s="275"/>
      <c r="M591" s="275"/>
      <c r="N591" s="275"/>
    </row>
    <row r="592">
      <c r="B592" s="275"/>
      <c r="C592" s="275"/>
      <c r="D592" s="275"/>
      <c r="E592" s="275"/>
      <c r="F592" s="275"/>
      <c r="G592" s="275"/>
      <c r="H592" s="275"/>
      <c r="I592" s="275"/>
      <c r="J592" s="275"/>
      <c r="K592" s="275"/>
      <c r="L592" s="275"/>
      <c r="M592" s="275"/>
      <c r="N592" s="275"/>
    </row>
    <row r="593">
      <c r="B593" s="275"/>
      <c r="C593" s="275"/>
      <c r="D593" s="275"/>
      <c r="E593" s="275"/>
      <c r="F593" s="275"/>
      <c r="G593" s="275"/>
      <c r="H593" s="275"/>
      <c r="I593" s="275"/>
      <c r="J593" s="275"/>
      <c r="K593" s="275"/>
      <c r="L593" s="275"/>
      <c r="M593" s="275"/>
      <c r="N593" s="275"/>
    </row>
    <row r="594">
      <c r="B594" s="275"/>
      <c r="C594" s="275"/>
      <c r="D594" s="275"/>
      <c r="E594" s="275"/>
      <c r="F594" s="275"/>
      <c r="G594" s="275"/>
      <c r="H594" s="275"/>
      <c r="I594" s="275"/>
      <c r="J594" s="275"/>
      <c r="K594" s="275"/>
      <c r="L594" s="275"/>
      <c r="M594" s="275"/>
      <c r="N594" s="275"/>
    </row>
    <row r="595">
      <c r="B595" s="275"/>
      <c r="C595" s="275"/>
      <c r="D595" s="275"/>
      <c r="E595" s="275"/>
      <c r="F595" s="275"/>
      <c r="G595" s="275"/>
      <c r="H595" s="275"/>
      <c r="I595" s="275"/>
      <c r="J595" s="275"/>
      <c r="K595" s="275"/>
      <c r="L595" s="275"/>
      <c r="M595" s="275"/>
      <c r="N595" s="275"/>
    </row>
    <row r="596">
      <c r="B596" s="275"/>
      <c r="C596" s="275"/>
      <c r="D596" s="275"/>
      <c r="E596" s="275"/>
      <c r="F596" s="275"/>
      <c r="G596" s="275"/>
      <c r="H596" s="275"/>
      <c r="I596" s="275"/>
      <c r="J596" s="275"/>
      <c r="K596" s="275"/>
      <c r="L596" s="275"/>
      <c r="M596" s="275"/>
      <c r="N596" s="275"/>
    </row>
    <row r="597">
      <c r="B597" s="275"/>
      <c r="C597" s="275"/>
      <c r="D597" s="275"/>
      <c r="E597" s="275"/>
      <c r="F597" s="275"/>
      <c r="G597" s="275"/>
      <c r="H597" s="275"/>
      <c r="I597" s="275"/>
      <c r="J597" s="275"/>
      <c r="K597" s="275"/>
      <c r="L597" s="275"/>
      <c r="M597" s="275"/>
      <c r="N597" s="275"/>
    </row>
    <row r="598">
      <c r="B598" s="275"/>
      <c r="C598" s="275"/>
      <c r="D598" s="275"/>
      <c r="E598" s="275"/>
      <c r="F598" s="275"/>
      <c r="G598" s="275"/>
      <c r="H598" s="275"/>
      <c r="I598" s="275"/>
      <c r="J598" s="275"/>
      <c r="K598" s="275"/>
      <c r="L598" s="275"/>
      <c r="M598" s="275"/>
      <c r="N598" s="275"/>
    </row>
    <row r="599">
      <c r="B599" s="275"/>
      <c r="C599" s="275"/>
      <c r="D599" s="275"/>
      <c r="E599" s="275"/>
      <c r="F599" s="275"/>
      <c r="G599" s="275"/>
      <c r="H599" s="275"/>
      <c r="I599" s="275"/>
      <c r="J599" s="275"/>
      <c r="K599" s="275"/>
      <c r="L599" s="275"/>
      <c r="M599" s="275"/>
      <c r="N599" s="275"/>
    </row>
    <row r="600">
      <c r="B600" s="275"/>
      <c r="C600" s="275"/>
      <c r="D600" s="275"/>
      <c r="E600" s="275"/>
      <c r="F600" s="275"/>
      <c r="G600" s="275"/>
      <c r="H600" s="275"/>
      <c r="I600" s="275"/>
      <c r="J600" s="275"/>
      <c r="K600" s="275"/>
      <c r="L600" s="275"/>
      <c r="M600" s="275"/>
      <c r="N600" s="275"/>
    </row>
    <row r="601">
      <c r="B601" s="275"/>
      <c r="C601" s="275"/>
      <c r="D601" s="275"/>
      <c r="E601" s="275"/>
      <c r="F601" s="275"/>
      <c r="G601" s="275"/>
      <c r="H601" s="275"/>
      <c r="I601" s="275"/>
      <c r="J601" s="275"/>
      <c r="K601" s="275"/>
      <c r="L601" s="275"/>
      <c r="M601" s="275"/>
      <c r="N601" s="275"/>
    </row>
    <row r="602">
      <c r="B602" s="275"/>
      <c r="C602" s="275"/>
      <c r="D602" s="275"/>
      <c r="E602" s="275"/>
      <c r="F602" s="275"/>
      <c r="G602" s="275"/>
      <c r="H602" s="275"/>
      <c r="I602" s="275"/>
      <c r="J602" s="275"/>
      <c r="K602" s="275"/>
      <c r="L602" s="275"/>
      <c r="M602" s="275"/>
      <c r="N602" s="275"/>
    </row>
    <row r="603">
      <c r="B603" s="275"/>
      <c r="C603" s="275"/>
      <c r="D603" s="275"/>
      <c r="E603" s="275"/>
      <c r="F603" s="275"/>
      <c r="G603" s="275"/>
      <c r="H603" s="275"/>
      <c r="I603" s="275"/>
      <c r="J603" s="275"/>
      <c r="K603" s="275"/>
      <c r="L603" s="275"/>
      <c r="M603" s="275"/>
      <c r="N603" s="275"/>
    </row>
    <row r="604">
      <c r="B604" s="275"/>
      <c r="C604" s="275"/>
      <c r="D604" s="275"/>
      <c r="E604" s="275"/>
      <c r="F604" s="275"/>
      <c r="G604" s="275"/>
      <c r="H604" s="275"/>
      <c r="I604" s="275"/>
      <c r="J604" s="275"/>
      <c r="K604" s="275"/>
      <c r="L604" s="275"/>
      <c r="M604" s="275"/>
      <c r="N604" s="275"/>
    </row>
    <row r="605">
      <c r="B605" s="275"/>
      <c r="C605" s="275"/>
      <c r="D605" s="275"/>
      <c r="E605" s="275"/>
      <c r="F605" s="275"/>
      <c r="G605" s="275"/>
      <c r="H605" s="275"/>
      <c r="I605" s="275"/>
      <c r="J605" s="275"/>
      <c r="K605" s="275"/>
      <c r="L605" s="275"/>
      <c r="M605" s="275"/>
      <c r="N605" s="275"/>
    </row>
    <row r="606">
      <c r="B606" s="275"/>
      <c r="C606" s="275"/>
      <c r="D606" s="275"/>
      <c r="E606" s="275"/>
      <c r="F606" s="275"/>
      <c r="G606" s="275"/>
      <c r="H606" s="275"/>
      <c r="I606" s="275"/>
      <c r="J606" s="275"/>
      <c r="K606" s="275"/>
      <c r="L606" s="275"/>
      <c r="M606" s="275"/>
      <c r="N606" s="275"/>
    </row>
    <row r="607">
      <c r="B607" s="275"/>
      <c r="C607" s="275"/>
      <c r="D607" s="275"/>
      <c r="E607" s="275"/>
      <c r="F607" s="275"/>
      <c r="G607" s="275"/>
      <c r="H607" s="275"/>
      <c r="I607" s="275"/>
      <c r="J607" s="275"/>
      <c r="K607" s="275"/>
      <c r="L607" s="275"/>
      <c r="M607" s="275"/>
      <c r="N607" s="275"/>
    </row>
    <row r="608">
      <c r="B608" s="275"/>
      <c r="C608" s="275"/>
      <c r="D608" s="275"/>
      <c r="E608" s="275"/>
      <c r="F608" s="275"/>
      <c r="G608" s="275"/>
      <c r="H608" s="275"/>
      <c r="I608" s="275"/>
      <c r="J608" s="275"/>
      <c r="K608" s="275"/>
      <c r="L608" s="275"/>
      <c r="M608" s="275"/>
      <c r="N608" s="275"/>
    </row>
    <row r="609">
      <c r="B609" s="275"/>
      <c r="C609" s="275"/>
      <c r="D609" s="275"/>
      <c r="E609" s="275"/>
      <c r="F609" s="275"/>
      <c r="G609" s="275"/>
      <c r="H609" s="275"/>
      <c r="I609" s="275"/>
      <c r="J609" s="275"/>
      <c r="K609" s="275"/>
      <c r="L609" s="275"/>
      <c r="M609" s="275"/>
      <c r="N609" s="275"/>
    </row>
    <row r="610">
      <c r="B610" s="275"/>
      <c r="C610" s="275"/>
      <c r="D610" s="275"/>
      <c r="E610" s="275"/>
      <c r="F610" s="275"/>
      <c r="G610" s="275"/>
      <c r="H610" s="275"/>
      <c r="I610" s="275"/>
      <c r="J610" s="275"/>
      <c r="K610" s="275"/>
      <c r="L610" s="275"/>
      <c r="M610" s="275"/>
      <c r="N610" s="275"/>
    </row>
    <row r="611">
      <c r="B611" s="275"/>
      <c r="C611" s="275"/>
      <c r="D611" s="275"/>
      <c r="E611" s="275"/>
      <c r="F611" s="275"/>
      <c r="G611" s="275"/>
      <c r="H611" s="275"/>
      <c r="I611" s="275"/>
      <c r="J611" s="275"/>
      <c r="K611" s="275"/>
      <c r="L611" s="275"/>
      <c r="M611" s="275"/>
      <c r="N611" s="275"/>
    </row>
    <row r="612">
      <c r="B612" s="275"/>
      <c r="C612" s="275"/>
      <c r="D612" s="275"/>
      <c r="E612" s="275"/>
      <c r="F612" s="275"/>
      <c r="G612" s="275"/>
      <c r="H612" s="275"/>
      <c r="I612" s="275"/>
      <c r="J612" s="275"/>
      <c r="K612" s="275"/>
      <c r="L612" s="275"/>
      <c r="M612" s="275"/>
      <c r="N612" s="275"/>
    </row>
    <row r="613">
      <c r="B613" s="275"/>
      <c r="C613" s="275"/>
      <c r="D613" s="275"/>
      <c r="E613" s="275"/>
      <c r="F613" s="275"/>
      <c r="G613" s="275"/>
      <c r="H613" s="275"/>
      <c r="I613" s="275"/>
      <c r="J613" s="275"/>
      <c r="K613" s="275"/>
      <c r="L613" s="275"/>
      <c r="M613" s="275"/>
      <c r="N613" s="275"/>
    </row>
    <row r="614">
      <c r="B614" s="275"/>
      <c r="C614" s="275"/>
      <c r="D614" s="275"/>
      <c r="E614" s="275"/>
      <c r="F614" s="275"/>
      <c r="G614" s="275"/>
      <c r="H614" s="275"/>
      <c r="I614" s="275"/>
      <c r="J614" s="275"/>
      <c r="K614" s="275"/>
      <c r="L614" s="275"/>
      <c r="M614" s="275"/>
      <c r="N614" s="275"/>
    </row>
    <row r="615">
      <c r="B615" s="275"/>
      <c r="C615" s="275"/>
      <c r="D615" s="275"/>
      <c r="E615" s="275"/>
      <c r="F615" s="275"/>
      <c r="G615" s="275"/>
      <c r="H615" s="275"/>
      <c r="I615" s="275"/>
      <c r="J615" s="275"/>
      <c r="K615" s="275"/>
      <c r="L615" s="275"/>
      <c r="M615" s="275"/>
      <c r="N615" s="275"/>
    </row>
    <row r="616">
      <c r="B616" s="275"/>
      <c r="C616" s="275"/>
      <c r="D616" s="275"/>
      <c r="E616" s="275"/>
      <c r="F616" s="275"/>
      <c r="G616" s="275"/>
      <c r="H616" s="275"/>
      <c r="I616" s="275"/>
      <c r="J616" s="275"/>
      <c r="K616" s="275"/>
      <c r="L616" s="275"/>
      <c r="M616" s="275"/>
      <c r="N616" s="275"/>
    </row>
    <row r="617">
      <c r="B617" s="275"/>
      <c r="C617" s="275"/>
      <c r="D617" s="275"/>
      <c r="E617" s="275"/>
      <c r="F617" s="275"/>
      <c r="G617" s="275"/>
      <c r="H617" s="275"/>
      <c r="I617" s="275"/>
      <c r="J617" s="275"/>
      <c r="K617" s="275"/>
      <c r="L617" s="275"/>
      <c r="M617" s="275"/>
      <c r="N617" s="275"/>
    </row>
    <row r="618">
      <c r="B618" s="275"/>
      <c r="C618" s="275"/>
      <c r="D618" s="275"/>
      <c r="E618" s="275"/>
      <c r="F618" s="275"/>
      <c r="G618" s="275"/>
      <c r="H618" s="275"/>
      <c r="I618" s="275"/>
      <c r="J618" s="275"/>
      <c r="K618" s="275"/>
      <c r="L618" s="275"/>
      <c r="M618" s="275"/>
      <c r="N618" s="275"/>
    </row>
    <row r="619">
      <c r="B619" s="275"/>
      <c r="C619" s="275"/>
      <c r="D619" s="275"/>
      <c r="E619" s="275"/>
      <c r="F619" s="275"/>
      <c r="G619" s="275"/>
      <c r="H619" s="275"/>
      <c r="I619" s="275"/>
      <c r="J619" s="275"/>
      <c r="K619" s="275"/>
      <c r="L619" s="275"/>
      <c r="M619" s="275"/>
      <c r="N619" s="275"/>
    </row>
    <row r="620">
      <c r="B620" s="275"/>
      <c r="C620" s="275"/>
      <c r="D620" s="275"/>
      <c r="E620" s="275"/>
      <c r="F620" s="275"/>
      <c r="G620" s="275"/>
      <c r="H620" s="275"/>
      <c r="I620" s="275"/>
      <c r="J620" s="275"/>
      <c r="K620" s="275"/>
      <c r="L620" s="275"/>
      <c r="M620" s="275"/>
      <c r="N620" s="275"/>
    </row>
    <row r="621">
      <c r="B621" s="275"/>
      <c r="C621" s="275"/>
      <c r="D621" s="275"/>
      <c r="E621" s="275"/>
      <c r="F621" s="275"/>
      <c r="G621" s="275"/>
      <c r="H621" s="275"/>
      <c r="I621" s="275"/>
      <c r="J621" s="275"/>
      <c r="K621" s="275"/>
      <c r="L621" s="275"/>
      <c r="M621" s="275"/>
      <c r="N621" s="275"/>
    </row>
    <row r="622">
      <c r="B622" s="275"/>
      <c r="C622" s="275"/>
      <c r="D622" s="275"/>
      <c r="E622" s="275"/>
      <c r="F622" s="275"/>
      <c r="G622" s="275"/>
      <c r="H622" s="275"/>
      <c r="I622" s="275"/>
      <c r="J622" s="275"/>
      <c r="K622" s="275"/>
      <c r="L622" s="275"/>
      <c r="M622" s="275"/>
      <c r="N622" s="275"/>
    </row>
    <row r="623">
      <c r="B623" s="275"/>
      <c r="C623" s="275"/>
      <c r="D623" s="275"/>
      <c r="E623" s="275"/>
      <c r="F623" s="275"/>
      <c r="G623" s="275"/>
      <c r="H623" s="275"/>
      <c r="I623" s="275"/>
      <c r="J623" s="275"/>
      <c r="K623" s="275"/>
      <c r="L623" s="275"/>
      <c r="M623" s="275"/>
      <c r="N623" s="275"/>
    </row>
    <row r="624">
      <c r="B624" s="275"/>
      <c r="C624" s="275"/>
      <c r="D624" s="275"/>
      <c r="E624" s="275"/>
      <c r="F624" s="275"/>
      <c r="G624" s="275"/>
      <c r="H624" s="275"/>
      <c r="I624" s="275"/>
      <c r="J624" s="275"/>
      <c r="K624" s="275"/>
      <c r="L624" s="275"/>
      <c r="M624" s="275"/>
      <c r="N624" s="275"/>
    </row>
    <row r="625">
      <c r="B625" s="275"/>
      <c r="C625" s="275"/>
      <c r="D625" s="275"/>
      <c r="E625" s="275"/>
      <c r="F625" s="275"/>
      <c r="G625" s="275"/>
      <c r="H625" s="275"/>
      <c r="I625" s="275"/>
      <c r="J625" s="275"/>
      <c r="K625" s="275"/>
      <c r="L625" s="275"/>
      <c r="M625" s="275"/>
      <c r="N625" s="275"/>
    </row>
    <row r="626">
      <c r="B626" s="275"/>
      <c r="C626" s="275"/>
      <c r="D626" s="275"/>
      <c r="E626" s="275"/>
      <c r="F626" s="275"/>
      <c r="G626" s="275"/>
      <c r="H626" s="275"/>
      <c r="I626" s="275"/>
      <c r="J626" s="275"/>
      <c r="K626" s="275"/>
      <c r="L626" s="275"/>
      <c r="M626" s="275"/>
      <c r="N626" s="275"/>
    </row>
    <row r="627">
      <c r="B627" s="275"/>
      <c r="C627" s="275"/>
      <c r="D627" s="275"/>
      <c r="E627" s="275"/>
      <c r="F627" s="275"/>
      <c r="G627" s="275"/>
      <c r="H627" s="275"/>
      <c r="I627" s="275"/>
      <c r="J627" s="275"/>
      <c r="K627" s="275"/>
      <c r="L627" s="275"/>
      <c r="M627" s="275"/>
      <c r="N627" s="275"/>
    </row>
    <row r="628">
      <c r="B628" s="275"/>
      <c r="C628" s="275"/>
      <c r="D628" s="275"/>
      <c r="E628" s="275"/>
      <c r="F628" s="275"/>
      <c r="G628" s="275"/>
      <c r="H628" s="275"/>
      <c r="I628" s="275"/>
      <c r="J628" s="275"/>
      <c r="K628" s="275"/>
      <c r="L628" s="275"/>
      <c r="M628" s="275"/>
      <c r="N628" s="275"/>
    </row>
    <row r="629">
      <c r="B629" s="275"/>
      <c r="C629" s="275"/>
      <c r="D629" s="275"/>
      <c r="E629" s="275"/>
      <c r="F629" s="275"/>
      <c r="G629" s="275"/>
      <c r="H629" s="275"/>
      <c r="I629" s="275"/>
      <c r="J629" s="275"/>
      <c r="K629" s="275"/>
      <c r="L629" s="275"/>
      <c r="M629" s="275"/>
      <c r="N629" s="275"/>
    </row>
    <row r="630">
      <c r="B630" s="275"/>
      <c r="C630" s="275"/>
      <c r="D630" s="275"/>
      <c r="E630" s="275"/>
      <c r="F630" s="275"/>
      <c r="G630" s="275"/>
      <c r="H630" s="275"/>
      <c r="I630" s="275"/>
      <c r="J630" s="275"/>
      <c r="K630" s="275"/>
      <c r="L630" s="275"/>
      <c r="M630" s="275"/>
      <c r="N630" s="275"/>
    </row>
    <row r="631">
      <c r="B631" s="275"/>
      <c r="C631" s="275"/>
      <c r="D631" s="275"/>
      <c r="E631" s="275"/>
      <c r="F631" s="275"/>
      <c r="G631" s="275"/>
      <c r="H631" s="275"/>
      <c r="I631" s="275"/>
      <c r="J631" s="275"/>
      <c r="K631" s="275"/>
      <c r="L631" s="275"/>
      <c r="M631" s="275"/>
      <c r="N631" s="275"/>
    </row>
    <row r="632">
      <c r="B632" s="275"/>
      <c r="C632" s="275"/>
      <c r="D632" s="275"/>
      <c r="E632" s="275"/>
      <c r="F632" s="275"/>
      <c r="G632" s="275"/>
      <c r="H632" s="275"/>
      <c r="I632" s="275"/>
      <c r="J632" s="275"/>
      <c r="K632" s="275"/>
      <c r="L632" s="275"/>
      <c r="M632" s="275"/>
      <c r="N632" s="275"/>
    </row>
    <row r="633">
      <c r="B633" s="275"/>
      <c r="C633" s="275"/>
      <c r="D633" s="275"/>
      <c r="E633" s="275"/>
      <c r="F633" s="275"/>
      <c r="G633" s="275"/>
      <c r="H633" s="275"/>
      <c r="I633" s="275"/>
      <c r="J633" s="275"/>
      <c r="K633" s="275"/>
      <c r="L633" s="275"/>
      <c r="M633" s="275"/>
      <c r="N633" s="275"/>
    </row>
    <row r="634">
      <c r="B634" s="275"/>
      <c r="C634" s="275"/>
      <c r="D634" s="275"/>
      <c r="E634" s="275"/>
      <c r="F634" s="275"/>
      <c r="G634" s="275"/>
      <c r="H634" s="275"/>
      <c r="I634" s="275"/>
      <c r="J634" s="275"/>
      <c r="K634" s="275"/>
      <c r="L634" s="275"/>
      <c r="M634" s="275"/>
      <c r="N634" s="275"/>
    </row>
    <row r="635">
      <c r="B635" s="275"/>
      <c r="C635" s="275"/>
      <c r="D635" s="275"/>
      <c r="E635" s="275"/>
      <c r="F635" s="275"/>
      <c r="G635" s="275"/>
      <c r="H635" s="275"/>
      <c r="I635" s="275"/>
      <c r="J635" s="275"/>
      <c r="K635" s="275"/>
      <c r="L635" s="275"/>
      <c r="M635" s="275"/>
      <c r="N635" s="275"/>
    </row>
    <row r="636">
      <c r="B636" s="275"/>
      <c r="C636" s="275"/>
      <c r="D636" s="275"/>
      <c r="E636" s="275"/>
      <c r="F636" s="275"/>
      <c r="G636" s="275"/>
      <c r="H636" s="275"/>
      <c r="I636" s="275"/>
      <c r="J636" s="275"/>
      <c r="K636" s="275"/>
      <c r="L636" s="275"/>
      <c r="M636" s="275"/>
      <c r="N636" s="275"/>
    </row>
    <row r="637">
      <c r="B637" s="275"/>
      <c r="C637" s="275"/>
      <c r="D637" s="275"/>
      <c r="E637" s="275"/>
      <c r="F637" s="275"/>
      <c r="G637" s="275"/>
      <c r="H637" s="275"/>
      <c r="I637" s="275"/>
      <c r="J637" s="275"/>
      <c r="K637" s="275"/>
      <c r="L637" s="275"/>
      <c r="M637" s="275"/>
      <c r="N637" s="275"/>
    </row>
    <row r="638">
      <c r="B638" s="275"/>
      <c r="C638" s="275"/>
      <c r="D638" s="275"/>
      <c r="E638" s="275"/>
      <c r="F638" s="275"/>
      <c r="G638" s="275"/>
      <c r="H638" s="275"/>
      <c r="I638" s="275"/>
      <c r="J638" s="275"/>
      <c r="K638" s="275"/>
      <c r="L638" s="275"/>
      <c r="M638" s="275"/>
      <c r="N638" s="275"/>
    </row>
    <row r="639">
      <c r="B639" s="275"/>
      <c r="C639" s="275"/>
      <c r="D639" s="275"/>
      <c r="E639" s="275"/>
      <c r="F639" s="275"/>
      <c r="G639" s="275"/>
      <c r="H639" s="275"/>
      <c r="I639" s="275"/>
      <c r="J639" s="275"/>
      <c r="K639" s="275"/>
      <c r="L639" s="275"/>
      <c r="M639" s="275"/>
      <c r="N639" s="275"/>
    </row>
    <row r="640">
      <c r="B640" s="275"/>
      <c r="C640" s="275"/>
      <c r="D640" s="275"/>
      <c r="E640" s="275"/>
      <c r="F640" s="275"/>
      <c r="G640" s="275"/>
      <c r="H640" s="275"/>
      <c r="I640" s="275"/>
      <c r="J640" s="275"/>
      <c r="K640" s="275"/>
      <c r="L640" s="275"/>
      <c r="M640" s="275"/>
      <c r="N640" s="275"/>
    </row>
    <row r="641">
      <c r="B641" s="275"/>
      <c r="C641" s="275"/>
      <c r="D641" s="275"/>
      <c r="E641" s="275"/>
      <c r="F641" s="275"/>
      <c r="G641" s="275"/>
      <c r="H641" s="275"/>
      <c r="I641" s="275"/>
      <c r="J641" s="275"/>
      <c r="K641" s="275"/>
      <c r="L641" s="275"/>
      <c r="M641" s="275"/>
      <c r="N641" s="275"/>
    </row>
    <row r="642">
      <c r="B642" s="275"/>
      <c r="C642" s="275"/>
      <c r="D642" s="275"/>
      <c r="E642" s="275"/>
      <c r="F642" s="275"/>
      <c r="G642" s="275"/>
      <c r="H642" s="275"/>
      <c r="I642" s="275"/>
      <c r="J642" s="275"/>
      <c r="K642" s="275"/>
      <c r="L642" s="275"/>
      <c r="M642" s="275"/>
      <c r="N642" s="275"/>
    </row>
    <row r="643">
      <c r="B643" s="275"/>
      <c r="C643" s="275"/>
      <c r="D643" s="275"/>
      <c r="E643" s="275"/>
      <c r="F643" s="275"/>
      <c r="G643" s="275"/>
      <c r="H643" s="275"/>
      <c r="I643" s="275"/>
      <c r="J643" s="275"/>
      <c r="K643" s="275"/>
      <c r="L643" s="275"/>
      <c r="M643" s="275"/>
      <c r="N643" s="275"/>
    </row>
    <row r="644">
      <c r="B644" s="275"/>
      <c r="C644" s="275"/>
      <c r="D644" s="275"/>
      <c r="E644" s="275"/>
      <c r="F644" s="275"/>
      <c r="G644" s="275"/>
      <c r="H644" s="275"/>
      <c r="I644" s="275"/>
      <c r="J644" s="275"/>
      <c r="K644" s="275"/>
      <c r="L644" s="275"/>
      <c r="M644" s="275"/>
      <c r="N644" s="275"/>
    </row>
    <row r="645">
      <c r="B645" s="275"/>
      <c r="C645" s="275"/>
      <c r="D645" s="275"/>
      <c r="E645" s="275"/>
      <c r="F645" s="275"/>
      <c r="G645" s="275"/>
      <c r="H645" s="275"/>
      <c r="I645" s="275"/>
      <c r="J645" s="275"/>
      <c r="K645" s="275"/>
      <c r="L645" s="275"/>
      <c r="M645" s="275"/>
      <c r="N645" s="275"/>
    </row>
    <row r="646">
      <c r="B646" s="275"/>
      <c r="C646" s="275"/>
      <c r="D646" s="275"/>
      <c r="E646" s="275"/>
      <c r="F646" s="275"/>
      <c r="G646" s="275"/>
      <c r="H646" s="275"/>
      <c r="I646" s="275"/>
      <c r="J646" s="275"/>
      <c r="K646" s="275"/>
      <c r="L646" s="275"/>
      <c r="M646" s="275"/>
      <c r="N646" s="275"/>
    </row>
    <row r="647">
      <c r="B647" s="275"/>
      <c r="C647" s="275"/>
      <c r="D647" s="275"/>
      <c r="E647" s="275"/>
      <c r="F647" s="275"/>
      <c r="G647" s="275"/>
      <c r="H647" s="275"/>
      <c r="I647" s="275"/>
      <c r="J647" s="275"/>
      <c r="K647" s="275"/>
      <c r="L647" s="275"/>
      <c r="M647" s="275"/>
      <c r="N647" s="275"/>
    </row>
    <row r="648">
      <c r="B648" s="275"/>
      <c r="C648" s="275"/>
      <c r="D648" s="275"/>
      <c r="E648" s="275"/>
      <c r="F648" s="275"/>
      <c r="G648" s="275"/>
      <c r="H648" s="275"/>
      <c r="I648" s="275"/>
      <c r="J648" s="275"/>
      <c r="K648" s="275"/>
      <c r="L648" s="275"/>
      <c r="M648" s="275"/>
      <c r="N648" s="275"/>
    </row>
    <row r="649">
      <c r="B649" s="275"/>
      <c r="C649" s="275"/>
      <c r="D649" s="275"/>
      <c r="E649" s="275"/>
      <c r="F649" s="275"/>
      <c r="G649" s="275"/>
      <c r="H649" s="275"/>
      <c r="I649" s="275"/>
      <c r="J649" s="275"/>
      <c r="K649" s="275"/>
      <c r="L649" s="275"/>
      <c r="M649" s="275"/>
      <c r="N649" s="275"/>
    </row>
    <row r="650">
      <c r="B650" s="275"/>
      <c r="C650" s="275"/>
      <c r="D650" s="275"/>
      <c r="E650" s="275"/>
      <c r="F650" s="275"/>
      <c r="G650" s="275"/>
      <c r="H650" s="275"/>
      <c r="I650" s="275"/>
      <c r="J650" s="275"/>
      <c r="K650" s="275"/>
      <c r="L650" s="275"/>
      <c r="M650" s="275"/>
      <c r="N650" s="275"/>
    </row>
    <row r="651">
      <c r="B651" s="275"/>
      <c r="C651" s="275"/>
      <c r="D651" s="275"/>
      <c r="E651" s="275"/>
      <c r="F651" s="275"/>
      <c r="G651" s="275"/>
      <c r="H651" s="275"/>
      <c r="I651" s="275"/>
      <c r="J651" s="275"/>
      <c r="K651" s="275"/>
      <c r="L651" s="275"/>
      <c r="M651" s="275"/>
      <c r="N651" s="275"/>
    </row>
    <row r="652">
      <c r="B652" s="275"/>
      <c r="C652" s="275"/>
      <c r="D652" s="275"/>
      <c r="E652" s="275"/>
      <c r="F652" s="275"/>
      <c r="G652" s="275"/>
      <c r="H652" s="275"/>
      <c r="I652" s="275"/>
      <c r="J652" s="275"/>
      <c r="K652" s="275"/>
      <c r="L652" s="275"/>
      <c r="M652" s="275"/>
      <c r="N652" s="275"/>
    </row>
    <row r="653">
      <c r="B653" s="275"/>
      <c r="C653" s="275"/>
      <c r="D653" s="275"/>
      <c r="E653" s="275"/>
      <c r="F653" s="275"/>
      <c r="G653" s="275"/>
      <c r="H653" s="275"/>
      <c r="I653" s="275"/>
      <c r="J653" s="275"/>
      <c r="K653" s="275"/>
      <c r="L653" s="275"/>
      <c r="M653" s="275"/>
      <c r="N653" s="275"/>
    </row>
    <row r="654">
      <c r="B654" s="275"/>
      <c r="C654" s="275"/>
      <c r="D654" s="275"/>
      <c r="E654" s="275"/>
      <c r="F654" s="275"/>
      <c r="G654" s="275"/>
      <c r="H654" s="275"/>
      <c r="I654" s="275"/>
      <c r="J654" s="275"/>
      <c r="K654" s="275"/>
      <c r="L654" s="275"/>
      <c r="M654" s="275"/>
      <c r="N654" s="275"/>
    </row>
    <row r="655">
      <c r="B655" s="275"/>
      <c r="C655" s="275"/>
      <c r="D655" s="275"/>
      <c r="E655" s="275"/>
      <c r="F655" s="275"/>
      <c r="G655" s="275"/>
      <c r="H655" s="275"/>
      <c r="I655" s="275"/>
      <c r="J655" s="275"/>
      <c r="K655" s="275"/>
      <c r="L655" s="275"/>
      <c r="M655" s="275"/>
      <c r="N655" s="275"/>
    </row>
    <row r="656">
      <c r="B656" s="275"/>
      <c r="C656" s="275"/>
      <c r="D656" s="275"/>
      <c r="E656" s="275"/>
      <c r="F656" s="275"/>
      <c r="G656" s="275"/>
      <c r="H656" s="275"/>
      <c r="I656" s="275"/>
      <c r="J656" s="275"/>
      <c r="K656" s="275"/>
      <c r="L656" s="275"/>
      <c r="M656" s="275"/>
      <c r="N656" s="275"/>
    </row>
    <row r="657">
      <c r="B657" s="275"/>
      <c r="C657" s="275"/>
      <c r="D657" s="275"/>
      <c r="E657" s="275"/>
      <c r="F657" s="275"/>
      <c r="G657" s="275"/>
      <c r="H657" s="275"/>
      <c r="I657" s="275"/>
      <c r="J657" s="275"/>
      <c r="K657" s="275"/>
      <c r="L657" s="275"/>
      <c r="M657" s="275"/>
      <c r="N657" s="275"/>
    </row>
    <row r="658">
      <c r="B658" s="275"/>
      <c r="C658" s="275"/>
      <c r="D658" s="275"/>
      <c r="E658" s="275"/>
      <c r="F658" s="275"/>
      <c r="G658" s="275"/>
      <c r="H658" s="275"/>
      <c r="I658" s="275"/>
      <c r="J658" s="275"/>
      <c r="K658" s="275"/>
      <c r="L658" s="275"/>
      <c r="M658" s="275"/>
      <c r="N658" s="275"/>
    </row>
    <row r="659">
      <c r="B659" s="275"/>
      <c r="C659" s="275"/>
      <c r="D659" s="275"/>
      <c r="E659" s="275"/>
      <c r="F659" s="275"/>
      <c r="G659" s="275"/>
      <c r="H659" s="275"/>
      <c r="I659" s="275"/>
      <c r="J659" s="275"/>
      <c r="K659" s="275"/>
      <c r="L659" s="275"/>
      <c r="M659" s="275"/>
      <c r="N659" s="275"/>
    </row>
    <row r="660">
      <c r="B660" s="275"/>
      <c r="C660" s="275"/>
      <c r="D660" s="275"/>
      <c r="E660" s="275"/>
      <c r="F660" s="275"/>
      <c r="G660" s="275"/>
      <c r="H660" s="275"/>
      <c r="I660" s="275"/>
      <c r="J660" s="275"/>
      <c r="K660" s="275"/>
      <c r="L660" s="275"/>
      <c r="M660" s="275"/>
      <c r="N660" s="275"/>
    </row>
    <row r="661">
      <c r="B661" s="275"/>
      <c r="C661" s="275"/>
      <c r="D661" s="275"/>
      <c r="E661" s="275"/>
      <c r="F661" s="275"/>
      <c r="G661" s="275"/>
      <c r="H661" s="275"/>
      <c r="I661" s="275"/>
      <c r="J661" s="275"/>
      <c r="K661" s="275"/>
      <c r="L661" s="275"/>
      <c r="M661" s="275"/>
      <c r="N661" s="275"/>
    </row>
    <row r="662">
      <c r="B662" s="275"/>
      <c r="C662" s="275"/>
      <c r="D662" s="275"/>
      <c r="E662" s="275"/>
      <c r="F662" s="275"/>
      <c r="G662" s="275"/>
      <c r="H662" s="275"/>
      <c r="I662" s="275"/>
      <c r="J662" s="275"/>
      <c r="K662" s="275"/>
      <c r="L662" s="275"/>
      <c r="M662" s="275"/>
      <c r="N662" s="275"/>
    </row>
    <row r="663">
      <c r="B663" s="275"/>
      <c r="C663" s="275"/>
      <c r="D663" s="275"/>
      <c r="E663" s="275"/>
      <c r="F663" s="275"/>
      <c r="G663" s="275"/>
      <c r="H663" s="275"/>
      <c r="I663" s="275"/>
      <c r="J663" s="275"/>
      <c r="K663" s="275"/>
      <c r="L663" s="275"/>
      <c r="M663" s="275"/>
      <c r="N663" s="275"/>
    </row>
    <row r="664">
      <c r="B664" s="275"/>
      <c r="C664" s="275"/>
      <c r="D664" s="275"/>
      <c r="E664" s="275"/>
      <c r="F664" s="275"/>
      <c r="G664" s="275"/>
      <c r="H664" s="275"/>
      <c r="I664" s="275"/>
      <c r="J664" s="275"/>
      <c r="K664" s="275"/>
      <c r="L664" s="275"/>
      <c r="M664" s="275"/>
      <c r="N664" s="275"/>
    </row>
    <row r="665">
      <c r="B665" s="275"/>
      <c r="C665" s="275"/>
      <c r="D665" s="275"/>
      <c r="E665" s="275"/>
      <c r="F665" s="275"/>
      <c r="G665" s="275"/>
      <c r="H665" s="275"/>
      <c r="I665" s="275"/>
      <c r="J665" s="275"/>
      <c r="K665" s="275"/>
      <c r="L665" s="275"/>
      <c r="M665" s="275"/>
      <c r="N665" s="275"/>
    </row>
    <row r="666">
      <c r="B666" s="275"/>
      <c r="C666" s="275"/>
      <c r="D666" s="275"/>
      <c r="E666" s="275"/>
      <c r="F666" s="275"/>
      <c r="G666" s="275"/>
      <c r="H666" s="275"/>
      <c r="I666" s="275"/>
      <c r="J666" s="275"/>
      <c r="K666" s="275"/>
      <c r="L666" s="275"/>
      <c r="M666" s="275"/>
      <c r="N666" s="275"/>
    </row>
    <row r="667">
      <c r="B667" s="275"/>
      <c r="C667" s="275"/>
      <c r="D667" s="275"/>
      <c r="E667" s="275"/>
      <c r="F667" s="275"/>
      <c r="G667" s="275"/>
      <c r="H667" s="275"/>
      <c r="I667" s="275"/>
      <c r="J667" s="275"/>
      <c r="K667" s="275"/>
      <c r="L667" s="275"/>
      <c r="M667" s="275"/>
      <c r="N667" s="275"/>
    </row>
    <row r="668">
      <c r="B668" s="275"/>
      <c r="C668" s="275"/>
      <c r="D668" s="275"/>
      <c r="E668" s="275"/>
      <c r="F668" s="275"/>
      <c r="G668" s="275"/>
      <c r="H668" s="275"/>
      <c r="I668" s="275"/>
      <c r="J668" s="275"/>
      <c r="K668" s="275"/>
      <c r="L668" s="275"/>
      <c r="M668" s="275"/>
      <c r="N668" s="275"/>
    </row>
    <row r="669">
      <c r="B669" s="275"/>
      <c r="C669" s="275"/>
      <c r="D669" s="275"/>
      <c r="E669" s="275"/>
      <c r="F669" s="275"/>
      <c r="G669" s="275"/>
      <c r="H669" s="275"/>
      <c r="I669" s="275"/>
      <c r="J669" s="275"/>
      <c r="K669" s="275"/>
      <c r="L669" s="275"/>
      <c r="M669" s="275"/>
      <c r="N669" s="275"/>
    </row>
    <row r="670">
      <c r="B670" s="275"/>
      <c r="C670" s="275"/>
      <c r="D670" s="275"/>
      <c r="E670" s="275"/>
      <c r="F670" s="275"/>
      <c r="G670" s="275"/>
      <c r="H670" s="275"/>
      <c r="I670" s="275"/>
      <c r="J670" s="275"/>
      <c r="K670" s="275"/>
      <c r="L670" s="275"/>
      <c r="M670" s="275"/>
      <c r="N670" s="275"/>
    </row>
    <row r="671">
      <c r="B671" s="275"/>
      <c r="C671" s="275"/>
      <c r="D671" s="275"/>
      <c r="E671" s="275"/>
      <c r="F671" s="275"/>
      <c r="G671" s="275"/>
      <c r="H671" s="275"/>
      <c r="I671" s="275"/>
      <c r="J671" s="275"/>
      <c r="K671" s="275"/>
      <c r="L671" s="275"/>
      <c r="M671" s="275"/>
      <c r="N671" s="275"/>
    </row>
    <row r="672">
      <c r="B672" s="275"/>
      <c r="C672" s="275"/>
      <c r="D672" s="275"/>
      <c r="E672" s="275"/>
      <c r="F672" s="275"/>
      <c r="G672" s="275"/>
      <c r="H672" s="275"/>
      <c r="I672" s="275"/>
      <c r="J672" s="275"/>
      <c r="K672" s="275"/>
      <c r="L672" s="275"/>
      <c r="M672" s="275"/>
      <c r="N672" s="275"/>
    </row>
    <row r="673">
      <c r="B673" s="275"/>
      <c r="C673" s="275"/>
      <c r="D673" s="275"/>
      <c r="E673" s="275"/>
      <c r="F673" s="275"/>
      <c r="G673" s="275"/>
      <c r="H673" s="275"/>
      <c r="I673" s="275"/>
      <c r="J673" s="275"/>
      <c r="K673" s="275"/>
      <c r="L673" s="275"/>
      <c r="M673" s="275"/>
      <c r="N673" s="275"/>
    </row>
    <row r="674">
      <c r="B674" s="275"/>
      <c r="C674" s="275"/>
      <c r="D674" s="275"/>
      <c r="E674" s="275"/>
      <c r="F674" s="275"/>
      <c r="G674" s="275"/>
      <c r="H674" s="275"/>
      <c r="I674" s="275"/>
      <c r="J674" s="275"/>
      <c r="K674" s="275"/>
      <c r="L674" s="275"/>
      <c r="M674" s="275"/>
      <c r="N674" s="275"/>
    </row>
    <row r="675">
      <c r="B675" s="275"/>
      <c r="C675" s="275"/>
      <c r="D675" s="275"/>
      <c r="E675" s="275"/>
      <c r="F675" s="275"/>
      <c r="G675" s="275"/>
      <c r="H675" s="275"/>
      <c r="I675" s="275"/>
      <c r="J675" s="275"/>
      <c r="K675" s="275"/>
      <c r="L675" s="275"/>
      <c r="M675" s="275"/>
      <c r="N675" s="275"/>
    </row>
    <row r="676">
      <c r="B676" s="275"/>
      <c r="C676" s="275"/>
      <c r="D676" s="275"/>
      <c r="E676" s="275"/>
      <c r="F676" s="275"/>
      <c r="G676" s="275"/>
      <c r="H676" s="275"/>
      <c r="I676" s="275"/>
      <c r="J676" s="275"/>
      <c r="K676" s="275"/>
      <c r="L676" s="275"/>
      <c r="M676" s="275"/>
      <c r="N676" s="275"/>
    </row>
    <row r="677">
      <c r="B677" s="275"/>
      <c r="C677" s="275"/>
      <c r="D677" s="275"/>
      <c r="E677" s="275"/>
      <c r="F677" s="275"/>
      <c r="G677" s="275"/>
      <c r="H677" s="275"/>
      <c r="I677" s="275"/>
      <c r="J677" s="275"/>
      <c r="K677" s="275"/>
      <c r="L677" s="275"/>
      <c r="M677" s="275"/>
      <c r="N677" s="275"/>
    </row>
    <row r="678">
      <c r="B678" s="275"/>
      <c r="C678" s="275"/>
      <c r="D678" s="275"/>
      <c r="E678" s="275"/>
      <c r="F678" s="275"/>
      <c r="G678" s="275"/>
      <c r="H678" s="275"/>
      <c r="I678" s="275"/>
      <c r="J678" s="275"/>
      <c r="K678" s="275"/>
      <c r="L678" s="275"/>
      <c r="M678" s="275"/>
      <c r="N678" s="275"/>
    </row>
    <row r="679">
      <c r="B679" s="275"/>
      <c r="C679" s="275"/>
      <c r="D679" s="275"/>
      <c r="E679" s="275"/>
      <c r="F679" s="275"/>
      <c r="G679" s="275"/>
      <c r="H679" s="275"/>
      <c r="I679" s="275"/>
      <c r="J679" s="275"/>
      <c r="K679" s="275"/>
      <c r="L679" s="275"/>
      <c r="M679" s="275"/>
      <c r="N679" s="275"/>
    </row>
    <row r="680">
      <c r="B680" s="275"/>
      <c r="C680" s="275"/>
      <c r="D680" s="275"/>
      <c r="E680" s="275"/>
      <c r="F680" s="275"/>
      <c r="G680" s="275"/>
      <c r="H680" s="275"/>
      <c r="I680" s="275"/>
      <c r="J680" s="275"/>
      <c r="K680" s="275"/>
      <c r="L680" s="275"/>
      <c r="M680" s="275"/>
      <c r="N680" s="275"/>
    </row>
    <row r="681">
      <c r="B681" s="275"/>
      <c r="C681" s="275"/>
      <c r="D681" s="275"/>
      <c r="E681" s="275"/>
      <c r="F681" s="275"/>
      <c r="G681" s="275"/>
      <c r="H681" s="275"/>
      <c r="I681" s="275"/>
      <c r="J681" s="275"/>
      <c r="K681" s="275"/>
      <c r="L681" s="275"/>
      <c r="M681" s="275"/>
      <c r="N681" s="275"/>
    </row>
    <row r="682">
      <c r="B682" s="275"/>
      <c r="C682" s="275"/>
      <c r="D682" s="275"/>
      <c r="E682" s="275"/>
      <c r="F682" s="275"/>
      <c r="G682" s="275"/>
      <c r="H682" s="275"/>
      <c r="I682" s="275"/>
      <c r="J682" s="275"/>
      <c r="K682" s="275"/>
      <c r="L682" s="275"/>
      <c r="M682" s="275"/>
      <c r="N682" s="275"/>
    </row>
    <row r="683">
      <c r="B683" s="275"/>
      <c r="C683" s="275"/>
      <c r="D683" s="275"/>
      <c r="E683" s="275"/>
      <c r="F683" s="275"/>
      <c r="G683" s="275"/>
      <c r="H683" s="275"/>
      <c r="I683" s="275"/>
      <c r="J683" s="275"/>
      <c r="K683" s="275"/>
      <c r="L683" s="275"/>
      <c r="M683" s="275"/>
      <c r="N683" s="275"/>
    </row>
    <row r="684">
      <c r="B684" s="275"/>
      <c r="C684" s="275"/>
      <c r="D684" s="275"/>
      <c r="E684" s="275"/>
      <c r="F684" s="275"/>
      <c r="G684" s="275"/>
      <c r="H684" s="275"/>
      <c r="I684" s="275"/>
      <c r="J684" s="275"/>
      <c r="K684" s="275"/>
      <c r="L684" s="275"/>
      <c r="M684" s="275"/>
      <c r="N684" s="275"/>
    </row>
    <row r="685">
      <c r="B685" s="275"/>
      <c r="C685" s="275"/>
      <c r="D685" s="275"/>
      <c r="E685" s="275"/>
      <c r="F685" s="275"/>
      <c r="G685" s="275"/>
      <c r="H685" s="275"/>
      <c r="I685" s="275"/>
      <c r="J685" s="275"/>
      <c r="K685" s="275"/>
      <c r="L685" s="275"/>
      <c r="M685" s="275"/>
      <c r="N685" s="275"/>
    </row>
    <row r="686">
      <c r="B686" s="275"/>
      <c r="C686" s="275"/>
      <c r="D686" s="275"/>
      <c r="E686" s="275"/>
      <c r="F686" s="275"/>
      <c r="G686" s="275"/>
      <c r="H686" s="275"/>
      <c r="I686" s="275"/>
      <c r="J686" s="275"/>
      <c r="K686" s="275"/>
      <c r="L686" s="275"/>
      <c r="M686" s="275"/>
      <c r="N686" s="275"/>
    </row>
    <row r="687">
      <c r="B687" s="275"/>
      <c r="C687" s="275"/>
      <c r="D687" s="275"/>
      <c r="E687" s="275"/>
      <c r="F687" s="275"/>
      <c r="G687" s="275"/>
      <c r="H687" s="275"/>
      <c r="I687" s="275"/>
      <c r="J687" s="275"/>
      <c r="K687" s="275"/>
      <c r="L687" s="275"/>
      <c r="M687" s="275"/>
      <c r="N687" s="275"/>
    </row>
    <row r="688">
      <c r="B688" s="275"/>
      <c r="C688" s="275"/>
      <c r="D688" s="275"/>
      <c r="E688" s="275"/>
      <c r="F688" s="275"/>
      <c r="G688" s="275"/>
      <c r="H688" s="275"/>
      <c r="I688" s="275"/>
      <c r="J688" s="275"/>
      <c r="K688" s="275"/>
      <c r="L688" s="275"/>
      <c r="M688" s="275"/>
      <c r="N688" s="275"/>
    </row>
    <row r="689">
      <c r="B689" s="275"/>
      <c r="C689" s="275"/>
      <c r="D689" s="275"/>
      <c r="E689" s="275"/>
      <c r="F689" s="275"/>
      <c r="G689" s="275"/>
      <c r="H689" s="275"/>
      <c r="I689" s="275"/>
      <c r="J689" s="275"/>
      <c r="K689" s="275"/>
      <c r="L689" s="275"/>
      <c r="M689" s="275"/>
      <c r="N689" s="275"/>
    </row>
    <row r="690">
      <c r="B690" s="275"/>
      <c r="C690" s="275"/>
      <c r="D690" s="275"/>
      <c r="E690" s="275"/>
      <c r="F690" s="275"/>
      <c r="G690" s="275"/>
      <c r="H690" s="275"/>
      <c r="I690" s="275"/>
      <c r="J690" s="275"/>
      <c r="K690" s="275"/>
      <c r="L690" s="275"/>
      <c r="M690" s="275"/>
      <c r="N690" s="275"/>
    </row>
    <row r="691">
      <c r="B691" s="275"/>
      <c r="C691" s="275"/>
      <c r="D691" s="275"/>
      <c r="E691" s="275"/>
      <c r="F691" s="275"/>
      <c r="G691" s="275"/>
      <c r="H691" s="275"/>
      <c r="I691" s="275"/>
      <c r="J691" s="275"/>
      <c r="K691" s="275"/>
      <c r="L691" s="275"/>
      <c r="M691" s="275"/>
      <c r="N691" s="275"/>
    </row>
    <row r="692">
      <c r="B692" s="275"/>
      <c r="C692" s="275"/>
      <c r="D692" s="275"/>
      <c r="E692" s="275"/>
      <c r="F692" s="275"/>
      <c r="G692" s="275"/>
      <c r="H692" s="275"/>
      <c r="I692" s="275"/>
      <c r="J692" s="275"/>
      <c r="K692" s="275"/>
      <c r="L692" s="275"/>
      <c r="M692" s="275"/>
      <c r="N692" s="275"/>
    </row>
    <row r="693">
      <c r="B693" s="275"/>
      <c r="C693" s="275"/>
      <c r="D693" s="275"/>
      <c r="E693" s="275"/>
      <c r="F693" s="275"/>
      <c r="G693" s="275"/>
      <c r="H693" s="275"/>
      <c r="I693" s="275"/>
      <c r="J693" s="275"/>
      <c r="K693" s="275"/>
      <c r="L693" s="275"/>
      <c r="M693" s="275"/>
      <c r="N693" s="275"/>
    </row>
    <row r="694">
      <c r="B694" s="275"/>
      <c r="C694" s="275"/>
      <c r="D694" s="275"/>
      <c r="E694" s="275"/>
      <c r="F694" s="275"/>
      <c r="G694" s="275"/>
      <c r="H694" s="275"/>
      <c r="I694" s="275"/>
      <c r="J694" s="275"/>
      <c r="K694" s="275"/>
      <c r="L694" s="275"/>
      <c r="M694" s="275"/>
      <c r="N694" s="275"/>
    </row>
    <row r="695">
      <c r="B695" s="275"/>
      <c r="C695" s="275"/>
      <c r="D695" s="275"/>
      <c r="E695" s="275"/>
      <c r="F695" s="275"/>
      <c r="G695" s="275"/>
      <c r="H695" s="275"/>
      <c r="I695" s="275"/>
      <c r="J695" s="275"/>
      <c r="K695" s="275"/>
      <c r="L695" s="275"/>
      <c r="M695" s="275"/>
      <c r="N695" s="275"/>
    </row>
    <row r="696">
      <c r="B696" s="275"/>
      <c r="C696" s="275"/>
      <c r="D696" s="275"/>
      <c r="E696" s="275"/>
      <c r="F696" s="275"/>
      <c r="G696" s="275"/>
      <c r="H696" s="275"/>
      <c r="I696" s="275"/>
      <c r="J696" s="275"/>
      <c r="K696" s="275"/>
      <c r="L696" s="275"/>
      <c r="M696" s="275"/>
      <c r="N696" s="275"/>
    </row>
    <row r="697">
      <c r="B697" s="275"/>
      <c r="C697" s="275"/>
      <c r="D697" s="275"/>
      <c r="E697" s="275"/>
      <c r="F697" s="275"/>
      <c r="G697" s="275"/>
      <c r="H697" s="275"/>
      <c r="I697" s="275"/>
      <c r="J697" s="275"/>
      <c r="K697" s="275"/>
      <c r="L697" s="275"/>
      <c r="M697" s="275"/>
      <c r="N697" s="275"/>
    </row>
    <row r="698">
      <c r="B698" s="275"/>
      <c r="C698" s="275"/>
      <c r="D698" s="275"/>
      <c r="E698" s="275"/>
      <c r="F698" s="275"/>
      <c r="G698" s="275"/>
      <c r="H698" s="275"/>
      <c r="I698" s="275"/>
      <c r="J698" s="275"/>
      <c r="K698" s="275"/>
      <c r="L698" s="275"/>
      <c r="M698" s="275"/>
      <c r="N698" s="275"/>
    </row>
    <row r="699">
      <c r="B699" s="275"/>
      <c r="C699" s="275"/>
      <c r="D699" s="275"/>
      <c r="E699" s="275"/>
      <c r="F699" s="275"/>
      <c r="G699" s="275"/>
      <c r="H699" s="275"/>
      <c r="I699" s="275"/>
      <c r="J699" s="275"/>
      <c r="K699" s="275"/>
      <c r="L699" s="275"/>
      <c r="M699" s="275"/>
      <c r="N699" s="275"/>
    </row>
    <row r="700">
      <c r="B700" s="275"/>
      <c r="C700" s="275"/>
      <c r="D700" s="275"/>
      <c r="E700" s="275"/>
      <c r="F700" s="275"/>
      <c r="G700" s="275"/>
      <c r="H700" s="275"/>
      <c r="I700" s="275"/>
      <c r="J700" s="275"/>
      <c r="K700" s="275"/>
      <c r="L700" s="275"/>
      <c r="M700" s="275"/>
      <c r="N700" s="275"/>
    </row>
    <row r="701">
      <c r="B701" s="275"/>
      <c r="C701" s="275"/>
      <c r="D701" s="275"/>
      <c r="E701" s="275"/>
      <c r="F701" s="275"/>
      <c r="G701" s="275"/>
      <c r="H701" s="275"/>
      <c r="I701" s="275"/>
      <c r="J701" s="275"/>
      <c r="K701" s="275"/>
      <c r="L701" s="275"/>
      <c r="M701" s="275"/>
      <c r="N701" s="275"/>
    </row>
    <row r="702">
      <c r="B702" s="275"/>
      <c r="C702" s="275"/>
      <c r="D702" s="275"/>
      <c r="E702" s="275"/>
      <c r="F702" s="275"/>
      <c r="G702" s="275"/>
      <c r="H702" s="275"/>
      <c r="I702" s="275"/>
      <c r="J702" s="275"/>
      <c r="K702" s="275"/>
      <c r="L702" s="275"/>
      <c r="M702" s="275"/>
      <c r="N702" s="275"/>
    </row>
    <row r="703">
      <c r="B703" s="275"/>
      <c r="C703" s="275"/>
      <c r="D703" s="275"/>
      <c r="E703" s="275"/>
      <c r="F703" s="275"/>
      <c r="G703" s="275"/>
      <c r="H703" s="275"/>
      <c r="I703" s="275"/>
      <c r="J703" s="275"/>
      <c r="K703" s="275"/>
      <c r="L703" s="275"/>
      <c r="M703" s="275"/>
      <c r="N703" s="275"/>
    </row>
    <row r="704">
      <c r="B704" s="275"/>
      <c r="C704" s="275"/>
      <c r="D704" s="275"/>
      <c r="E704" s="275"/>
      <c r="F704" s="275"/>
      <c r="G704" s="275"/>
      <c r="H704" s="275"/>
      <c r="I704" s="275"/>
      <c r="J704" s="275"/>
      <c r="K704" s="275"/>
      <c r="L704" s="275"/>
      <c r="M704" s="275"/>
      <c r="N704" s="275"/>
    </row>
    <row r="705">
      <c r="B705" s="275"/>
      <c r="C705" s="275"/>
      <c r="D705" s="275"/>
      <c r="E705" s="275"/>
      <c r="F705" s="275"/>
      <c r="G705" s="275"/>
      <c r="H705" s="275"/>
      <c r="I705" s="275"/>
      <c r="J705" s="275"/>
      <c r="K705" s="275"/>
      <c r="L705" s="275"/>
      <c r="M705" s="275"/>
      <c r="N705" s="275"/>
    </row>
    <row r="706">
      <c r="B706" s="275"/>
      <c r="C706" s="275"/>
      <c r="D706" s="275"/>
      <c r="E706" s="275"/>
      <c r="F706" s="275"/>
      <c r="G706" s="275"/>
      <c r="H706" s="275"/>
      <c r="I706" s="275"/>
      <c r="J706" s="275"/>
      <c r="K706" s="275"/>
      <c r="L706" s="275"/>
      <c r="M706" s="275"/>
      <c r="N706" s="275"/>
    </row>
    <row r="707">
      <c r="B707" s="275"/>
      <c r="C707" s="275"/>
      <c r="D707" s="275"/>
      <c r="E707" s="275"/>
      <c r="F707" s="275"/>
      <c r="G707" s="275"/>
      <c r="H707" s="275"/>
      <c r="I707" s="275"/>
      <c r="J707" s="275"/>
      <c r="K707" s="275"/>
      <c r="L707" s="275"/>
      <c r="M707" s="275"/>
      <c r="N707" s="275"/>
    </row>
    <row r="708">
      <c r="B708" s="275"/>
      <c r="C708" s="275"/>
      <c r="D708" s="275"/>
      <c r="E708" s="275"/>
      <c r="F708" s="275"/>
      <c r="G708" s="275"/>
      <c r="H708" s="275"/>
      <c r="I708" s="275"/>
      <c r="J708" s="275"/>
      <c r="K708" s="275"/>
      <c r="L708" s="275"/>
      <c r="M708" s="275"/>
      <c r="N708" s="275"/>
    </row>
    <row r="709">
      <c r="B709" s="275"/>
      <c r="C709" s="275"/>
      <c r="D709" s="275"/>
      <c r="E709" s="275"/>
      <c r="F709" s="275"/>
      <c r="G709" s="275"/>
      <c r="H709" s="275"/>
      <c r="I709" s="275"/>
      <c r="J709" s="275"/>
      <c r="K709" s="275"/>
      <c r="L709" s="275"/>
      <c r="M709" s="275"/>
      <c r="N709" s="275"/>
    </row>
    <row r="710">
      <c r="B710" s="275"/>
      <c r="C710" s="275"/>
      <c r="D710" s="275"/>
      <c r="E710" s="275"/>
      <c r="F710" s="275"/>
      <c r="G710" s="275"/>
      <c r="H710" s="275"/>
      <c r="I710" s="275"/>
      <c r="J710" s="275"/>
      <c r="K710" s="275"/>
      <c r="L710" s="275"/>
      <c r="M710" s="275"/>
      <c r="N710" s="275"/>
    </row>
    <row r="711">
      <c r="B711" s="275"/>
      <c r="C711" s="275"/>
      <c r="D711" s="275"/>
      <c r="E711" s="275"/>
      <c r="F711" s="275"/>
      <c r="G711" s="275"/>
      <c r="H711" s="275"/>
      <c r="I711" s="275"/>
      <c r="J711" s="275"/>
      <c r="K711" s="275"/>
      <c r="L711" s="275"/>
      <c r="M711" s="275"/>
      <c r="N711" s="275"/>
    </row>
    <row r="712">
      <c r="B712" s="275"/>
      <c r="C712" s="275"/>
      <c r="D712" s="275"/>
      <c r="E712" s="275"/>
      <c r="F712" s="275"/>
      <c r="G712" s="275"/>
      <c r="H712" s="275"/>
      <c r="I712" s="275"/>
      <c r="J712" s="275"/>
      <c r="K712" s="275"/>
      <c r="L712" s="275"/>
      <c r="M712" s="275"/>
      <c r="N712" s="275"/>
    </row>
    <row r="713">
      <c r="B713" s="275"/>
      <c r="C713" s="275"/>
      <c r="D713" s="275"/>
      <c r="E713" s="275"/>
      <c r="F713" s="275"/>
      <c r="G713" s="275"/>
      <c r="H713" s="275"/>
      <c r="I713" s="275"/>
      <c r="J713" s="275"/>
      <c r="K713" s="275"/>
      <c r="L713" s="275"/>
      <c r="M713" s="275"/>
      <c r="N713" s="275"/>
    </row>
    <row r="714">
      <c r="B714" s="275"/>
      <c r="C714" s="275"/>
      <c r="D714" s="275"/>
      <c r="E714" s="275"/>
      <c r="F714" s="275"/>
      <c r="G714" s="275"/>
      <c r="H714" s="275"/>
      <c r="I714" s="275"/>
      <c r="J714" s="275"/>
      <c r="K714" s="275"/>
      <c r="L714" s="275"/>
      <c r="M714" s="275"/>
      <c r="N714" s="275"/>
    </row>
    <row r="715">
      <c r="B715" s="275"/>
      <c r="C715" s="275"/>
      <c r="D715" s="275"/>
      <c r="E715" s="275"/>
      <c r="F715" s="275"/>
      <c r="G715" s="275"/>
      <c r="H715" s="275"/>
      <c r="I715" s="275"/>
      <c r="J715" s="275"/>
      <c r="K715" s="275"/>
      <c r="L715" s="275"/>
      <c r="M715" s="275"/>
      <c r="N715" s="275"/>
    </row>
    <row r="716">
      <c r="B716" s="275"/>
      <c r="C716" s="275"/>
      <c r="D716" s="275"/>
      <c r="E716" s="275"/>
      <c r="F716" s="275"/>
      <c r="G716" s="275"/>
      <c r="H716" s="275"/>
      <c r="I716" s="275"/>
      <c r="J716" s="275"/>
      <c r="K716" s="275"/>
      <c r="L716" s="275"/>
      <c r="M716" s="275"/>
      <c r="N716" s="275"/>
    </row>
    <row r="717">
      <c r="B717" s="275"/>
      <c r="C717" s="275"/>
      <c r="D717" s="275"/>
      <c r="E717" s="275"/>
      <c r="F717" s="275"/>
      <c r="G717" s="275"/>
      <c r="H717" s="275"/>
      <c r="I717" s="275"/>
      <c r="J717" s="275"/>
      <c r="K717" s="275"/>
      <c r="L717" s="275"/>
      <c r="M717" s="275"/>
      <c r="N717" s="275"/>
    </row>
    <row r="718">
      <c r="B718" s="275"/>
      <c r="C718" s="275"/>
      <c r="D718" s="275"/>
      <c r="E718" s="275"/>
      <c r="F718" s="275"/>
      <c r="G718" s="275"/>
      <c r="H718" s="275"/>
      <c r="I718" s="275"/>
      <c r="J718" s="275"/>
      <c r="K718" s="275"/>
      <c r="L718" s="275"/>
      <c r="M718" s="275"/>
      <c r="N718" s="275"/>
    </row>
    <row r="719">
      <c r="B719" s="275"/>
      <c r="C719" s="275"/>
      <c r="D719" s="275"/>
      <c r="E719" s="275"/>
      <c r="F719" s="275"/>
      <c r="G719" s="275"/>
      <c r="H719" s="275"/>
      <c r="I719" s="275"/>
      <c r="J719" s="275"/>
      <c r="K719" s="275"/>
      <c r="L719" s="275"/>
      <c r="M719" s="275"/>
      <c r="N719" s="275"/>
    </row>
    <row r="720">
      <c r="B720" s="275"/>
      <c r="C720" s="275"/>
      <c r="D720" s="275"/>
      <c r="E720" s="275"/>
      <c r="F720" s="275"/>
      <c r="G720" s="275"/>
      <c r="H720" s="275"/>
      <c r="I720" s="275"/>
      <c r="J720" s="275"/>
      <c r="K720" s="275"/>
      <c r="L720" s="275"/>
      <c r="M720" s="275"/>
      <c r="N720" s="275"/>
    </row>
    <row r="721">
      <c r="B721" s="275"/>
      <c r="C721" s="275"/>
      <c r="D721" s="275"/>
      <c r="E721" s="275"/>
      <c r="F721" s="275"/>
      <c r="G721" s="275"/>
      <c r="H721" s="275"/>
      <c r="I721" s="275"/>
      <c r="J721" s="275"/>
      <c r="K721" s="275"/>
      <c r="L721" s="275"/>
      <c r="M721" s="275"/>
      <c r="N721" s="275"/>
    </row>
    <row r="722">
      <c r="B722" s="275"/>
      <c r="C722" s="275"/>
      <c r="D722" s="275"/>
      <c r="E722" s="275"/>
      <c r="F722" s="275"/>
      <c r="G722" s="275"/>
      <c r="H722" s="275"/>
      <c r="I722" s="275"/>
      <c r="J722" s="275"/>
      <c r="K722" s="275"/>
      <c r="L722" s="275"/>
      <c r="M722" s="275"/>
      <c r="N722" s="275"/>
    </row>
    <row r="723">
      <c r="B723" s="275"/>
      <c r="C723" s="275"/>
      <c r="D723" s="275"/>
      <c r="E723" s="275"/>
      <c r="F723" s="275"/>
      <c r="G723" s="275"/>
      <c r="H723" s="275"/>
      <c r="I723" s="275"/>
      <c r="J723" s="275"/>
      <c r="K723" s="275"/>
      <c r="L723" s="275"/>
      <c r="M723" s="275"/>
      <c r="N723" s="275"/>
    </row>
    <row r="724">
      <c r="B724" s="275"/>
      <c r="C724" s="275"/>
      <c r="D724" s="275"/>
      <c r="E724" s="275"/>
      <c r="F724" s="275"/>
      <c r="G724" s="275"/>
      <c r="H724" s="275"/>
      <c r="I724" s="275"/>
      <c r="J724" s="275"/>
      <c r="K724" s="275"/>
      <c r="L724" s="275"/>
      <c r="M724" s="275"/>
      <c r="N724" s="275"/>
    </row>
    <row r="725">
      <c r="B725" s="275"/>
      <c r="C725" s="275"/>
      <c r="D725" s="275"/>
      <c r="E725" s="275"/>
      <c r="F725" s="275"/>
      <c r="G725" s="275"/>
      <c r="H725" s="275"/>
      <c r="I725" s="275"/>
      <c r="J725" s="275"/>
      <c r="K725" s="275"/>
      <c r="L725" s="275"/>
      <c r="M725" s="275"/>
      <c r="N725" s="275"/>
    </row>
    <row r="726">
      <c r="B726" s="275"/>
      <c r="C726" s="275"/>
      <c r="D726" s="275"/>
      <c r="E726" s="275"/>
      <c r="F726" s="275"/>
      <c r="G726" s="275"/>
      <c r="H726" s="275"/>
      <c r="I726" s="275"/>
      <c r="J726" s="275"/>
      <c r="K726" s="275"/>
      <c r="L726" s="275"/>
      <c r="M726" s="275"/>
      <c r="N726" s="275"/>
    </row>
    <row r="727">
      <c r="B727" s="275"/>
      <c r="C727" s="275"/>
      <c r="D727" s="275"/>
      <c r="E727" s="275"/>
      <c r="F727" s="275"/>
      <c r="G727" s="275"/>
      <c r="H727" s="275"/>
      <c r="I727" s="275"/>
      <c r="J727" s="275"/>
      <c r="K727" s="275"/>
      <c r="L727" s="275"/>
      <c r="M727" s="275"/>
      <c r="N727" s="275"/>
    </row>
    <row r="728">
      <c r="B728" s="275"/>
      <c r="C728" s="275"/>
      <c r="D728" s="275"/>
      <c r="E728" s="275"/>
      <c r="F728" s="275"/>
      <c r="G728" s="275"/>
      <c r="H728" s="275"/>
      <c r="I728" s="275"/>
      <c r="J728" s="275"/>
      <c r="K728" s="275"/>
      <c r="L728" s="275"/>
      <c r="M728" s="275"/>
      <c r="N728" s="275"/>
    </row>
    <row r="729">
      <c r="B729" s="275"/>
      <c r="C729" s="275"/>
      <c r="D729" s="275"/>
      <c r="E729" s="275"/>
      <c r="F729" s="275"/>
      <c r="G729" s="275"/>
      <c r="H729" s="275"/>
      <c r="I729" s="275"/>
      <c r="J729" s="275"/>
      <c r="K729" s="275"/>
      <c r="L729" s="275"/>
      <c r="M729" s="275"/>
      <c r="N729" s="275"/>
    </row>
    <row r="730">
      <c r="B730" s="275"/>
      <c r="C730" s="275"/>
      <c r="D730" s="275"/>
      <c r="E730" s="275"/>
      <c r="F730" s="275"/>
      <c r="G730" s="275"/>
      <c r="H730" s="275"/>
      <c r="I730" s="275"/>
      <c r="J730" s="275"/>
      <c r="K730" s="275"/>
      <c r="L730" s="275"/>
      <c r="M730" s="275"/>
      <c r="N730" s="275"/>
    </row>
    <row r="731">
      <c r="B731" s="275"/>
      <c r="C731" s="275"/>
      <c r="D731" s="275"/>
      <c r="E731" s="275"/>
      <c r="F731" s="275"/>
      <c r="G731" s="275"/>
      <c r="H731" s="275"/>
      <c r="I731" s="275"/>
      <c r="J731" s="275"/>
      <c r="K731" s="275"/>
      <c r="L731" s="275"/>
      <c r="M731" s="275"/>
      <c r="N731" s="275"/>
    </row>
    <row r="732">
      <c r="B732" s="275"/>
      <c r="C732" s="275"/>
      <c r="D732" s="275"/>
      <c r="E732" s="275"/>
      <c r="F732" s="275"/>
      <c r="G732" s="275"/>
      <c r="H732" s="275"/>
      <c r="I732" s="275"/>
      <c r="J732" s="275"/>
      <c r="K732" s="275"/>
      <c r="L732" s="275"/>
      <c r="M732" s="275"/>
      <c r="N732" s="275"/>
    </row>
    <row r="733">
      <c r="B733" s="275"/>
      <c r="C733" s="275"/>
      <c r="D733" s="275"/>
      <c r="E733" s="275"/>
      <c r="F733" s="275"/>
      <c r="G733" s="275"/>
      <c r="H733" s="275"/>
      <c r="I733" s="275"/>
      <c r="J733" s="275"/>
      <c r="K733" s="275"/>
      <c r="L733" s="275"/>
      <c r="M733" s="275"/>
      <c r="N733" s="275"/>
    </row>
    <row r="734">
      <c r="B734" s="275"/>
      <c r="C734" s="275"/>
      <c r="D734" s="275"/>
      <c r="E734" s="275"/>
      <c r="F734" s="275"/>
      <c r="G734" s="275"/>
      <c r="H734" s="275"/>
      <c r="I734" s="275"/>
      <c r="J734" s="275"/>
      <c r="K734" s="275"/>
      <c r="L734" s="275"/>
      <c r="M734" s="275"/>
      <c r="N734" s="275"/>
    </row>
    <row r="735">
      <c r="B735" s="275"/>
      <c r="C735" s="275"/>
      <c r="D735" s="275"/>
      <c r="E735" s="275"/>
      <c r="F735" s="275"/>
      <c r="G735" s="275"/>
      <c r="H735" s="275"/>
      <c r="I735" s="275"/>
      <c r="J735" s="275"/>
      <c r="K735" s="275"/>
      <c r="L735" s="275"/>
      <c r="M735" s="275"/>
      <c r="N735" s="275"/>
    </row>
    <row r="736">
      <c r="B736" s="275"/>
      <c r="C736" s="275"/>
      <c r="D736" s="275"/>
      <c r="E736" s="275"/>
      <c r="F736" s="275"/>
      <c r="G736" s="275"/>
      <c r="H736" s="275"/>
      <c r="I736" s="275"/>
      <c r="J736" s="275"/>
      <c r="K736" s="275"/>
      <c r="L736" s="275"/>
      <c r="M736" s="275"/>
      <c r="N736" s="275"/>
    </row>
    <row r="737">
      <c r="B737" s="275"/>
      <c r="C737" s="275"/>
      <c r="D737" s="275"/>
      <c r="E737" s="275"/>
      <c r="F737" s="275"/>
      <c r="G737" s="275"/>
      <c r="H737" s="275"/>
      <c r="I737" s="275"/>
      <c r="J737" s="275"/>
      <c r="K737" s="275"/>
      <c r="L737" s="275"/>
      <c r="M737" s="275"/>
      <c r="N737" s="275"/>
    </row>
    <row r="738">
      <c r="B738" s="275"/>
      <c r="C738" s="275"/>
      <c r="D738" s="275"/>
      <c r="E738" s="275"/>
      <c r="F738" s="275"/>
      <c r="G738" s="275"/>
      <c r="H738" s="275"/>
      <c r="I738" s="275"/>
      <c r="J738" s="275"/>
      <c r="K738" s="275"/>
      <c r="L738" s="275"/>
      <c r="M738" s="275"/>
      <c r="N738" s="275"/>
    </row>
    <row r="739">
      <c r="B739" s="275"/>
      <c r="C739" s="275"/>
      <c r="D739" s="275"/>
      <c r="E739" s="275"/>
      <c r="F739" s="275"/>
      <c r="G739" s="275"/>
      <c r="H739" s="275"/>
      <c r="I739" s="275"/>
      <c r="J739" s="275"/>
      <c r="K739" s="275"/>
      <c r="L739" s="275"/>
      <c r="M739" s="275"/>
      <c r="N739" s="275"/>
    </row>
    <row r="740">
      <c r="B740" s="275"/>
      <c r="C740" s="275"/>
      <c r="D740" s="275"/>
      <c r="E740" s="275"/>
      <c r="F740" s="275"/>
      <c r="G740" s="275"/>
      <c r="H740" s="275"/>
      <c r="I740" s="275"/>
      <c r="J740" s="275"/>
      <c r="K740" s="275"/>
      <c r="L740" s="275"/>
      <c r="M740" s="275"/>
      <c r="N740" s="275"/>
    </row>
    <row r="741">
      <c r="B741" s="275"/>
      <c r="C741" s="275"/>
      <c r="D741" s="275"/>
      <c r="E741" s="275"/>
      <c r="F741" s="275"/>
      <c r="G741" s="275"/>
      <c r="H741" s="275"/>
      <c r="I741" s="275"/>
      <c r="J741" s="275"/>
      <c r="K741" s="275"/>
      <c r="L741" s="275"/>
      <c r="M741" s="275"/>
      <c r="N741" s="275"/>
    </row>
    <row r="742">
      <c r="B742" s="275"/>
      <c r="C742" s="275"/>
      <c r="D742" s="275"/>
      <c r="E742" s="275"/>
      <c r="F742" s="275"/>
      <c r="G742" s="275"/>
      <c r="H742" s="275"/>
      <c r="I742" s="275"/>
      <c r="J742" s="275"/>
      <c r="K742" s="275"/>
      <c r="L742" s="275"/>
      <c r="M742" s="275"/>
      <c r="N742" s="275"/>
    </row>
    <row r="743">
      <c r="B743" s="275"/>
      <c r="C743" s="275"/>
      <c r="D743" s="275"/>
      <c r="E743" s="275"/>
      <c r="F743" s="275"/>
      <c r="G743" s="275"/>
      <c r="H743" s="275"/>
      <c r="I743" s="275"/>
      <c r="J743" s="275"/>
      <c r="K743" s="275"/>
      <c r="L743" s="275"/>
      <c r="M743" s="275"/>
      <c r="N743" s="275"/>
    </row>
    <row r="744">
      <c r="B744" s="275"/>
      <c r="C744" s="275"/>
      <c r="D744" s="275"/>
      <c r="E744" s="275"/>
      <c r="F744" s="275"/>
      <c r="G744" s="275"/>
      <c r="H744" s="275"/>
      <c r="I744" s="275"/>
      <c r="J744" s="275"/>
      <c r="K744" s="275"/>
      <c r="L744" s="275"/>
      <c r="M744" s="275"/>
      <c r="N744" s="275"/>
    </row>
    <row r="745">
      <c r="B745" s="275"/>
      <c r="C745" s="275"/>
      <c r="D745" s="275"/>
      <c r="E745" s="275"/>
      <c r="F745" s="275"/>
      <c r="G745" s="275"/>
      <c r="H745" s="275"/>
      <c r="I745" s="275"/>
      <c r="J745" s="275"/>
      <c r="K745" s="275"/>
      <c r="L745" s="275"/>
      <c r="M745" s="275"/>
      <c r="N745" s="275"/>
    </row>
    <row r="746">
      <c r="B746" s="275"/>
      <c r="C746" s="275"/>
      <c r="D746" s="275"/>
      <c r="E746" s="275"/>
      <c r="F746" s="275"/>
      <c r="G746" s="275"/>
      <c r="H746" s="275"/>
      <c r="I746" s="275"/>
      <c r="J746" s="275"/>
      <c r="K746" s="275"/>
      <c r="L746" s="275"/>
      <c r="M746" s="275"/>
      <c r="N746" s="275"/>
    </row>
    <row r="747">
      <c r="B747" s="275"/>
      <c r="C747" s="275"/>
      <c r="D747" s="275"/>
      <c r="E747" s="275"/>
      <c r="F747" s="275"/>
      <c r="G747" s="275"/>
      <c r="H747" s="275"/>
      <c r="I747" s="275"/>
      <c r="J747" s="275"/>
      <c r="K747" s="275"/>
      <c r="L747" s="275"/>
      <c r="M747" s="275"/>
      <c r="N747" s="275"/>
    </row>
    <row r="748">
      <c r="B748" s="275"/>
      <c r="C748" s="275"/>
      <c r="D748" s="275"/>
      <c r="E748" s="275"/>
      <c r="F748" s="275"/>
      <c r="G748" s="275"/>
      <c r="H748" s="275"/>
      <c r="I748" s="275"/>
      <c r="J748" s="275"/>
      <c r="K748" s="275"/>
      <c r="L748" s="275"/>
      <c r="M748" s="275"/>
      <c r="N748" s="275"/>
    </row>
    <row r="749">
      <c r="B749" s="275"/>
      <c r="C749" s="275"/>
      <c r="D749" s="275"/>
      <c r="E749" s="275"/>
      <c r="F749" s="275"/>
      <c r="G749" s="275"/>
      <c r="H749" s="275"/>
      <c r="I749" s="275"/>
      <c r="J749" s="275"/>
      <c r="K749" s="275"/>
      <c r="L749" s="275"/>
      <c r="M749" s="275"/>
      <c r="N749" s="275"/>
    </row>
    <row r="750">
      <c r="B750" s="275"/>
      <c r="C750" s="275"/>
      <c r="D750" s="275"/>
      <c r="E750" s="275"/>
      <c r="F750" s="275"/>
      <c r="G750" s="275"/>
      <c r="H750" s="275"/>
      <c r="I750" s="275"/>
      <c r="J750" s="275"/>
      <c r="K750" s="275"/>
      <c r="L750" s="275"/>
      <c r="M750" s="275"/>
      <c r="N750" s="275"/>
    </row>
    <row r="751">
      <c r="B751" s="275"/>
      <c r="C751" s="275"/>
      <c r="D751" s="275"/>
      <c r="E751" s="275"/>
      <c r="F751" s="275"/>
      <c r="G751" s="275"/>
      <c r="H751" s="275"/>
      <c r="I751" s="275"/>
      <c r="J751" s="275"/>
      <c r="K751" s="275"/>
      <c r="L751" s="275"/>
      <c r="M751" s="275"/>
      <c r="N751" s="275"/>
    </row>
    <row r="752">
      <c r="B752" s="275"/>
      <c r="C752" s="275"/>
      <c r="D752" s="275"/>
      <c r="E752" s="275"/>
      <c r="F752" s="275"/>
      <c r="G752" s="275"/>
      <c r="H752" s="275"/>
      <c r="I752" s="275"/>
      <c r="J752" s="275"/>
      <c r="K752" s="275"/>
      <c r="L752" s="275"/>
      <c r="M752" s="275"/>
      <c r="N752" s="275"/>
    </row>
    <row r="753">
      <c r="B753" s="275"/>
      <c r="C753" s="275"/>
      <c r="D753" s="275"/>
      <c r="E753" s="275"/>
      <c r="F753" s="275"/>
      <c r="G753" s="275"/>
      <c r="H753" s="275"/>
      <c r="I753" s="275"/>
      <c r="J753" s="275"/>
      <c r="K753" s="275"/>
      <c r="L753" s="275"/>
      <c r="M753" s="275"/>
      <c r="N753" s="275"/>
    </row>
    <row r="754">
      <c r="B754" s="275"/>
      <c r="C754" s="275"/>
      <c r="D754" s="275"/>
      <c r="E754" s="275"/>
      <c r="F754" s="275"/>
      <c r="G754" s="275"/>
      <c r="H754" s="275"/>
      <c r="I754" s="275"/>
      <c r="J754" s="275"/>
      <c r="K754" s="275"/>
      <c r="L754" s="275"/>
      <c r="M754" s="275"/>
      <c r="N754" s="275"/>
    </row>
    <row r="755">
      <c r="B755" s="275"/>
      <c r="C755" s="275"/>
      <c r="D755" s="275"/>
      <c r="E755" s="275"/>
      <c r="F755" s="275"/>
      <c r="G755" s="275"/>
      <c r="H755" s="275"/>
      <c r="I755" s="275"/>
      <c r="J755" s="275"/>
      <c r="K755" s="275"/>
      <c r="L755" s="275"/>
      <c r="M755" s="275"/>
      <c r="N755" s="275"/>
    </row>
    <row r="756">
      <c r="B756" s="275"/>
      <c r="C756" s="275"/>
      <c r="D756" s="275"/>
      <c r="E756" s="275"/>
      <c r="F756" s="275"/>
      <c r="G756" s="275"/>
      <c r="H756" s="275"/>
      <c r="I756" s="275"/>
      <c r="J756" s="275"/>
      <c r="K756" s="275"/>
      <c r="L756" s="275"/>
      <c r="M756" s="275"/>
      <c r="N756" s="275"/>
    </row>
    <row r="757">
      <c r="B757" s="275"/>
      <c r="C757" s="275"/>
      <c r="D757" s="275"/>
      <c r="E757" s="275"/>
      <c r="F757" s="275"/>
      <c r="G757" s="275"/>
      <c r="H757" s="275"/>
      <c r="I757" s="275"/>
      <c r="J757" s="275"/>
      <c r="K757" s="275"/>
      <c r="L757" s="275"/>
      <c r="M757" s="275"/>
      <c r="N757" s="275"/>
    </row>
    <row r="758">
      <c r="B758" s="275"/>
      <c r="C758" s="275"/>
      <c r="D758" s="275"/>
      <c r="E758" s="275"/>
      <c r="F758" s="275"/>
      <c r="G758" s="275"/>
      <c r="H758" s="275"/>
      <c r="I758" s="275"/>
      <c r="J758" s="275"/>
      <c r="K758" s="275"/>
      <c r="L758" s="275"/>
      <c r="M758" s="275"/>
      <c r="N758" s="275"/>
    </row>
    <row r="759">
      <c r="B759" s="275"/>
      <c r="C759" s="275"/>
      <c r="D759" s="275"/>
      <c r="E759" s="275"/>
      <c r="F759" s="275"/>
      <c r="G759" s="275"/>
      <c r="H759" s="275"/>
      <c r="I759" s="275"/>
      <c r="J759" s="275"/>
      <c r="K759" s="275"/>
      <c r="L759" s="275"/>
      <c r="M759" s="275"/>
      <c r="N759" s="275"/>
    </row>
    <row r="760">
      <c r="B760" s="275"/>
      <c r="C760" s="275"/>
      <c r="D760" s="275"/>
      <c r="E760" s="275"/>
      <c r="F760" s="275"/>
      <c r="G760" s="275"/>
      <c r="H760" s="275"/>
      <c r="I760" s="275"/>
      <c r="J760" s="275"/>
      <c r="K760" s="275"/>
      <c r="L760" s="275"/>
      <c r="M760" s="275"/>
      <c r="N760" s="275"/>
    </row>
    <row r="761">
      <c r="B761" s="275"/>
      <c r="C761" s="275"/>
      <c r="D761" s="275"/>
      <c r="E761" s="275"/>
      <c r="F761" s="275"/>
      <c r="G761" s="275"/>
      <c r="H761" s="275"/>
      <c r="I761" s="275"/>
      <c r="J761" s="275"/>
      <c r="K761" s="275"/>
      <c r="L761" s="275"/>
      <c r="M761" s="275"/>
      <c r="N761" s="275"/>
    </row>
    <row r="762">
      <c r="B762" s="275"/>
      <c r="C762" s="275"/>
      <c r="D762" s="275"/>
      <c r="E762" s="275"/>
      <c r="F762" s="275"/>
      <c r="G762" s="275"/>
      <c r="H762" s="275"/>
      <c r="I762" s="275"/>
      <c r="J762" s="275"/>
      <c r="K762" s="275"/>
      <c r="L762" s="275"/>
      <c r="M762" s="275"/>
      <c r="N762" s="275"/>
    </row>
    <row r="763">
      <c r="B763" s="275"/>
      <c r="C763" s="275"/>
      <c r="D763" s="275"/>
      <c r="E763" s="275"/>
      <c r="F763" s="275"/>
      <c r="G763" s="275"/>
      <c r="H763" s="275"/>
      <c r="I763" s="275"/>
      <c r="J763" s="275"/>
      <c r="K763" s="275"/>
      <c r="L763" s="275"/>
      <c r="M763" s="275"/>
      <c r="N763" s="275"/>
    </row>
    <row r="764">
      <c r="B764" s="275"/>
      <c r="C764" s="275"/>
      <c r="D764" s="275"/>
      <c r="E764" s="275"/>
      <c r="F764" s="275"/>
      <c r="G764" s="275"/>
      <c r="H764" s="275"/>
      <c r="I764" s="275"/>
      <c r="J764" s="275"/>
      <c r="K764" s="275"/>
      <c r="L764" s="275"/>
      <c r="M764" s="275"/>
      <c r="N764" s="275"/>
    </row>
    <row r="765">
      <c r="B765" s="275"/>
      <c r="C765" s="275"/>
      <c r="D765" s="275"/>
      <c r="E765" s="275"/>
      <c r="F765" s="275"/>
      <c r="G765" s="275"/>
      <c r="H765" s="275"/>
      <c r="I765" s="275"/>
      <c r="J765" s="275"/>
      <c r="K765" s="275"/>
      <c r="L765" s="275"/>
      <c r="M765" s="275"/>
      <c r="N765" s="275"/>
    </row>
    <row r="766">
      <c r="B766" s="275"/>
      <c r="C766" s="275"/>
      <c r="D766" s="275"/>
      <c r="E766" s="275"/>
      <c r="F766" s="275"/>
      <c r="G766" s="275"/>
      <c r="H766" s="275"/>
      <c r="I766" s="275"/>
      <c r="J766" s="275"/>
      <c r="K766" s="275"/>
      <c r="L766" s="275"/>
      <c r="M766" s="275"/>
      <c r="N766" s="275"/>
    </row>
    <row r="767">
      <c r="B767" s="275"/>
      <c r="C767" s="275"/>
      <c r="D767" s="275"/>
      <c r="E767" s="275"/>
      <c r="F767" s="275"/>
      <c r="G767" s="275"/>
      <c r="H767" s="275"/>
      <c r="I767" s="275"/>
      <c r="J767" s="275"/>
      <c r="K767" s="275"/>
      <c r="L767" s="275"/>
      <c r="M767" s="275"/>
      <c r="N767" s="275"/>
    </row>
    <row r="768">
      <c r="B768" s="275"/>
      <c r="C768" s="275"/>
      <c r="D768" s="275"/>
      <c r="E768" s="275"/>
      <c r="F768" s="275"/>
      <c r="G768" s="275"/>
      <c r="H768" s="275"/>
      <c r="I768" s="275"/>
      <c r="J768" s="275"/>
      <c r="K768" s="275"/>
      <c r="L768" s="275"/>
      <c r="M768" s="275"/>
      <c r="N768" s="275"/>
    </row>
    <row r="769">
      <c r="B769" s="275"/>
      <c r="C769" s="275"/>
      <c r="D769" s="275"/>
      <c r="E769" s="275"/>
      <c r="F769" s="275"/>
      <c r="G769" s="275"/>
      <c r="H769" s="275"/>
      <c r="I769" s="275"/>
      <c r="J769" s="275"/>
      <c r="K769" s="275"/>
      <c r="L769" s="275"/>
      <c r="M769" s="275"/>
      <c r="N769" s="275"/>
    </row>
    <row r="770">
      <c r="B770" s="275"/>
      <c r="C770" s="275"/>
      <c r="D770" s="275"/>
      <c r="E770" s="275"/>
      <c r="F770" s="275"/>
      <c r="G770" s="275"/>
      <c r="H770" s="275"/>
      <c r="I770" s="275"/>
      <c r="J770" s="275"/>
      <c r="K770" s="275"/>
      <c r="L770" s="275"/>
      <c r="M770" s="275"/>
      <c r="N770" s="275"/>
    </row>
    <row r="771">
      <c r="B771" s="275"/>
      <c r="C771" s="275"/>
      <c r="D771" s="275"/>
      <c r="E771" s="275"/>
      <c r="F771" s="275"/>
      <c r="G771" s="275"/>
      <c r="H771" s="275"/>
      <c r="I771" s="275"/>
      <c r="J771" s="275"/>
      <c r="K771" s="275"/>
      <c r="L771" s="275"/>
      <c r="M771" s="275"/>
      <c r="N771" s="275"/>
    </row>
    <row r="772">
      <c r="B772" s="275"/>
      <c r="C772" s="275"/>
      <c r="D772" s="275"/>
      <c r="E772" s="275"/>
      <c r="F772" s="275"/>
      <c r="G772" s="275"/>
      <c r="H772" s="275"/>
      <c r="I772" s="275"/>
      <c r="J772" s="275"/>
      <c r="K772" s="275"/>
      <c r="L772" s="275"/>
      <c r="M772" s="275"/>
      <c r="N772" s="275"/>
    </row>
    <row r="773">
      <c r="B773" s="275"/>
      <c r="C773" s="275"/>
      <c r="D773" s="275"/>
      <c r="E773" s="275"/>
      <c r="F773" s="275"/>
      <c r="G773" s="275"/>
      <c r="H773" s="275"/>
      <c r="I773" s="275"/>
      <c r="J773" s="275"/>
      <c r="K773" s="275"/>
      <c r="L773" s="275"/>
      <c r="M773" s="275"/>
      <c r="N773" s="275"/>
    </row>
    <row r="774">
      <c r="B774" s="275"/>
      <c r="C774" s="275"/>
      <c r="D774" s="275"/>
      <c r="E774" s="275"/>
      <c r="F774" s="275"/>
      <c r="G774" s="275"/>
      <c r="H774" s="275"/>
      <c r="I774" s="275"/>
      <c r="J774" s="275"/>
      <c r="K774" s="275"/>
      <c r="L774" s="275"/>
      <c r="M774" s="275"/>
      <c r="N774" s="275"/>
    </row>
    <row r="775">
      <c r="B775" s="275"/>
      <c r="C775" s="275"/>
      <c r="D775" s="275"/>
      <c r="E775" s="275"/>
      <c r="F775" s="275"/>
      <c r="G775" s="275"/>
      <c r="H775" s="275"/>
      <c r="I775" s="275"/>
      <c r="J775" s="275"/>
      <c r="K775" s="275"/>
      <c r="L775" s="275"/>
      <c r="M775" s="275"/>
      <c r="N775" s="275"/>
    </row>
    <row r="776">
      <c r="B776" s="275"/>
      <c r="C776" s="275"/>
      <c r="D776" s="275"/>
      <c r="E776" s="275"/>
      <c r="F776" s="275"/>
      <c r="G776" s="275"/>
      <c r="H776" s="275"/>
      <c r="I776" s="275"/>
      <c r="J776" s="275"/>
      <c r="K776" s="275"/>
      <c r="L776" s="275"/>
      <c r="M776" s="275"/>
      <c r="N776" s="275"/>
    </row>
    <row r="777">
      <c r="B777" s="275"/>
      <c r="C777" s="275"/>
      <c r="D777" s="275"/>
      <c r="E777" s="275"/>
      <c r="F777" s="275"/>
      <c r="G777" s="275"/>
      <c r="H777" s="275"/>
      <c r="I777" s="275"/>
      <c r="J777" s="275"/>
      <c r="K777" s="275"/>
      <c r="L777" s="275"/>
      <c r="M777" s="275"/>
      <c r="N777" s="275"/>
    </row>
    <row r="778">
      <c r="B778" s="275"/>
      <c r="C778" s="275"/>
      <c r="D778" s="275"/>
      <c r="E778" s="275"/>
      <c r="F778" s="275"/>
      <c r="G778" s="275"/>
      <c r="H778" s="275"/>
      <c r="I778" s="275"/>
      <c r="J778" s="275"/>
      <c r="K778" s="275"/>
      <c r="L778" s="275"/>
      <c r="M778" s="275"/>
      <c r="N778" s="275"/>
    </row>
    <row r="779">
      <c r="B779" s="275"/>
      <c r="C779" s="275"/>
      <c r="D779" s="275"/>
      <c r="E779" s="275"/>
      <c r="F779" s="275"/>
      <c r="G779" s="275"/>
      <c r="H779" s="275"/>
      <c r="I779" s="275"/>
      <c r="J779" s="275"/>
      <c r="K779" s="275"/>
      <c r="L779" s="275"/>
      <c r="M779" s="275"/>
      <c r="N779" s="275"/>
    </row>
    <row r="780">
      <c r="B780" s="275"/>
      <c r="C780" s="275"/>
      <c r="D780" s="275"/>
      <c r="E780" s="275"/>
      <c r="F780" s="275"/>
      <c r="G780" s="275"/>
      <c r="H780" s="275"/>
      <c r="I780" s="275"/>
      <c r="J780" s="275"/>
      <c r="K780" s="275"/>
      <c r="L780" s="275"/>
      <c r="M780" s="275"/>
      <c r="N780" s="275"/>
    </row>
    <row r="781">
      <c r="B781" s="275"/>
      <c r="C781" s="275"/>
      <c r="D781" s="275"/>
      <c r="E781" s="275"/>
      <c r="F781" s="275"/>
      <c r="G781" s="275"/>
      <c r="H781" s="275"/>
      <c r="I781" s="275"/>
      <c r="J781" s="275"/>
      <c r="K781" s="275"/>
      <c r="L781" s="275"/>
      <c r="M781" s="275"/>
      <c r="N781" s="275"/>
    </row>
    <row r="782">
      <c r="B782" s="275"/>
      <c r="C782" s="275"/>
      <c r="D782" s="275"/>
      <c r="E782" s="275"/>
      <c r="F782" s="275"/>
      <c r="G782" s="275"/>
      <c r="H782" s="275"/>
      <c r="I782" s="275"/>
      <c r="J782" s="275"/>
      <c r="K782" s="275"/>
      <c r="L782" s="275"/>
      <c r="M782" s="275"/>
      <c r="N782" s="275"/>
    </row>
    <row r="783">
      <c r="B783" s="275"/>
      <c r="C783" s="275"/>
      <c r="D783" s="275"/>
      <c r="E783" s="275"/>
      <c r="F783" s="275"/>
      <c r="G783" s="275"/>
      <c r="H783" s="275"/>
      <c r="I783" s="275"/>
      <c r="J783" s="275"/>
      <c r="K783" s="275"/>
      <c r="L783" s="275"/>
      <c r="M783" s="275"/>
      <c r="N783" s="275"/>
    </row>
    <row r="784">
      <c r="B784" s="275"/>
      <c r="C784" s="275"/>
      <c r="D784" s="275"/>
      <c r="E784" s="275"/>
      <c r="F784" s="275"/>
      <c r="G784" s="275"/>
      <c r="H784" s="275"/>
      <c r="I784" s="275"/>
      <c r="J784" s="275"/>
      <c r="K784" s="275"/>
      <c r="L784" s="275"/>
      <c r="M784" s="275"/>
      <c r="N784" s="275"/>
    </row>
    <row r="785">
      <c r="B785" s="275"/>
      <c r="C785" s="275"/>
      <c r="D785" s="275"/>
      <c r="E785" s="275"/>
      <c r="F785" s="275"/>
      <c r="G785" s="275"/>
      <c r="H785" s="275"/>
      <c r="I785" s="275"/>
      <c r="J785" s="275"/>
      <c r="K785" s="275"/>
      <c r="L785" s="275"/>
      <c r="M785" s="275"/>
      <c r="N785" s="275"/>
    </row>
    <row r="786">
      <c r="B786" s="275"/>
      <c r="C786" s="275"/>
      <c r="D786" s="275"/>
      <c r="E786" s="275"/>
      <c r="F786" s="275"/>
      <c r="G786" s="275"/>
      <c r="H786" s="275"/>
      <c r="I786" s="275"/>
      <c r="J786" s="275"/>
      <c r="K786" s="275"/>
      <c r="L786" s="275"/>
      <c r="M786" s="275"/>
      <c r="N786" s="275"/>
    </row>
    <row r="787">
      <c r="B787" s="275"/>
      <c r="C787" s="275"/>
      <c r="D787" s="275"/>
      <c r="E787" s="275"/>
      <c r="F787" s="275"/>
      <c r="G787" s="275"/>
      <c r="H787" s="275"/>
      <c r="I787" s="275"/>
      <c r="J787" s="275"/>
      <c r="K787" s="275"/>
      <c r="L787" s="275"/>
      <c r="M787" s="275"/>
      <c r="N787" s="275"/>
    </row>
    <row r="788">
      <c r="B788" s="275"/>
      <c r="C788" s="275"/>
      <c r="D788" s="275"/>
      <c r="E788" s="275"/>
      <c r="F788" s="275"/>
      <c r="G788" s="275"/>
      <c r="H788" s="275"/>
      <c r="I788" s="275"/>
      <c r="J788" s="275"/>
      <c r="K788" s="275"/>
      <c r="L788" s="275"/>
      <c r="M788" s="275"/>
      <c r="N788" s="275"/>
    </row>
    <row r="789">
      <c r="B789" s="275"/>
      <c r="C789" s="275"/>
      <c r="D789" s="275"/>
      <c r="E789" s="275"/>
      <c r="F789" s="275"/>
      <c r="G789" s="275"/>
      <c r="H789" s="275"/>
      <c r="I789" s="275"/>
      <c r="J789" s="275"/>
      <c r="K789" s="275"/>
      <c r="L789" s="275"/>
      <c r="M789" s="275"/>
      <c r="N789" s="275"/>
    </row>
    <row r="790">
      <c r="B790" s="275"/>
      <c r="C790" s="275"/>
      <c r="D790" s="275"/>
      <c r="E790" s="275"/>
      <c r="F790" s="275"/>
      <c r="G790" s="275"/>
      <c r="H790" s="275"/>
      <c r="I790" s="275"/>
      <c r="J790" s="275"/>
      <c r="K790" s="275"/>
      <c r="L790" s="275"/>
      <c r="M790" s="275"/>
      <c r="N790" s="275"/>
    </row>
    <row r="791">
      <c r="B791" s="275"/>
      <c r="C791" s="275"/>
      <c r="D791" s="275"/>
      <c r="E791" s="275"/>
      <c r="F791" s="275"/>
      <c r="G791" s="275"/>
      <c r="H791" s="275"/>
      <c r="I791" s="275"/>
      <c r="J791" s="275"/>
      <c r="K791" s="275"/>
      <c r="L791" s="275"/>
      <c r="M791" s="275"/>
      <c r="N791" s="275"/>
    </row>
    <row r="792">
      <c r="B792" s="275"/>
      <c r="C792" s="275"/>
      <c r="D792" s="275"/>
      <c r="E792" s="275"/>
      <c r="F792" s="275"/>
      <c r="G792" s="275"/>
      <c r="H792" s="275"/>
      <c r="I792" s="275"/>
      <c r="J792" s="275"/>
      <c r="K792" s="275"/>
      <c r="L792" s="275"/>
      <c r="M792" s="275"/>
      <c r="N792" s="275"/>
    </row>
    <row r="793">
      <c r="B793" s="275"/>
      <c r="C793" s="275"/>
      <c r="D793" s="275"/>
      <c r="E793" s="275"/>
      <c r="F793" s="275"/>
      <c r="G793" s="275"/>
      <c r="H793" s="275"/>
      <c r="I793" s="275"/>
      <c r="J793" s="275"/>
      <c r="K793" s="275"/>
      <c r="L793" s="275"/>
      <c r="M793" s="275"/>
      <c r="N793" s="275"/>
    </row>
    <row r="794">
      <c r="B794" s="275"/>
      <c r="C794" s="275"/>
      <c r="D794" s="275"/>
      <c r="E794" s="275"/>
      <c r="F794" s="275"/>
      <c r="G794" s="275"/>
      <c r="H794" s="275"/>
      <c r="I794" s="275"/>
      <c r="J794" s="275"/>
      <c r="K794" s="275"/>
      <c r="L794" s="275"/>
      <c r="M794" s="275"/>
      <c r="N794" s="275"/>
    </row>
    <row r="795">
      <c r="B795" s="275"/>
      <c r="C795" s="275"/>
      <c r="D795" s="275"/>
      <c r="E795" s="275"/>
      <c r="F795" s="275"/>
      <c r="G795" s="275"/>
      <c r="H795" s="275"/>
      <c r="I795" s="275"/>
      <c r="J795" s="275"/>
      <c r="K795" s="275"/>
      <c r="L795" s="275"/>
      <c r="M795" s="275"/>
      <c r="N795" s="275"/>
    </row>
    <row r="796">
      <c r="B796" s="275"/>
      <c r="C796" s="275"/>
      <c r="D796" s="275"/>
      <c r="E796" s="275"/>
      <c r="F796" s="275"/>
      <c r="G796" s="275"/>
      <c r="H796" s="275"/>
      <c r="I796" s="275"/>
      <c r="J796" s="275"/>
      <c r="K796" s="275"/>
      <c r="L796" s="275"/>
      <c r="M796" s="275"/>
      <c r="N796" s="275"/>
    </row>
    <row r="797">
      <c r="B797" s="275"/>
      <c r="C797" s="275"/>
      <c r="D797" s="275"/>
      <c r="E797" s="275"/>
      <c r="F797" s="275"/>
      <c r="G797" s="275"/>
      <c r="H797" s="275"/>
      <c r="I797" s="275"/>
      <c r="J797" s="275"/>
      <c r="K797" s="275"/>
      <c r="L797" s="275"/>
      <c r="M797" s="275"/>
      <c r="N797" s="275"/>
    </row>
    <row r="798">
      <c r="B798" s="275"/>
      <c r="C798" s="275"/>
      <c r="D798" s="275"/>
      <c r="E798" s="275"/>
      <c r="F798" s="275"/>
      <c r="G798" s="275"/>
      <c r="H798" s="275"/>
      <c r="I798" s="275"/>
      <c r="J798" s="275"/>
      <c r="K798" s="275"/>
      <c r="L798" s="275"/>
      <c r="M798" s="275"/>
      <c r="N798" s="275"/>
    </row>
    <row r="799">
      <c r="B799" s="275"/>
      <c r="C799" s="275"/>
      <c r="D799" s="275"/>
      <c r="E799" s="275"/>
      <c r="F799" s="275"/>
      <c r="G799" s="275"/>
      <c r="H799" s="275"/>
      <c r="I799" s="275"/>
      <c r="J799" s="275"/>
      <c r="K799" s="275"/>
      <c r="L799" s="275"/>
      <c r="M799" s="275"/>
      <c r="N799" s="275"/>
    </row>
    <row r="800">
      <c r="B800" s="275"/>
      <c r="C800" s="275"/>
      <c r="D800" s="275"/>
      <c r="E800" s="275"/>
      <c r="F800" s="275"/>
      <c r="G800" s="275"/>
      <c r="H800" s="275"/>
      <c r="I800" s="275"/>
      <c r="J800" s="275"/>
      <c r="K800" s="275"/>
      <c r="L800" s="275"/>
      <c r="M800" s="275"/>
      <c r="N800" s="275"/>
    </row>
    <row r="801">
      <c r="B801" s="275"/>
      <c r="C801" s="275"/>
      <c r="D801" s="275"/>
      <c r="E801" s="275"/>
      <c r="F801" s="275"/>
      <c r="G801" s="275"/>
      <c r="H801" s="275"/>
      <c r="I801" s="275"/>
      <c r="J801" s="275"/>
      <c r="K801" s="275"/>
      <c r="L801" s="275"/>
      <c r="M801" s="275"/>
      <c r="N801" s="275"/>
    </row>
    <row r="802">
      <c r="B802" s="275"/>
      <c r="C802" s="275"/>
      <c r="D802" s="275"/>
      <c r="E802" s="275"/>
      <c r="F802" s="275"/>
      <c r="G802" s="275"/>
      <c r="H802" s="275"/>
      <c r="I802" s="275"/>
      <c r="J802" s="275"/>
      <c r="K802" s="275"/>
      <c r="L802" s="275"/>
      <c r="M802" s="275"/>
      <c r="N802" s="275"/>
    </row>
    <row r="803">
      <c r="B803" s="275"/>
      <c r="C803" s="275"/>
      <c r="D803" s="275"/>
      <c r="E803" s="275"/>
      <c r="F803" s="275"/>
      <c r="G803" s="275"/>
      <c r="H803" s="275"/>
      <c r="I803" s="275"/>
      <c r="J803" s="275"/>
      <c r="K803" s="275"/>
      <c r="L803" s="275"/>
      <c r="M803" s="275"/>
      <c r="N803" s="275"/>
    </row>
    <row r="804">
      <c r="B804" s="275"/>
      <c r="C804" s="275"/>
      <c r="D804" s="275"/>
      <c r="E804" s="275"/>
      <c r="F804" s="275"/>
      <c r="G804" s="275"/>
      <c r="H804" s="275"/>
      <c r="I804" s="275"/>
      <c r="J804" s="275"/>
      <c r="K804" s="275"/>
      <c r="L804" s="275"/>
      <c r="M804" s="275"/>
      <c r="N804" s="275"/>
    </row>
    <row r="805">
      <c r="B805" s="275"/>
      <c r="C805" s="275"/>
      <c r="D805" s="275"/>
      <c r="E805" s="275"/>
      <c r="F805" s="275"/>
      <c r="G805" s="275"/>
      <c r="H805" s="275"/>
      <c r="I805" s="275"/>
      <c r="J805" s="275"/>
      <c r="K805" s="275"/>
      <c r="L805" s="275"/>
      <c r="M805" s="275"/>
      <c r="N805" s="275"/>
    </row>
    <row r="806">
      <c r="B806" s="275"/>
      <c r="C806" s="275"/>
      <c r="D806" s="275"/>
      <c r="E806" s="275"/>
      <c r="F806" s="275"/>
      <c r="G806" s="275"/>
      <c r="H806" s="275"/>
      <c r="I806" s="275"/>
      <c r="J806" s="275"/>
      <c r="K806" s="275"/>
      <c r="L806" s="275"/>
      <c r="M806" s="275"/>
      <c r="N806" s="275"/>
    </row>
    <row r="807">
      <c r="B807" s="275"/>
      <c r="C807" s="275"/>
      <c r="D807" s="275"/>
      <c r="E807" s="275"/>
      <c r="F807" s="275"/>
      <c r="G807" s="275"/>
      <c r="H807" s="275"/>
      <c r="I807" s="275"/>
      <c r="J807" s="275"/>
      <c r="K807" s="275"/>
      <c r="L807" s="275"/>
      <c r="M807" s="275"/>
      <c r="N807" s="275"/>
    </row>
    <row r="808">
      <c r="B808" s="275"/>
      <c r="C808" s="275"/>
      <c r="D808" s="275"/>
      <c r="E808" s="275"/>
      <c r="F808" s="275"/>
      <c r="G808" s="275"/>
      <c r="H808" s="275"/>
      <c r="I808" s="275"/>
      <c r="J808" s="275"/>
      <c r="K808" s="275"/>
      <c r="L808" s="275"/>
      <c r="M808" s="275"/>
      <c r="N808" s="275"/>
    </row>
    <row r="809">
      <c r="B809" s="275"/>
      <c r="C809" s="275"/>
      <c r="D809" s="275"/>
      <c r="E809" s="275"/>
      <c r="F809" s="275"/>
      <c r="G809" s="275"/>
      <c r="H809" s="275"/>
      <c r="I809" s="275"/>
      <c r="J809" s="275"/>
      <c r="K809" s="275"/>
      <c r="L809" s="275"/>
      <c r="M809" s="275"/>
      <c r="N809" s="275"/>
    </row>
    <row r="810">
      <c r="B810" s="275"/>
      <c r="C810" s="275"/>
      <c r="D810" s="275"/>
      <c r="E810" s="275"/>
      <c r="F810" s="275"/>
      <c r="G810" s="275"/>
      <c r="H810" s="275"/>
      <c r="I810" s="275"/>
      <c r="J810" s="275"/>
      <c r="K810" s="275"/>
      <c r="L810" s="275"/>
      <c r="M810" s="275"/>
      <c r="N810" s="275"/>
    </row>
    <row r="811">
      <c r="B811" s="275"/>
      <c r="C811" s="275"/>
      <c r="D811" s="275"/>
      <c r="E811" s="275"/>
      <c r="F811" s="275"/>
      <c r="G811" s="275"/>
      <c r="H811" s="275"/>
      <c r="I811" s="275"/>
      <c r="J811" s="275"/>
      <c r="K811" s="275"/>
      <c r="L811" s="275"/>
      <c r="M811" s="275"/>
      <c r="N811" s="275"/>
    </row>
    <row r="812">
      <c r="B812" s="275"/>
      <c r="C812" s="275"/>
      <c r="D812" s="275"/>
      <c r="E812" s="275"/>
      <c r="F812" s="275"/>
      <c r="G812" s="275"/>
      <c r="H812" s="275"/>
      <c r="I812" s="275"/>
      <c r="J812" s="275"/>
      <c r="K812" s="275"/>
      <c r="L812" s="275"/>
      <c r="M812" s="275"/>
      <c r="N812" s="275"/>
    </row>
    <row r="813">
      <c r="B813" s="275"/>
      <c r="C813" s="275"/>
      <c r="D813" s="275"/>
      <c r="E813" s="275"/>
      <c r="F813" s="275"/>
      <c r="G813" s="275"/>
      <c r="H813" s="275"/>
      <c r="I813" s="275"/>
      <c r="J813" s="275"/>
      <c r="K813" s="275"/>
      <c r="L813" s="275"/>
      <c r="M813" s="275"/>
      <c r="N813" s="275"/>
    </row>
    <row r="814">
      <c r="B814" s="275"/>
      <c r="C814" s="275"/>
      <c r="D814" s="275"/>
      <c r="E814" s="275"/>
      <c r="F814" s="275"/>
      <c r="G814" s="275"/>
      <c r="H814" s="275"/>
      <c r="I814" s="275"/>
      <c r="J814" s="275"/>
      <c r="K814" s="275"/>
      <c r="L814" s="275"/>
      <c r="M814" s="275"/>
      <c r="N814" s="275"/>
    </row>
    <row r="815">
      <c r="B815" s="275"/>
      <c r="C815" s="275"/>
      <c r="D815" s="275"/>
      <c r="E815" s="275"/>
      <c r="F815" s="275"/>
      <c r="G815" s="275"/>
      <c r="H815" s="275"/>
      <c r="I815" s="275"/>
      <c r="J815" s="275"/>
      <c r="K815" s="275"/>
      <c r="L815" s="275"/>
      <c r="M815" s="275"/>
      <c r="N815" s="275"/>
    </row>
    <row r="816">
      <c r="B816" s="275"/>
      <c r="C816" s="275"/>
      <c r="D816" s="275"/>
      <c r="E816" s="275"/>
      <c r="F816" s="275"/>
      <c r="G816" s="275"/>
      <c r="H816" s="275"/>
      <c r="I816" s="275"/>
      <c r="J816" s="275"/>
      <c r="K816" s="275"/>
      <c r="L816" s="275"/>
      <c r="M816" s="275"/>
      <c r="N816" s="275"/>
    </row>
    <row r="817">
      <c r="B817" s="275"/>
      <c r="C817" s="275"/>
      <c r="D817" s="275"/>
      <c r="E817" s="275"/>
      <c r="F817" s="275"/>
      <c r="G817" s="275"/>
      <c r="H817" s="275"/>
      <c r="I817" s="275"/>
      <c r="J817" s="275"/>
      <c r="K817" s="275"/>
      <c r="L817" s="275"/>
      <c r="M817" s="275"/>
      <c r="N817" s="275"/>
    </row>
    <row r="818">
      <c r="B818" s="275"/>
      <c r="C818" s="275"/>
      <c r="D818" s="275"/>
      <c r="E818" s="275"/>
      <c r="F818" s="275"/>
      <c r="G818" s="275"/>
      <c r="H818" s="275"/>
      <c r="I818" s="275"/>
      <c r="J818" s="275"/>
      <c r="K818" s="275"/>
      <c r="L818" s="275"/>
      <c r="M818" s="275"/>
      <c r="N818" s="275"/>
    </row>
    <row r="819">
      <c r="B819" s="275"/>
      <c r="C819" s="275"/>
      <c r="D819" s="275"/>
      <c r="E819" s="275"/>
      <c r="F819" s="275"/>
      <c r="G819" s="275"/>
      <c r="H819" s="275"/>
      <c r="I819" s="275"/>
      <c r="J819" s="275"/>
      <c r="K819" s="275"/>
      <c r="L819" s="275"/>
      <c r="M819" s="275"/>
      <c r="N819" s="275"/>
    </row>
    <row r="820">
      <c r="B820" s="275"/>
      <c r="C820" s="275"/>
      <c r="D820" s="275"/>
      <c r="E820" s="275"/>
      <c r="F820" s="275"/>
      <c r="G820" s="275"/>
      <c r="H820" s="275"/>
      <c r="I820" s="275"/>
      <c r="J820" s="275"/>
      <c r="K820" s="275"/>
      <c r="L820" s="275"/>
      <c r="M820" s="275"/>
      <c r="N820" s="275"/>
    </row>
    <row r="821">
      <c r="B821" s="275"/>
      <c r="C821" s="275"/>
      <c r="D821" s="275"/>
      <c r="E821" s="275"/>
      <c r="F821" s="275"/>
      <c r="G821" s="275"/>
      <c r="H821" s="275"/>
      <c r="I821" s="275"/>
      <c r="J821" s="275"/>
      <c r="K821" s="275"/>
      <c r="L821" s="275"/>
      <c r="M821" s="275"/>
      <c r="N821" s="275"/>
    </row>
    <row r="822">
      <c r="B822" s="275"/>
      <c r="C822" s="275"/>
      <c r="D822" s="275"/>
      <c r="E822" s="275"/>
      <c r="F822" s="275"/>
      <c r="G822" s="275"/>
      <c r="H822" s="275"/>
      <c r="I822" s="275"/>
      <c r="J822" s="275"/>
      <c r="K822" s="275"/>
      <c r="L822" s="275"/>
      <c r="M822" s="275"/>
      <c r="N822" s="275"/>
    </row>
    <row r="823">
      <c r="B823" s="275"/>
      <c r="C823" s="275"/>
      <c r="D823" s="275"/>
      <c r="E823" s="275"/>
      <c r="F823" s="275"/>
      <c r="G823" s="275"/>
      <c r="H823" s="275"/>
      <c r="I823" s="275"/>
      <c r="J823" s="275"/>
      <c r="K823" s="275"/>
      <c r="L823" s="275"/>
      <c r="M823" s="275"/>
      <c r="N823" s="275"/>
    </row>
    <row r="824">
      <c r="B824" s="275"/>
      <c r="C824" s="275"/>
      <c r="D824" s="275"/>
      <c r="E824" s="275"/>
      <c r="F824" s="275"/>
      <c r="G824" s="275"/>
      <c r="H824" s="275"/>
      <c r="I824" s="275"/>
      <c r="J824" s="275"/>
      <c r="K824" s="275"/>
      <c r="L824" s="275"/>
      <c r="M824" s="275"/>
      <c r="N824" s="275"/>
    </row>
    <row r="825">
      <c r="B825" s="275"/>
      <c r="C825" s="275"/>
      <c r="D825" s="275"/>
      <c r="E825" s="275"/>
      <c r="F825" s="275"/>
      <c r="G825" s="275"/>
      <c r="H825" s="275"/>
      <c r="I825" s="275"/>
      <c r="J825" s="275"/>
      <c r="K825" s="275"/>
      <c r="L825" s="275"/>
      <c r="M825" s="275"/>
      <c r="N825" s="275"/>
    </row>
    <row r="826">
      <c r="B826" s="275"/>
      <c r="C826" s="275"/>
      <c r="D826" s="275"/>
      <c r="E826" s="275"/>
      <c r="F826" s="275"/>
      <c r="G826" s="275"/>
      <c r="H826" s="275"/>
      <c r="I826" s="275"/>
      <c r="J826" s="275"/>
      <c r="K826" s="275"/>
      <c r="L826" s="275"/>
      <c r="M826" s="275"/>
      <c r="N826" s="275"/>
    </row>
    <row r="827">
      <c r="B827" s="275"/>
      <c r="C827" s="275"/>
      <c r="D827" s="275"/>
      <c r="E827" s="275"/>
      <c r="F827" s="275"/>
      <c r="G827" s="275"/>
      <c r="H827" s="275"/>
      <c r="I827" s="275"/>
      <c r="J827" s="275"/>
      <c r="K827" s="275"/>
      <c r="L827" s="275"/>
      <c r="M827" s="275"/>
      <c r="N827" s="275"/>
    </row>
    <row r="828">
      <c r="B828" s="275"/>
      <c r="C828" s="275"/>
      <c r="D828" s="275"/>
      <c r="E828" s="275"/>
      <c r="F828" s="275"/>
      <c r="G828" s="275"/>
      <c r="H828" s="275"/>
      <c r="I828" s="275"/>
      <c r="J828" s="275"/>
      <c r="K828" s="275"/>
      <c r="L828" s="275"/>
      <c r="M828" s="275"/>
      <c r="N828" s="275"/>
    </row>
    <row r="829">
      <c r="B829" s="275"/>
      <c r="C829" s="275"/>
      <c r="D829" s="275"/>
      <c r="E829" s="275"/>
      <c r="F829" s="275"/>
      <c r="G829" s="275"/>
      <c r="H829" s="275"/>
      <c r="I829" s="275"/>
      <c r="J829" s="275"/>
      <c r="K829" s="275"/>
      <c r="L829" s="275"/>
      <c r="M829" s="275"/>
      <c r="N829" s="275"/>
    </row>
    <row r="830">
      <c r="B830" s="275"/>
      <c r="C830" s="275"/>
      <c r="D830" s="275"/>
      <c r="E830" s="275"/>
      <c r="F830" s="275"/>
      <c r="G830" s="275"/>
      <c r="H830" s="275"/>
      <c r="I830" s="275"/>
      <c r="J830" s="275"/>
      <c r="K830" s="275"/>
      <c r="L830" s="275"/>
      <c r="M830" s="275"/>
      <c r="N830" s="275"/>
    </row>
    <row r="831">
      <c r="B831" s="275"/>
      <c r="C831" s="275"/>
      <c r="D831" s="275"/>
      <c r="E831" s="275"/>
      <c r="F831" s="275"/>
      <c r="G831" s="275"/>
      <c r="H831" s="275"/>
      <c r="I831" s="275"/>
      <c r="J831" s="275"/>
      <c r="K831" s="275"/>
      <c r="L831" s="275"/>
      <c r="M831" s="275"/>
      <c r="N831" s="275"/>
    </row>
    <row r="832">
      <c r="B832" s="275"/>
      <c r="C832" s="275"/>
      <c r="D832" s="275"/>
      <c r="E832" s="275"/>
      <c r="F832" s="275"/>
      <c r="G832" s="275"/>
      <c r="H832" s="275"/>
      <c r="I832" s="275"/>
      <c r="J832" s="275"/>
      <c r="K832" s="275"/>
      <c r="L832" s="275"/>
      <c r="M832" s="275"/>
      <c r="N832" s="275"/>
    </row>
    <row r="833">
      <c r="B833" s="275"/>
      <c r="C833" s="275"/>
      <c r="D833" s="275"/>
      <c r="E833" s="275"/>
      <c r="F833" s="275"/>
      <c r="G833" s="275"/>
      <c r="H833" s="275"/>
      <c r="I833" s="275"/>
      <c r="J833" s="275"/>
      <c r="K833" s="275"/>
      <c r="L833" s="275"/>
      <c r="M833" s="275"/>
      <c r="N833" s="275"/>
    </row>
    <row r="834">
      <c r="B834" s="275"/>
      <c r="C834" s="275"/>
      <c r="D834" s="275"/>
      <c r="E834" s="275"/>
      <c r="F834" s="275"/>
      <c r="G834" s="275"/>
      <c r="H834" s="275"/>
      <c r="I834" s="275"/>
      <c r="J834" s="275"/>
      <c r="K834" s="275"/>
      <c r="L834" s="275"/>
      <c r="M834" s="275"/>
      <c r="N834" s="275"/>
    </row>
    <row r="835">
      <c r="B835" s="275"/>
      <c r="C835" s="275"/>
      <c r="D835" s="275"/>
      <c r="E835" s="275"/>
      <c r="F835" s="275"/>
      <c r="G835" s="275"/>
      <c r="H835" s="275"/>
      <c r="I835" s="275"/>
      <c r="J835" s="275"/>
      <c r="K835" s="275"/>
      <c r="L835" s="275"/>
      <c r="M835" s="275"/>
      <c r="N835" s="275"/>
    </row>
    <row r="836">
      <c r="B836" s="275"/>
      <c r="C836" s="275"/>
      <c r="D836" s="275"/>
      <c r="E836" s="275"/>
      <c r="F836" s="275"/>
      <c r="G836" s="275"/>
      <c r="H836" s="275"/>
      <c r="I836" s="275"/>
      <c r="J836" s="275"/>
      <c r="K836" s="275"/>
      <c r="L836" s="275"/>
      <c r="M836" s="275"/>
      <c r="N836" s="275"/>
    </row>
    <row r="837">
      <c r="B837" s="275"/>
      <c r="C837" s="275"/>
      <c r="D837" s="275"/>
      <c r="E837" s="275"/>
      <c r="F837" s="275"/>
      <c r="G837" s="275"/>
      <c r="H837" s="275"/>
      <c r="I837" s="275"/>
      <c r="J837" s="275"/>
      <c r="K837" s="275"/>
      <c r="L837" s="275"/>
      <c r="M837" s="275"/>
      <c r="N837" s="275"/>
    </row>
    <row r="838">
      <c r="B838" s="275"/>
      <c r="C838" s="275"/>
      <c r="D838" s="275"/>
      <c r="E838" s="275"/>
      <c r="F838" s="275"/>
      <c r="G838" s="275"/>
      <c r="H838" s="275"/>
      <c r="I838" s="275"/>
      <c r="J838" s="275"/>
      <c r="K838" s="275"/>
      <c r="L838" s="275"/>
      <c r="M838" s="275"/>
      <c r="N838" s="275"/>
    </row>
    <row r="839">
      <c r="B839" s="275"/>
      <c r="C839" s="275"/>
      <c r="D839" s="275"/>
      <c r="E839" s="275"/>
      <c r="F839" s="275"/>
      <c r="G839" s="275"/>
      <c r="H839" s="275"/>
      <c r="I839" s="275"/>
      <c r="J839" s="275"/>
      <c r="K839" s="275"/>
      <c r="L839" s="275"/>
      <c r="M839" s="275"/>
      <c r="N839" s="275"/>
    </row>
    <row r="840">
      <c r="B840" s="275"/>
      <c r="C840" s="275"/>
      <c r="D840" s="275"/>
      <c r="E840" s="275"/>
      <c r="F840" s="275"/>
      <c r="G840" s="275"/>
      <c r="H840" s="275"/>
      <c r="I840" s="275"/>
      <c r="J840" s="275"/>
      <c r="K840" s="275"/>
      <c r="L840" s="275"/>
      <c r="M840" s="275"/>
      <c r="N840" s="275"/>
    </row>
    <row r="841">
      <c r="B841" s="275"/>
      <c r="C841" s="275"/>
      <c r="D841" s="275"/>
      <c r="E841" s="275"/>
      <c r="F841" s="275"/>
      <c r="G841" s="275"/>
      <c r="H841" s="275"/>
      <c r="I841" s="275"/>
      <c r="J841" s="275"/>
      <c r="K841" s="275"/>
      <c r="L841" s="275"/>
      <c r="M841" s="275"/>
      <c r="N841" s="275"/>
    </row>
    <row r="842">
      <c r="B842" s="275"/>
      <c r="C842" s="275"/>
      <c r="D842" s="275"/>
      <c r="E842" s="275"/>
      <c r="F842" s="275"/>
      <c r="G842" s="275"/>
      <c r="H842" s="275"/>
      <c r="I842" s="275"/>
      <c r="J842" s="275"/>
      <c r="K842" s="275"/>
      <c r="L842" s="275"/>
      <c r="M842" s="275"/>
      <c r="N842" s="275"/>
    </row>
    <row r="843">
      <c r="B843" s="275"/>
      <c r="C843" s="275"/>
      <c r="D843" s="275"/>
      <c r="E843" s="275"/>
      <c r="F843" s="275"/>
      <c r="G843" s="275"/>
      <c r="H843" s="275"/>
      <c r="I843" s="275"/>
      <c r="J843" s="275"/>
      <c r="K843" s="275"/>
      <c r="L843" s="275"/>
      <c r="M843" s="275"/>
      <c r="N843" s="275"/>
    </row>
    <row r="844">
      <c r="B844" s="275"/>
      <c r="C844" s="275"/>
      <c r="D844" s="275"/>
      <c r="E844" s="275"/>
      <c r="F844" s="275"/>
      <c r="G844" s="275"/>
      <c r="H844" s="275"/>
      <c r="I844" s="275"/>
      <c r="J844" s="275"/>
      <c r="K844" s="275"/>
      <c r="L844" s="275"/>
      <c r="M844" s="275"/>
      <c r="N844" s="275"/>
    </row>
    <row r="845">
      <c r="B845" s="275"/>
      <c r="C845" s="275"/>
      <c r="D845" s="275"/>
      <c r="E845" s="275"/>
      <c r="F845" s="275"/>
      <c r="G845" s="275"/>
      <c r="H845" s="275"/>
      <c r="I845" s="275"/>
      <c r="J845" s="275"/>
      <c r="K845" s="275"/>
      <c r="L845" s="275"/>
      <c r="M845" s="275"/>
      <c r="N845" s="275"/>
    </row>
    <row r="846">
      <c r="B846" s="275"/>
      <c r="C846" s="275"/>
      <c r="D846" s="275"/>
      <c r="E846" s="275"/>
      <c r="F846" s="275"/>
      <c r="G846" s="275"/>
      <c r="H846" s="275"/>
      <c r="I846" s="275"/>
      <c r="J846" s="275"/>
      <c r="K846" s="275"/>
      <c r="L846" s="275"/>
      <c r="M846" s="275"/>
      <c r="N846" s="275"/>
    </row>
    <row r="847">
      <c r="B847" s="275"/>
      <c r="C847" s="275"/>
      <c r="D847" s="275"/>
      <c r="E847" s="275"/>
      <c r="F847" s="275"/>
      <c r="G847" s="275"/>
      <c r="H847" s="275"/>
      <c r="I847" s="275"/>
      <c r="J847" s="275"/>
      <c r="K847" s="275"/>
      <c r="L847" s="275"/>
      <c r="M847" s="275"/>
      <c r="N847" s="275"/>
    </row>
    <row r="848">
      <c r="B848" s="275"/>
      <c r="C848" s="275"/>
      <c r="D848" s="275"/>
      <c r="E848" s="275"/>
      <c r="F848" s="275"/>
      <c r="G848" s="275"/>
      <c r="H848" s="275"/>
      <c r="I848" s="275"/>
      <c r="J848" s="275"/>
      <c r="K848" s="275"/>
      <c r="L848" s="275"/>
      <c r="M848" s="275"/>
      <c r="N848" s="275"/>
    </row>
    <row r="849">
      <c r="B849" s="275"/>
      <c r="C849" s="275"/>
      <c r="D849" s="275"/>
      <c r="E849" s="275"/>
      <c r="F849" s="275"/>
      <c r="G849" s="275"/>
      <c r="H849" s="275"/>
      <c r="I849" s="275"/>
      <c r="J849" s="275"/>
      <c r="K849" s="275"/>
      <c r="L849" s="275"/>
      <c r="M849" s="275"/>
      <c r="N849" s="275"/>
    </row>
    <row r="850">
      <c r="B850" s="275"/>
      <c r="C850" s="275"/>
      <c r="D850" s="275"/>
      <c r="E850" s="275"/>
      <c r="F850" s="275"/>
      <c r="G850" s="275"/>
      <c r="H850" s="275"/>
      <c r="I850" s="275"/>
      <c r="J850" s="275"/>
      <c r="K850" s="275"/>
      <c r="L850" s="275"/>
      <c r="M850" s="275"/>
      <c r="N850" s="275"/>
    </row>
    <row r="851">
      <c r="B851" s="275"/>
      <c r="C851" s="275"/>
      <c r="D851" s="275"/>
      <c r="E851" s="275"/>
      <c r="F851" s="275"/>
      <c r="G851" s="275"/>
      <c r="H851" s="275"/>
      <c r="I851" s="275"/>
      <c r="J851" s="275"/>
      <c r="K851" s="275"/>
      <c r="L851" s="275"/>
      <c r="M851" s="275"/>
      <c r="N851" s="275"/>
    </row>
    <row r="852">
      <c r="B852" s="275"/>
      <c r="C852" s="275"/>
      <c r="D852" s="275"/>
      <c r="E852" s="275"/>
      <c r="F852" s="275"/>
      <c r="G852" s="275"/>
      <c r="H852" s="275"/>
      <c r="I852" s="275"/>
      <c r="J852" s="275"/>
      <c r="K852" s="275"/>
      <c r="L852" s="275"/>
      <c r="M852" s="275"/>
      <c r="N852" s="275"/>
    </row>
    <row r="853">
      <c r="B853" s="275"/>
      <c r="C853" s="275"/>
      <c r="D853" s="275"/>
      <c r="E853" s="275"/>
      <c r="F853" s="275"/>
      <c r="G853" s="275"/>
      <c r="H853" s="275"/>
      <c r="I853" s="275"/>
      <c r="J853" s="275"/>
      <c r="K853" s="275"/>
      <c r="L853" s="275"/>
      <c r="M853" s="275"/>
      <c r="N853" s="275"/>
    </row>
    <row r="854">
      <c r="B854" s="275"/>
      <c r="C854" s="275"/>
      <c r="D854" s="275"/>
      <c r="E854" s="275"/>
      <c r="F854" s="275"/>
      <c r="G854" s="275"/>
      <c r="H854" s="275"/>
      <c r="I854" s="275"/>
      <c r="J854" s="275"/>
      <c r="K854" s="275"/>
      <c r="L854" s="275"/>
      <c r="M854" s="275"/>
      <c r="N854" s="275"/>
    </row>
    <row r="855">
      <c r="B855" s="275"/>
      <c r="C855" s="275"/>
      <c r="D855" s="275"/>
      <c r="E855" s="275"/>
      <c r="F855" s="275"/>
      <c r="G855" s="275"/>
      <c r="H855" s="275"/>
      <c r="I855" s="275"/>
      <c r="J855" s="275"/>
      <c r="K855" s="275"/>
      <c r="L855" s="275"/>
      <c r="M855" s="275"/>
      <c r="N855" s="275"/>
    </row>
    <row r="856">
      <c r="B856" s="275"/>
      <c r="C856" s="275"/>
      <c r="D856" s="275"/>
      <c r="E856" s="275"/>
      <c r="F856" s="275"/>
      <c r="G856" s="275"/>
      <c r="H856" s="275"/>
      <c r="I856" s="275"/>
      <c r="J856" s="275"/>
      <c r="K856" s="275"/>
      <c r="L856" s="275"/>
      <c r="M856" s="275"/>
      <c r="N856" s="275"/>
    </row>
    <row r="857">
      <c r="B857" s="275"/>
      <c r="C857" s="275"/>
      <c r="D857" s="275"/>
      <c r="E857" s="275"/>
      <c r="F857" s="275"/>
      <c r="G857" s="275"/>
      <c r="H857" s="275"/>
      <c r="I857" s="275"/>
      <c r="J857" s="275"/>
      <c r="K857" s="275"/>
      <c r="L857" s="275"/>
      <c r="M857" s="275"/>
      <c r="N857" s="275"/>
    </row>
    <row r="858">
      <c r="B858" s="275"/>
      <c r="C858" s="275"/>
      <c r="D858" s="275"/>
      <c r="E858" s="275"/>
      <c r="F858" s="275"/>
      <c r="G858" s="275"/>
      <c r="H858" s="275"/>
      <c r="I858" s="275"/>
      <c r="J858" s="275"/>
      <c r="K858" s="275"/>
      <c r="L858" s="275"/>
      <c r="M858" s="275"/>
      <c r="N858" s="275"/>
    </row>
    <row r="859">
      <c r="B859" s="275"/>
      <c r="C859" s="275"/>
      <c r="D859" s="275"/>
      <c r="E859" s="275"/>
      <c r="F859" s="275"/>
      <c r="G859" s="275"/>
      <c r="H859" s="275"/>
      <c r="I859" s="275"/>
      <c r="J859" s="275"/>
      <c r="K859" s="275"/>
      <c r="L859" s="275"/>
      <c r="M859" s="275"/>
      <c r="N859" s="275"/>
    </row>
    <row r="860">
      <c r="B860" s="275"/>
      <c r="C860" s="275"/>
      <c r="D860" s="275"/>
      <c r="E860" s="275"/>
      <c r="F860" s="275"/>
      <c r="G860" s="275"/>
      <c r="H860" s="275"/>
      <c r="I860" s="275"/>
      <c r="J860" s="275"/>
      <c r="K860" s="275"/>
      <c r="L860" s="275"/>
      <c r="M860" s="275"/>
      <c r="N860" s="275"/>
    </row>
    <row r="861">
      <c r="B861" s="275"/>
      <c r="C861" s="275"/>
      <c r="D861" s="275"/>
      <c r="E861" s="275"/>
      <c r="F861" s="275"/>
      <c r="G861" s="275"/>
      <c r="H861" s="275"/>
      <c r="I861" s="275"/>
      <c r="J861" s="275"/>
      <c r="K861" s="275"/>
      <c r="L861" s="275"/>
      <c r="M861" s="275"/>
      <c r="N861" s="275"/>
    </row>
    <row r="862">
      <c r="B862" s="275"/>
      <c r="C862" s="275"/>
      <c r="D862" s="275"/>
      <c r="E862" s="275"/>
      <c r="F862" s="275"/>
      <c r="G862" s="275"/>
      <c r="H862" s="275"/>
      <c r="I862" s="275"/>
      <c r="J862" s="275"/>
      <c r="K862" s="275"/>
      <c r="L862" s="275"/>
      <c r="M862" s="275"/>
      <c r="N862" s="275"/>
    </row>
    <row r="863">
      <c r="B863" s="275"/>
      <c r="C863" s="275"/>
      <c r="D863" s="275"/>
      <c r="E863" s="275"/>
      <c r="F863" s="275"/>
      <c r="G863" s="275"/>
      <c r="H863" s="275"/>
      <c r="I863" s="275"/>
      <c r="J863" s="275"/>
      <c r="K863" s="275"/>
      <c r="L863" s="275"/>
      <c r="M863" s="275"/>
      <c r="N863" s="275"/>
    </row>
    <row r="864">
      <c r="B864" s="275"/>
      <c r="C864" s="275"/>
      <c r="D864" s="275"/>
      <c r="E864" s="275"/>
      <c r="F864" s="275"/>
      <c r="G864" s="275"/>
      <c r="H864" s="275"/>
      <c r="I864" s="275"/>
      <c r="J864" s="275"/>
      <c r="K864" s="275"/>
      <c r="L864" s="275"/>
      <c r="M864" s="275"/>
      <c r="N864" s="275"/>
    </row>
    <row r="865">
      <c r="B865" s="275"/>
      <c r="C865" s="275"/>
      <c r="D865" s="275"/>
      <c r="E865" s="275"/>
      <c r="F865" s="275"/>
      <c r="G865" s="275"/>
      <c r="H865" s="275"/>
      <c r="I865" s="275"/>
      <c r="J865" s="275"/>
      <c r="K865" s="275"/>
      <c r="L865" s="275"/>
      <c r="M865" s="275"/>
      <c r="N865" s="275"/>
    </row>
    <row r="866">
      <c r="B866" s="275"/>
      <c r="C866" s="275"/>
      <c r="D866" s="275"/>
      <c r="E866" s="275"/>
      <c r="F866" s="275"/>
      <c r="G866" s="275"/>
      <c r="H866" s="275"/>
      <c r="I866" s="275"/>
      <c r="J866" s="275"/>
      <c r="K866" s="275"/>
      <c r="L866" s="275"/>
      <c r="M866" s="275"/>
      <c r="N866" s="275"/>
    </row>
    <row r="867">
      <c r="B867" s="275"/>
      <c r="C867" s="275"/>
      <c r="D867" s="275"/>
      <c r="E867" s="275"/>
      <c r="F867" s="275"/>
      <c r="G867" s="275"/>
      <c r="H867" s="275"/>
      <c r="I867" s="275"/>
      <c r="J867" s="275"/>
      <c r="K867" s="275"/>
      <c r="L867" s="275"/>
      <c r="M867" s="275"/>
      <c r="N867" s="275"/>
    </row>
    <row r="868">
      <c r="B868" s="275"/>
      <c r="C868" s="275"/>
      <c r="D868" s="275"/>
      <c r="E868" s="275"/>
      <c r="F868" s="275"/>
      <c r="G868" s="275"/>
      <c r="H868" s="275"/>
      <c r="I868" s="275"/>
      <c r="J868" s="275"/>
      <c r="K868" s="275"/>
      <c r="L868" s="275"/>
      <c r="M868" s="275"/>
      <c r="N868" s="275"/>
    </row>
    <row r="869">
      <c r="B869" s="275"/>
      <c r="C869" s="275"/>
      <c r="D869" s="275"/>
      <c r="E869" s="275"/>
      <c r="F869" s="275"/>
      <c r="G869" s="275"/>
      <c r="H869" s="275"/>
      <c r="I869" s="275"/>
      <c r="J869" s="275"/>
      <c r="K869" s="275"/>
      <c r="L869" s="275"/>
      <c r="M869" s="275"/>
      <c r="N869" s="275"/>
    </row>
    <row r="870">
      <c r="B870" s="275"/>
      <c r="C870" s="275"/>
      <c r="D870" s="275"/>
      <c r="E870" s="275"/>
      <c r="F870" s="275"/>
      <c r="G870" s="275"/>
      <c r="H870" s="275"/>
      <c r="I870" s="275"/>
      <c r="J870" s="275"/>
      <c r="K870" s="275"/>
      <c r="L870" s="275"/>
      <c r="M870" s="275"/>
      <c r="N870" s="275"/>
    </row>
    <row r="871">
      <c r="B871" s="275"/>
      <c r="C871" s="275"/>
      <c r="D871" s="275"/>
      <c r="E871" s="275"/>
      <c r="F871" s="275"/>
      <c r="G871" s="275"/>
      <c r="H871" s="275"/>
      <c r="I871" s="275"/>
      <c r="J871" s="275"/>
      <c r="K871" s="275"/>
      <c r="L871" s="275"/>
      <c r="M871" s="275"/>
      <c r="N871" s="275"/>
    </row>
    <row r="872">
      <c r="B872" s="275"/>
      <c r="C872" s="275"/>
      <c r="D872" s="275"/>
      <c r="E872" s="275"/>
      <c r="F872" s="275"/>
      <c r="G872" s="275"/>
      <c r="H872" s="275"/>
      <c r="I872" s="275"/>
      <c r="J872" s="275"/>
      <c r="K872" s="275"/>
      <c r="L872" s="275"/>
      <c r="M872" s="275"/>
      <c r="N872" s="275"/>
    </row>
    <row r="873">
      <c r="B873" s="275"/>
      <c r="C873" s="275"/>
      <c r="D873" s="275"/>
      <c r="E873" s="275"/>
      <c r="F873" s="275"/>
      <c r="G873" s="275"/>
      <c r="H873" s="275"/>
      <c r="I873" s="275"/>
      <c r="J873" s="275"/>
      <c r="K873" s="275"/>
      <c r="L873" s="275"/>
      <c r="M873" s="275"/>
      <c r="N873" s="275"/>
    </row>
    <row r="874">
      <c r="B874" s="275"/>
      <c r="C874" s="275"/>
      <c r="D874" s="275"/>
      <c r="E874" s="275"/>
      <c r="F874" s="275"/>
      <c r="G874" s="275"/>
      <c r="H874" s="275"/>
      <c r="I874" s="275"/>
      <c r="J874" s="275"/>
      <c r="K874" s="275"/>
      <c r="L874" s="275"/>
      <c r="M874" s="275"/>
      <c r="N874" s="275"/>
    </row>
    <row r="875">
      <c r="B875" s="275"/>
      <c r="C875" s="275"/>
      <c r="D875" s="275"/>
      <c r="E875" s="275"/>
      <c r="F875" s="275"/>
      <c r="G875" s="275"/>
      <c r="H875" s="275"/>
      <c r="I875" s="275"/>
      <c r="J875" s="275"/>
      <c r="K875" s="275"/>
      <c r="L875" s="275"/>
      <c r="M875" s="275"/>
      <c r="N875" s="275"/>
    </row>
    <row r="876">
      <c r="B876" s="275"/>
      <c r="C876" s="275"/>
      <c r="D876" s="275"/>
      <c r="E876" s="275"/>
      <c r="F876" s="275"/>
      <c r="G876" s="275"/>
      <c r="H876" s="275"/>
      <c r="I876" s="275"/>
      <c r="J876" s="275"/>
      <c r="K876" s="275"/>
      <c r="L876" s="275"/>
      <c r="M876" s="275"/>
      <c r="N876" s="275"/>
    </row>
    <row r="877">
      <c r="B877" s="275"/>
      <c r="C877" s="275"/>
      <c r="D877" s="275"/>
      <c r="E877" s="275"/>
      <c r="F877" s="275"/>
      <c r="G877" s="275"/>
      <c r="H877" s="275"/>
      <c r="I877" s="275"/>
      <c r="J877" s="275"/>
      <c r="K877" s="275"/>
      <c r="L877" s="275"/>
      <c r="M877" s="275"/>
      <c r="N877" s="275"/>
    </row>
    <row r="878">
      <c r="B878" s="275"/>
      <c r="C878" s="275"/>
      <c r="D878" s="275"/>
      <c r="E878" s="275"/>
      <c r="F878" s="275"/>
      <c r="G878" s="275"/>
      <c r="H878" s="275"/>
      <c r="I878" s="275"/>
      <c r="J878" s="275"/>
      <c r="K878" s="275"/>
      <c r="L878" s="275"/>
      <c r="M878" s="275"/>
      <c r="N878" s="275"/>
    </row>
    <row r="879">
      <c r="B879" s="275"/>
      <c r="C879" s="275"/>
      <c r="D879" s="275"/>
      <c r="E879" s="275"/>
      <c r="F879" s="275"/>
      <c r="G879" s="275"/>
      <c r="H879" s="275"/>
      <c r="I879" s="275"/>
      <c r="J879" s="275"/>
      <c r="K879" s="275"/>
      <c r="L879" s="275"/>
      <c r="M879" s="275"/>
      <c r="N879" s="275"/>
    </row>
    <row r="880">
      <c r="B880" s="275"/>
      <c r="C880" s="275"/>
      <c r="D880" s="275"/>
      <c r="E880" s="275"/>
      <c r="F880" s="275"/>
      <c r="G880" s="275"/>
      <c r="H880" s="275"/>
      <c r="I880" s="275"/>
      <c r="J880" s="275"/>
      <c r="K880" s="275"/>
      <c r="L880" s="275"/>
      <c r="M880" s="275"/>
      <c r="N880" s="275"/>
    </row>
    <row r="881">
      <c r="B881" s="275"/>
      <c r="C881" s="275"/>
      <c r="D881" s="275"/>
      <c r="E881" s="275"/>
      <c r="F881" s="275"/>
      <c r="G881" s="275"/>
      <c r="H881" s="275"/>
      <c r="I881" s="275"/>
      <c r="J881" s="275"/>
      <c r="K881" s="275"/>
      <c r="L881" s="275"/>
      <c r="M881" s="275"/>
      <c r="N881" s="275"/>
    </row>
    <row r="882">
      <c r="B882" s="275"/>
      <c r="C882" s="275"/>
      <c r="D882" s="275"/>
      <c r="E882" s="275"/>
      <c r="F882" s="275"/>
      <c r="G882" s="275"/>
      <c r="H882" s="275"/>
      <c r="I882" s="275"/>
      <c r="J882" s="275"/>
      <c r="K882" s="275"/>
      <c r="L882" s="275"/>
      <c r="M882" s="275"/>
      <c r="N882" s="275"/>
    </row>
    <row r="883">
      <c r="B883" s="275"/>
      <c r="C883" s="275"/>
      <c r="D883" s="275"/>
      <c r="E883" s="275"/>
      <c r="F883" s="275"/>
      <c r="G883" s="275"/>
      <c r="H883" s="275"/>
      <c r="I883" s="275"/>
      <c r="J883" s="275"/>
      <c r="K883" s="275"/>
      <c r="L883" s="275"/>
      <c r="M883" s="275"/>
      <c r="N883" s="275"/>
    </row>
    <row r="884">
      <c r="B884" s="275"/>
      <c r="C884" s="275"/>
      <c r="D884" s="275"/>
      <c r="E884" s="275"/>
      <c r="F884" s="275"/>
      <c r="G884" s="275"/>
      <c r="H884" s="275"/>
      <c r="I884" s="275"/>
      <c r="J884" s="275"/>
      <c r="K884" s="275"/>
      <c r="L884" s="275"/>
      <c r="M884" s="275"/>
      <c r="N884" s="275"/>
    </row>
    <row r="885">
      <c r="B885" s="275"/>
      <c r="C885" s="275"/>
      <c r="D885" s="275"/>
      <c r="E885" s="275"/>
      <c r="F885" s="275"/>
      <c r="G885" s="275"/>
      <c r="H885" s="275"/>
      <c r="I885" s="275"/>
      <c r="J885" s="275"/>
      <c r="K885" s="275"/>
      <c r="L885" s="275"/>
      <c r="M885" s="275"/>
      <c r="N885" s="275"/>
    </row>
    <row r="886">
      <c r="B886" s="275"/>
      <c r="C886" s="275"/>
      <c r="D886" s="275"/>
      <c r="E886" s="275"/>
      <c r="F886" s="275"/>
      <c r="G886" s="275"/>
      <c r="H886" s="275"/>
      <c r="I886" s="275"/>
      <c r="J886" s="275"/>
      <c r="K886" s="275"/>
      <c r="L886" s="275"/>
      <c r="M886" s="275"/>
      <c r="N886" s="275"/>
    </row>
    <row r="887">
      <c r="B887" s="275"/>
      <c r="C887" s="275"/>
      <c r="D887" s="275"/>
      <c r="E887" s="275"/>
      <c r="F887" s="275"/>
      <c r="G887" s="275"/>
      <c r="H887" s="275"/>
      <c r="I887" s="275"/>
      <c r="J887" s="275"/>
      <c r="K887" s="275"/>
      <c r="L887" s="275"/>
      <c r="M887" s="275"/>
      <c r="N887" s="275"/>
    </row>
    <row r="888">
      <c r="B888" s="275"/>
      <c r="C888" s="275"/>
      <c r="D888" s="275"/>
      <c r="E888" s="275"/>
      <c r="F888" s="275"/>
      <c r="G888" s="275"/>
      <c r="H888" s="275"/>
      <c r="I888" s="275"/>
      <c r="J888" s="275"/>
      <c r="K888" s="275"/>
      <c r="L888" s="275"/>
      <c r="M888" s="275"/>
      <c r="N888" s="275"/>
    </row>
    <row r="889">
      <c r="B889" s="275"/>
      <c r="C889" s="275"/>
      <c r="D889" s="275"/>
      <c r="E889" s="275"/>
      <c r="F889" s="275"/>
      <c r="G889" s="275"/>
      <c r="H889" s="275"/>
      <c r="I889" s="275"/>
      <c r="J889" s="275"/>
      <c r="K889" s="275"/>
      <c r="L889" s="275"/>
      <c r="M889" s="275"/>
      <c r="N889" s="275"/>
    </row>
    <row r="890">
      <c r="B890" s="275"/>
      <c r="C890" s="275"/>
      <c r="D890" s="275"/>
      <c r="E890" s="275"/>
      <c r="F890" s="275"/>
      <c r="G890" s="275"/>
      <c r="H890" s="275"/>
      <c r="I890" s="275"/>
      <c r="J890" s="275"/>
      <c r="K890" s="275"/>
      <c r="L890" s="275"/>
      <c r="M890" s="275"/>
      <c r="N890" s="275"/>
    </row>
    <row r="891">
      <c r="B891" s="275"/>
      <c r="C891" s="275"/>
      <c r="D891" s="275"/>
      <c r="E891" s="275"/>
      <c r="F891" s="275"/>
      <c r="G891" s="275"/>
      <c r="H891" s="275"/>
      <c r="I891" s="275"/>
      <c r="J891" s="275"/>
      <c r="K891" s="275"/>
      <c r="L891" s="275"/>
      <c r="M891" s="275"/>
      <c r="N891" s="275"/>
    </row>
    <row r="892">
      <c r="B892" s="275"/>
      <c r="C892" s="275"/>
      <c r="D892" s="275"/>
      <c r="E892" s="275"/>
      <c r="F892" s="275"/>
      <c r="G892" s="275"/>
      <c r="H892" s="275"/>
      <c r="I892" s="275"/>
      <c r="J892" s="275"/>
      <c r="K892" s="275"/>
      <c r="L892" s="275"/>
      <c r="M892" s="275"/>
      <c r="N892" s="275"/>
    </row>
    <row r="893">
      <c r="B893" s="275"/>
      <c r="C893" s="275"/>
      <c r="D893" s="275"/>
      <c r="E893" s="275"/>
      <c r="F893" s="275"/>
      <c r="G893" s="275"/>
      <c r="H893" s="275"/>
      <c r="I893" s="275"/>
      <c r="J893" s="275"/>
      <c r="K893" s="275"/>
      <c r="L893" s="275"/>
      <c r="M893" s="275"/>
      <c r="N893" s="275"/>
    </row>
    <row r="894">
      <c r="B894" s="275"/>
      <c r="C894" s="275"/>
      <c r="D894" s="275"/>
      <c r="E894" s="275"/>
      <c r="F894" s="275"/>
      <c r="G894" s="275"/>
      <c r="H894" s="275"/>
      <c r="I894" s="275"/>
      <c r="J894" s="275"/>
      <c r="K894" s="275"/>
      <c r="L894" s="275"/>
      <c r="M894" s="275"/>
      <c r="N894" s="275"/>
    </row>
    <row r="895">
      <c r="B895" s="275"/>
      <c r="C895" s="275"/>
      <c r="D895" s="275"/>
      <c r="E895" s="275"/>
      <c r="F895" s="275"/>
      <c r="G895" s="275"/>
      <c r="H895" s="275"/>
      <c r="I895" s="275"/>
      <c r="J895" s="275"/>
      <c r="K895" s="275"/>
      <c r="L895" s="275"/>
      <c r="M895" s="275"/>
      <c r="N895" s="275"/>
    </row>
    <row r="896">
      <c r="B896" s="275"/>
      <c r="C896" s="275"/>
      <c r="D896" s="275"/>
      <c r="E896" s="275"/>
      <c r="F896" s="275"/>
      <c r="G896" s="275"/>
      <c r="H896" s="275"/>
      <c r="I896" s="275"/>
      <c r="J896" s="275"/>
      <c r="K896" s="275"/>
      <c r="L896" s="275"/>
      <c r="M896" s="275"/>
      <c r="N896" s="275"/>
    </row>
    <row r="897">
      <c r="B897" s="275"/>
      <c r="C897" s="275"/>
      <c r="D897" s="275"/>
      <c r="E897" s="275"/>
      <c r="F897" s="275"/>
      <c r="G897" s="275"/>
      <c r="H897" s="275"/>
      <c r="I897" s="275"/>
      <c r="J897" s="275"/>
      <c r="K897" s="275"/>
      <c r="L897" s="275"/>
      <c r="M897" s="275"/>
      <c r="N897" s="275"/>
    </row>
    <row r="898">
      <c r="B898" s="275"/>
      <c r="C898" s="275"/>
      <c r="D898" s="275"/>
      <c r="E898" s="275"/>
      <c r="F898" s="275"/>
      <c r="G898" s="275"/>
      <c r="H898" s="275"/>
      <c r="I898" s="275"/>
      <c r="J898" s="275"/>
      <c r="K898" s="275"/>
      <c r="L898" s="275"/>
      <c r="M898" s="275"/>
      <c r="N898" s="275"/>
    </row>
    <row r="899">
      <c r="B899" s="275"/>
      <c r="C899" s="275"/>
      <c r="D899" s="275"/>
      <c r="E899" s="275"/>
      <c r="F899" s="275"/>
      <c r="G899" s="275"/>
      <c r="H899" s="275"/>
      <c r="I899" s="275"/>
      <c r="J899" s="275"/>
      <c r="K899" s="275"/>
      <c r="L899" s="275"/>
      <c r="M899" s="275"/>
      <c r="N899" s="275"/>
    </row>
    <row r="900">
      <c r="B900" s="275"/>
      <c r="C900" s="275"/>
      <c r="D900" s="275"/>
      <c r="E900" s="275"/>
      <c r="F900" s="275"/>
      <c r="G900" s="275"/>
      <c r="H900" s="275"/>
      <c r="I900" s="275"/>
      <c r="J900" s="275"/>
      <c r="K900" s="275"/>
      <c r="L900" s="275"/>
      <c r="M900" s="275"/>
      <c r="N900" s="275"/>
    </row>
    <row r="901">
      <c r="B901" s="275"/>
      <c r="C901" s="275"/>
      <c r="D901" s="275"/>
      <c r="E901" s="275"/>
      <c r="F901" s="275"/>
      <c r="G901" s="275"/>
      <c r="H901" s="275"/>
      <c r="I901" s="275"/>
      <c r="J901" s="275"/>
      <c r="K901" s="275"/>
      <c r="L901" s="275"/>
      <c r="M901" s="275"/>
      <c r="N901" s="275"/>
    </row>
    <row r="902">
      <c r="B902" s="275"/>
      <c r="C902" s="275"/>
      <c r="D902" s="275"/>
      <c r="E902" s="275"/>
      <c r="F902" s="275"/>
      <c r="G902" s="275"/>
      <c r="H902" s="275"/>
      <c r="I902" s="275"/>
      <c r="J902" s="275"/>
      <c r="K902" s="275"/>
      <c r="L902" s="275"/>
      <c r="M902" s="275"/>
      <c r="N902" s="275"/>
    </row>
    <row r="903">
      <c r="B903" s="275"/>
      <c r="C903" s="275"/>
      <c r="D903" s="275"/>
      <c r="E903" s="275"/>
      <c r="F903" s="275"/>
      <c r="G903" s="275"/>
      <c r="H903" s="275"/>
      <c r="I903" s="275"/>
      <c r="J903" s="275"/>
      <c r="K903" s="275"/>
      <c r="L903" s="275"/>
      <c r="M903" s="275"/>
      <c r="N903" s="275"/>
    </row>
    <row r="904">
      <c r="B904" s="275"/>
      <c r="C904" s="275"/>
      <c r="D904" s="275"/>
      <c r="E904" s="275"/>
      <c r="F904" s="275"/>
      <c r="G904" s="275"/>
      <c r="H904" s="275"/>
      <c r="I904" s="275"/>
      <c r="J904" s="275"/>
      <c r="K904" s="275"/>
      <c r="L904" s="275"/>
      <c r="M904" s="275"/>
      <c r="N904" s="275"/>
    </row>
    <row r="905">
      <c r="B905" s="275"/>
      <c r="C905" s="275"/>
      <c r="D905" s="275"/>
      <c r="E905" s="275"/>
      <c r="F905" s="275"/>
      <c r="G905" s="275"/>
      <c r="H905" s="275"/>
      <c r="I905" s="275"/>
      <c r="J905" s="275"/>
      <c r="K905" s="275"/>
      <c r="L905" s="275"/>
      <c r="M905" s="275"/>
      <c r="N905" s="275"/>
    </row>
    <row r="906">
      <c r="B906" s="275"/>
      <c r="C906" s="275"/>
      <c r="D906" s="275"/>
      <c r="E906" s="275"/>
      <c r="F906" s="275"/>
      <c r="G906" s="275"/>
      <c r="H906" s="275"/>
      <c r="I906" s="275"/>
      <c r="J906" s="275"/>
      <c r="K906" s="275"/>
      <c r="L906" s="275"/>
      <c r="M906" s="275"/>
      <c r="N906" s="275"/>
    </row>
    <row r="907">
      <c r="B907" s="275"/>
      <c r="C907" s="275"/>
      <c r="D907" s="275"/>
      <c r="E907" s="275"/>
      <c r="F907" s="275"/>
      <c r="G907" s="275"/>
      <c r="H907" s="275"/>
      <c r="I907" s="275"/>
      <c r="J907" s="275"/>
      <c r="K907" s="275"/>
      <c r="L907" s="275"/>
      <c r="M907" s="275"/>
      <c r="N907" s="275"/>
    </row>
    <row r="908">
      <c r="B908" s="275"/>
      <c r="C908" s="275"/>
      <c r="D908" s="275"/>
      <c r="E908" s="275"/>
      <c r="F908" s="275"/>
      <c r="G908" s="275"/>
      <c r="H908" s="275"/>
      <c r="I908" s="275"/>
      <c r="J908" s="275"/>
      <c r="K908" s="275"/>
      <c r="L908" s="275"/>
      <c r="M908" s="275"/>
      <c r="N908" s="275"/>
    </row>
    <row r="909">
      <c r="B909" s="275"/>
      <c r="C909" s="275"/>
      <c r="D909" s="275"/>
      <c r="E909" s="275"/>
      <c r="F909" s="275"/>
      <c r="G909" s="275"/>
      <c r="H909" s="275"/>
      <c r="I909" s="275"/>
      <c r="J909" s="275"/>
      <c r="K909" s="275"/>
      <c r="L909" s="275"/>
      <c r="M909" s="275"/>
      <c r="N909" s="275"/>
    </row>
    <row r="910">
      <c r="B910" s="275"/>
      <c r="C910" s="275"/>
      <c r="D910" s="275"/>
      <c r="E910" s="275"/>
      <c r="F910" s="275"/>
      <c r="G910" s="275"/>
      <c r="H910" s="275"/>
      <c r="I910" s="275"/>
      <c r="J910" s="275"/>
      <c r="K910" s="275"/>
      <c r="L910" s="275"/>
      <c r="M910" s="275"/>
      <c r="N910" s="275"/>
    </row>
    <row r="911">
      <c r="B911" s="275"/>
      <c r="C911" s="275"/>
      <c r="D911" s="275"/>
      <c r="E911" s="275"/>
      <c r="F911" s="275"/>
      <c r="G911" s="275"/>
      <c r="H911" s="275"/>
      <c r="I911" s="275"/>
      <c r="J911" s="275"/>
      <c r="K911" s="275"/>
      <c r="L911" s="275"/>
      <c r="M911" s="275"/>
      <c r="N911" s="275"/>
    </row>
    <row r="912">
      <c r="B912" s="275"/>
      <c r="C912" s="275"/>
      <c r="D912" s="275"/>
      <c r="E912" s="275"/>
      <c r="F912" s="275"/>
      <c r="G912" s="275"/>
      <c r="H912" s="275"/>
      <c r="I912" s="275"/>
      <c r="J912" s="275"/>
      <c r="K912" s="275"/>
      <c r="L912" s="275"/>
      <c r="M912" s="275"/>
      <c r="N912" s="275"/>
    </row>
    <row r="913">
      <c r="B913" s="275"/>
      <c r="C913" s="275"/>
      <c r="D913" s="275"/>
      <c r="E913" s="275"/>
      <c r="F913" s="275"/>
      <c r="G913" s="275"/>
      <c r="H913" s="275"/>
      <c r="I913" s="275"/>
      <c r="J913" s="275"/>
      <c r="K913" s="275"/>
      <c r="L913" s="275"/>
      <c r="M913" s="275"/>
      <c r="N913" s="275"/>
    </row>
    <row r="914">
      <c r="B914" s="275"/>
      <c r="C914" s="275"/>
      <c r="D914" s="275"/>
      <c r="E914" s="275"/>
      <c r="F914" s="275"/>
      <c r="G914" s="275"/>
      <c r="H914" s="275"/>
      <c r="I914" s="275"/>
      <c r="J914" s="275"/>
      <c r="K914" s="275"/>
      <c r="L914" s="275"/>
      <c r="M914" s="275"/>
      <c r="N914" s="275"/>
    </row>
    <row r="915">
      <c r="B915" s="275"/>
      <c r="C915" s="275"/>
      <c r="D915" s="275"/>
      <c r="E915" s="275"/>
      <c r="F915" s="275"/>
      <c r="G915" s="275"/>
      <c r="H915" s="275"/>
      <c r="I915" s="275"/>
      <c r="J915" s="275"/>
      <c r="K915" s="275"/>
      <c r="L915" s="275"/>
      <c r="M915" s="275"/>
      <c r="N915" s="275"/>
    </row>
    <row r="916">
      <c r="B916" s="275"/>
      <c r="C916" s="275"/>
      <c r="D916" s="275"/>
      <c r="E916" s="275"/>
      <c r="F916" s="275"/>
      <c r="G916" s="275"/>
      <c r="H916" s="275"/>
      <c r="I916" s="275"/>
      <c r="J916" s="275"/>
      <c r="K916" s="275"/>
      <c r="L916" s="275"/>
      <c r="M916" s="275"/>
      <c r="N916" s="275"/>
    </row>
    <row r="917">
      <c r="B917" s="275"/>
      <c r="C917" s="275"/>
      <c r="D917" s="275"/>
      <c r="E917" s="275"/>
      <c r="F917" s="275"/>
      <c r="G917" s="275"/>
      <c r="H917" s="275"/>
      <c r="I917" s="275"/>
      <c r="J917" s="275"/>
      <c r="K917" s="275"/>
      <c r="L917" s="275"/>
      <c r="M917" s="275"/>
      <c r="N917" s="275"/>
    </row>
    <row r="918">
      <c r="B918" s="275"/>
      <c r="C918" s="275"/>
      <c r="D918" s="275"/>
      <c r="E918" s="275"/>
      <c r="F918" s="275"/>
      <c r="G918" s="275"/>
      <c r="H918" s="275"/>
      <c r="I918" s="275"/>
      <c r="J918" s="275"/>
      <c r="K918" s="275"/>
      <c r="L918" s="275"/>
      <c r="M918" s="275"/>
      <c r="N918" s="275"/>
    </row>
    <row r="919">
      <c r="B919" s="275"/>
      <c r="C919" s="275"/>
      <c r="D919" s="275"/>
      <c r="E919" s="275"/>
      <c r="F919" s="275"/>
      <c r="G919" s="275"/>
      <c r="H919" s="275"/>
      <c r="I919" s="275"/>
      <c r="J919" s="275"/>
      <c r="K919" s="275"/>
      <c r="L919" s="275"/>
      <c r="M919" s="275"/>
      <c r="N919" s="275"/>
    </row>
    <row r="920">
      <c r="B920" s="275"/>
      <c r="C920" s="275"/>
      <c r="D920" s="275"/>
      <c r="E920" s="275"/>
      <c r="F920" s="275"/>
      <c r="G920" s="275"/>
      <c r="H920" s="275"/>
      <c r="I920" s="275"/>
      <c r="J920" s="275"/>
      <c r="K920" s="275"/>
      <c r="L920" s="275"/>
      <c r="M920" s="275"/>
      <c r="N920" s="275"/>
    </row>
    <row r="921">
      <c r="B921" s="275"/>
      <c r="C921" s="275"/>
      <c r="D921" s="275"/>
      <c r="E921" s="275"/>
      <c r="F921" s="275"/>
      <c r="G921" s="275"/>
      <c r="H921" s="275"/>
      <c r="I921" s="275"/>
      <c r="J921" s="275"/>
      <c r="K921" s="275"/>
      <c r="L921" s="275"/>
      <c r="M921" s="275"/>
      <c r="N921" s="275"/>
    </row>
    <row r="922">
      <c r="B922" s="275"/>
      <c r="C922" s="275"/>
      <c r="D922" s="275"/>
      <c r="E922" s="275"/>
      <c r="F922" s="275"/>
      <c r="G922" s="275"/>
      <c r="H922" s="275"/>
      <c r="I922" s="275"/>
      <c r="J922" s="275"/>
      <c r="K922" s="275"/>
      <c r="L922" s="275"/>
      <c r="M922" s="275"/>
      <c r="N922" s="275"/>
    </row>
    <row r="923">
      <c r="B923" s="275"/>
      <c r="C923" s="275"/>
      <c r="D923" s="275"/>
      <c r="E923" s="275"/>
      <c r="F923" s="275"/>
      <c r="G923" s="275"/>
      <c r="H923" s="275"/>
      <c r="I923" s="275"/>
      <c r="J923" s="275"/>
      <c r="K923" s="275"/>
      <c r="L923" s="275"/>
      <c r="M923" s="275"/>
      <c r="N923" s="275"/>
    </row>
    <row r="924">
      <c r="B924" s="275"/>
      <c r="C924" s="275"/>
      <c r="D924" s="275"/>
      <c r="E924" s="275"/>
      <c r="F924" s="275"/>
      <c r="G924" s="275"/>
      <c r="H924" s="275"/>
      <c r="I924" s="275"/>
      <c r="J924" s="275"/>
      <c r="K924" s="275"/>
      <c r="L924" s="275"/>
      <c r="M924" s="275"/>
      <c r="N924" s="275"/>
    </row>
    <row r="925">
      <c r="B925" s="275"/>
      <c r="C925" s="275"/>
      <c r="D925" s="275"/>
      <c r="E925" s="275"/>
      <c r="F925" s="275"/>
      <c r="G925" s="275"/>
      <c r="H925" s="275"/>
      <c r="I925" s="275"/>
      <c r="J925" s="275"/>
      <c r="K925" s="275"/>
      <c r="L925" s="275"/>
      <c r="M925" s="275"/>
      <c r="N925" s="275"/>
    </row>
    <row r="926">
      <c r="B926" s="275"/>
      <c r="C926" s="275"/>
      <c r="D926" s="275"/>
      <c r="E926" s="275"/>
      <c r="F926" s="275"/>
      <c r="G926" s="275"/>
      <c r="H926" s="275"/>
      <c r="I926" s="275"/>
      <c r="J926" s="275"/>
      <c r="K926" s="275"/>
      <c r="L926" s="275"/>
      <c r="M926" s="275"/>
      <c r="N926" s="275"/>
    </row>
    <row r="927">
      <c r="B927" s="275"/>
      <c r="C927" s="275"/>
      <c r="D927" s="275"/>
      <c r="E927" s="275"/>
      <c r="F927" s="275"/>
      <c r="G927" s="275"/>
      <c r="H927" s="275"/>
      <c r="I927" s="275"/>
      <c r="J927" s="275"/>
      <c r="K927" s="275"/>
      <c r="L927" s="275"/>
      <c r="M927" s="275"/>
      <c r="N927" s="275"/>
    </row>
    <row r="928">
      <c r="B928" s="275"/>
      <c r="C928" s="275"/>
      <c r="D928" s="275"/>
      <c r="E928" s="275"/>
      <c r="F928" s="275"/>
      <c r="G928" s="275"/>
      <c r="H928" s="275"/>
      <c r="I928" s="275"/>
      <c r="J928" s="275"/>
      <c r="K928" s="275"/>
      <c r="L928" s="275"/>
      <c r="M928" s="275"/>
      <c r="N928" s="275"/>
    </row>
    <row r="929">
      <c r="B929" s="275"/>
      <c r="C929" s="275"/>
      <c r="D929" s="275"/>
      <c r="E929" s="275"/>
      <c r="F929" s="275"/>
      <c r="G929" s="275"/>
      <c r="H929" s="275"/>
      <c r="I929" s="275"/>
      <c r="J929" s="275"/>
      <c r="K929" s="275"/>
      <c r="L929" s="275"/>
      <c r="M929" s="275"/>
      <c r="N929" s="275"/>
    </row>
    <row r="930">
      <c r="B930" s="275"/>
      <c r="C930" s="275"/>
      <c r="D930" s="275"/>
      <c r="E930" s="275"/>
      <c r="F930" s="275"/>
      <c r="G930" s="275"/>
      <c r="H930" s="275"/>
      <c r="I930" s="275"/>
      <c r="J930" s="275"/>
      <c r="K930" s="275"/>
      <c r="L930" s="275"/>
      <c r="M930" s="275"/>
      <c r="N930" s="275"/>
    </row>
    <row r="931">
      <c r="B931" s="275"/>
      <c r="C931" s="275"/>
      <c r="D931" s="275"/>
      <c r="E931" s="275"/>
      <c r="F931" s="275"/>
      <c r="G931" s="275"/>
      <c r="H931" s="275"/>
      <c r="I931" s="275"/>
      <c r="J931" s="275"/>
      <c r="K931" s="275"/>
      <c r="L931" s="275"/>
      <c r="M931" s="275"/>
      <c r="N931" s="275"/>
    </row>
    <row r="932">
      <c r="B932" s="275"/>
      <c r="C932" s="275"/>
      <c r="D932" s="275"/>
      <c r="E932" s="275"/>
      <c r="F932" s="275"/>
      <c r="G932" s="275"/>
      <c r="H932" s="275"/>
      <c r="I932" s="275"/>
      <c r="J932" s="275"/>
      <c r="K932" s="275"/>
      <c r="L932" s="275"/>
      <c r="M932" s="275"/>
      <c r="N932" s="275"/>
    </row>
    <row r="933">
      <c r="B933" s="275"/>
      <c r="C933" s="275"/>
      <c r="D933" s="275"/>
      <c r="E933" s="275"/>
      <c r="F933" s="275"/>
      <c r="G933" s="275"/>
      <c r="H933" s="275"/>
      <c r="I933" s="275"/>
      <c r="J933" s="275"/>
      <c r="K933" s="275"/>
      <c r="L933" s="275"/>
      <c r="M933" s="275"/>
      <c r="N933" s="275"/>
    </row>
    <row r="934">
      <c r="B934" s="275"/>
      <c r="C934" s="275"/>
      <c r="D934" s="275"/>
      <c r="E934" s="275"/>
      <c r="F934" s="275"/>
      <c r="G934" s="275"/>
      <c r="H934" s="275"/>
      <c r="I934" s="275"/>
      <c r="J934" s="275"/>
      <c r="K934" s="275"/>
      <c r="L934" s="275"/>
      <c r="M934" s="275"/>
      <c r="N934" s="275"/>
    </row>
    <row r="935">
      <c r="B935" s="275"/>
      <c r="C935" s="275"/>
      <c r="D935" s="275"/>
      <c r="E935" s="275"/>
      <c r="F935" s="275"/>
      <c r="G935" s="275"/>
      <c r="H935" s="275"/>
      <c r="I935" s="275"/>
      <c r="J935" s="275"/>
      <c r="K935" s="275"/>
      <c r="L935" s="275"/>
      <c r="M935" s="275"/>
      <c r="N935" s="275"/>
    </row>
    <row r="936">
      <c r="B936" s="275"/>
      <c r="C936" s="275"/>
      <c r="D936" s="275"/>
      <c r="E936" s="275"/>
      <c r="F936" s="275"/>
      <c r="G936" s="275"/>
      <c r="H936" s="275"/>
      <c r="I936" s="275"/>
      <c r="J936" s="275"/>
      <c r="K936" s="275"/>
      <c r="L936" s="275"/>
      <c r="M936" s="275"/>
      <c r="N936" s="275"/>
    </row>
    <row r="937">
      <c r="B937" s="275"/>
      <c r="C937" s="275"/>
      <c r="D937" s="275"/>
      <c r="E937" s="275"/>
      <c r="F937" s="275"/>
      <c r="G937" s="275"/>
      <c r="H937" s="275"/>
      <c r="I937" s="275"/>
      <c r="J937" s="275"/>
      <c r="K937" s="275"/>
      <c r="L937" s="275"/>
      <c r="M937" s="275"/>
      <c r="N937" s="275"/>
    </row>
    <row r="938">
      <c r="B938" s="275"/>
      <c r="C938" s="275"/>
      <c r="D938" s="275"/>
      <c r="E938" s="275"/>
      <c r="F938" s="275"/>
      <c r="G938" s="275"/>
      <c r="H938" s="275"/>
      <c r="I938" s="275"/>
      <c r="J938" s="275"/>
      <c r="K938" s="275"/>
      <c r="L938" s="275"/>
      <c r="M938" s="275"/>
      <c r="N938" s="275"/>
    </row>
    <row r="939">
      <c r="B939" s="275"/>
      <c r="C939" s="275"/>
      <c r="D939" s="275"/>
      <c r="E939" s="275"/>
      <c r="F939" s="275"/>
      <c r="G939" s="275"/>
      <c r="H939" s="275"/>
      <c r="I939" s="275"/>
      <c r="J939" s="275"/>
      <c r="K939" s="275"/>
      <c r="L939" s="275"/>
      <c r="M939" s="275"/>
      <c r="N939" s="275"/>
    </row>
    <row r="940">
      <c r="B940" s="275"/>
      <c r="C940" s="275"/>
      <c r="D940" s="275"/>
      <c r="E940" s="275"/>
      <c r="F940" s="275"/>
      <c r="G940" s="275"/>
      <c r="H940" s="275"/>
      <c r="I940" s="275"/>
      <c r="J940" s="275"/>
      <c r="K940" s="275"/>
      <c r="L940" s="275"/>
      <c r="M940" s="275"/>
      <c r="N940" s="275"/>
    </row>
    <row r="941">
      <c r="B941" s="275"/>
      <c r="C941" s="275"/>
      <c r="D941" s="275"/>
      <c r="E941" s="275"/>
      <c r="F941" s="275"/>
      <c r="G941" s="275"/>
      <c r="H941" s="275"/>
      <c r="I941" s="275"/>
      <c r="J941" s="275"/>
      <c r="K941" s="275"/>
      <c r="L941" s="275"/>
      <c r="M941" s="275"/>
      <c r="N941" s="275"/>
    </row>
    <row r="942">
      <c r="B942" s="275"/>
      <c r="C942" s="275"/>
      <c r="D942" s="275"/>
      <c r="E942" s="275"/>
      <c r="F942" s="275"/>
      <c r="G942" s="275"/>
      <c r="H942" s="275"/>
      <c r="I942" s="275"/>
      <c r="J942" s="275"/>
      <c r="K942" s="275"/>
      <c r="L942" s="275"/>
      <c r="M942" s="275"/>
      <c r="N942" s="275"/>
    </row>
    <row r="943">
      <c r="B943" s="275"/>
      <c r="C943" s="275"/>
      <c r="D943" s="275"/>
      <c r="E943" s="275"/>
      <c r="F943" s="275"/>
      <c r="G943" s="275"/>
      <c r="H943" s="275"/>
      <c r="I943" s="275"/>
      <c r="J943" s="275"/>
      <c r="K943" s="275"/>
      <c r="L943" s="275"/>
      <c r="M943" s="275"/>
      <c r="N943" s="275"/>
    </row>
    <row r="944">
      <c r="B944" s="275"/>
      <c r="C944" s="275"/>
      <c r="D944" s="275"/>
      <c r="E944" s="275"/>
      <c r="F944" s="275"/>
      <c r="G944" s="275"/>
      <c r="H944" s="275"/>
      <c r="I944" s="275"/>
      <c r="J944" s="275"/>
      <c r="K944" s="275"/>
      <c r="L944" s="275"/>
      <c r="M944" s="275"/>
      <c r="N944" s="275"/>
    </row>
    <row r="945">
      <c r="B945" s="275"/>
      <c r="C945" s="275"/>
      <c r="D945" s="275"/>
      <c r="E945" s="275"/>
      <c r="F945" s="275"/>
      <c r="G945" s="275"/>
      <c r="H945" s="275"/>
      <c r="I945" s="275"/>
      <c r="J945" s="275"/>
      <c r="K945" s="275"/>
      <c r="L945" s="275"/>
      <c r="M945" s="275"/>
      <c r="N945" s="275"/>
    </row>
    <row r="946">
      <c r="B946" s="275"/>
      <c r="C946" s="275"/>
      <c r="D946" s="275"/>
      <c r="E946" s="275"/>
      <c r="F946" s="275"/>
      <c r="G946" s="275"/>
      <c r="H946" s="275"/>
      <c r="I946" s="275"/>
      <c r="J946" s="275"/>
      <c r="K946" s="275"/>
      <c r="L946" s="275"/>
      <c r="M946" s="275"/>
      <c r="N946" s="275"/>
    </row>
    <row r="947">
      <c r="B947" s="275"/>
      <c r="C947" s="275"/>
      <c r="D947" s="275"/>
      <c r="E947" s="275"/>
      <c r="F947" s="275"/>
      <c r="G947" s="275"/>
      <c r="H947" s="275"/>
      <c r="I947" s="275"/>
      <c r="J947" s="275"/>
      <c r="K947" s="275"/>
      <c r="L947" s="275"/>
      <c r="M947" s="275"/>
      <c r="N947" s="275"/>
    </row>
    <row r="948">
      <c r="B948" s="275"/>
      <c r="C948" s="275"/>
      <c r="D948" s="275"/>
      <c r="E948" s="275"/>
      <c r="F948" s="275"/>
      <c r="G948" s="275"/>
      <c r="H948" s="275"/>
      <c r="I948" s="275"/>
      <c r="J948" s="275"/>
      <c r="K948" s="275"/>
      <c r="L948" s="275"/>
      <c r="M948" s="275"/>
      <c r="N948" s="275"/>
    </row>
    <row r="949">
      <c r="B949" s="275"/>
      <c r="C949" s="275"/>
      <c r="D949" s="275"/>
      <c r="E949" s="275"/>
      <c r="F949" s="275"/>
      <c r="G949" s="275"/>
      <c r="H949" s="275"/>
      <c r="I949" s="275"/>
      <c r="J949" s="275"/>
      <c r="K949" s="275"/>
      <c r="L949" s="275"/>
      <c r="M949" s="275"/>
      <c r="N949" s="275"/>
    </row>
    <row r="950">
      <c r="B950" s="275"/>
      <c r="C950" s="275"/>
      <c r="D950" s="275"/>
      <c r="E950" s="275"/>
      <c r="F950" s="275"/>
      <c r="G950" s="275"/>
      <c r="H950" s="275"/>
      <c r="I950" s="275"/>
      <c r="J950" s="275"/>
      <c r="K950" s="275"/>
      <c r="L950" s="275"/>
      <c r="M950" s="275"/>
      <c r="N950" s="275"/>
    </row>
    <row r="951">
      <c r="B951" s="275"/>
      <c r="C951" s="275"/>
      <c r="D951" s="275"/>
      <c r="E951" s="275"/>
      <c r="F951" s="275"/>
      <c r="G951" s="275"/>
      <c r="H951" s="275"/>
      <c r="I951" s="275"/>
      <c r="J951" s="275"/>
      <c r="K951" s="275"/>
      <c r="L951" s="275"/>
      <c r="M951" s="275"/>
      <c r="N951" s="275"/>
    </row>
    <row r="952">
      <c r="B952" s="275"/>
      <c r="C952" s="275"/>
      <c r="D952" s="275"/>
      <c r="E952" s="275"/>
      <c r="F952" s="275"/>
      <c r="G952" s="275"/>
      <c r="H952" s="275"/>
      <c r="I952" s="275"/>
      <c r="J952" s="275"/>
      <c r="K952" s="275"/>
      <c r="L952" s="275"/>
      <c r="M952" s="275"/>
      <c r="N952" s="275"/>
    </row>
    <row r="953">
      <c r="B953" s="275"/>
      <c r="C953" s="275"/>
      <c r="D953" s="275"/>
      <c r="E953" s="275"/>
      <c r="F953" s="275"/>
      <c r="G953" s="275"/>
      <c r="H953" s="275"/>
      <c r="I953" s="275"/>
      <c r="J953" s="275"/>
      <c r="K953" s="275"/>
      <c r="L953" s="275"/>
      <c r="M953" s="275"/>
      <c r="N953" s="275"/>
    </row>
    <row r="954">
      <c r="B954" s="275"/>
      <c r="C954" s="275"/>
      <c r="D954" s="275"/>
      <c r="E954" s="275"/>
      <c r="F954" s="275"/>
      <c r="G954" s="275"/>
      <c r="H954" s="275"/>
      <c r="I954" s="275"/>
      <c r="J954" s="275"/>
      <c r="K954" s="275"/>
      <c r="L954" s="275"/>
      <c r="M954" s="275"/>
      <c r="N954" s="275"/>
    </row>
    <row r="955">
      <c r="B955" s="275"/>
      <c r="C955" s="275"/>
      <c r="D955" s="275"/>
      <c r="E955" s="275"/>
      <c r="F955" s="275"/>
      <c r="G955" s="275"/>
      <c r="H955" s="275"/>
      <c r="I955" s="275"/>
      <c r="J955" s="275"/>
      <c r="K955" s="275"/>
      <c r="L955" s="275"/>
      <c r="M955" s="275"/>
      <c r="N955" s="275"/>
    </row>
    <row r="956">
      <c r="B956" s="275"/>
      <c r="C956" s="275"/>
      <c r="D956" s="275"/>
      <c r="E956" s="275"/>
      <c r="F956" s="275"/>
      <c r="G956" s="275"/>
      <c r="H956" s="275"/>
      <c r="I956" s="275"/>
      <c r="J956" s="275"/>
      <c r="K956" s="275"/>
      <c r="L956" s="275"/>
      <c r="M956" s="275"/>
      <c r="N956" s="275"/>
    </row>
    <row r="957">
      <c r="B957" s="275"/>
      <c r="C957" s="275"/>
      <c r="D957" s="275"/>
      <c r="E957" s="275"/>
      <c r="F957" s="275"/>
      <c r="G957" s="275"/>
      <c r="H957" s="275"/>
      <c r="I957" s="275"/>
      <c r="J957" s="275"/>
      <c r="K957" s="275"/>
      <c r="L957" s="275"/>
      <c r="M957" s="275"/>
      <c r="N957" s="275"/>
    </row>
    <row r="958">
      <c r="B958" s="275"/>
      <c r="C958" s="275"/>
      <c r="D958" s="275"/>
      <c r="E958" s="275"/>
      <c r="F958" s="275"/>
      <c r="G958" s="275"/>
      <c r="H958" s="275"/>
      <c r="I958" s="275"/>
      <c r="J958" s="275"/>
      <c r="K958" s="275"/>
      <c r="L958" s="275"/>
      <c r="M958" s="275"/>
      <c r="N958" s="275"/>
    </row>
    <row r="959">
      <c r="B959" s="275"/>
      <c r="C959" s="275"/>
      <c r="D959" s="275"/>
      <c r="E959" s="275"/>
      <c r="F959" s="275"/>
      <c r="G959" s="275"/>
      <c r="H959" s="275"/>
      <c r="I959" s="275"/>
      <c r="J959" s="275"/>
      <c r="K959" s="275"/>
      <c r="L959" s="275"/>
      <c r="M959" s="275"/>
      <c r="N959" s="275"/>
    </row>
    <row r="960">
      <c r="B960" s="275"/>
      <c r="C960" s="275"/>
      <c r="D960" s="275"/>
      <c r="E960" s="275"/>
      <c r="F960" s="275"/>
      <c r="G960" s="275"/>
      <c r="H960" s="275"/>
      <c r="I960" s="275"/>
      <c r="J960" s="275"/>
      <c r="K960" s="275"/>
      <c r="L960" s="275"/>
      <c r="M960" s="275"/>
      <c r="N960" s="275"/>
    </row>
    <row r="961">
      <c r="B961" s="275"/>
      <c r="C961" s="275"/>
      <c r="D961" s="275"/>
      <c r="E961" s="275"/>
      <c r="F961" s="275"/>
      <c r="G961" s="275"/>
      <c r="H961" s="275"/>
      <c r="I961" s="275"/>
      <c r="J961" s="275"/>
      <c r="K961" s="275"/>
      <c r="L961" s="275"/>
      <c r="M961" s="275"/>
      <c r="N961" s="275"/>
    </row>
    <row r="962">
      <c r="B962" s="275"/>
      <c r="C962" s="275"/>
      <c r="D962" s="275"/>
      <c r="E962" s="275"/>
      <c r="F962" s="275"/>
      <c r="G962" s="275"/>
      <c r="H962" s="275"/>
      <c r="I962" s="275"/>
      <c r="J962" s="275"/>
      <c r="K962" s="275"/>
      <c r="L962" s="275"/>
      <c r="M962" s="275"/>
      <c r="N962" s="275"/>
    </row>
    <row r="963">
      <c r="B963" s="275"/>
      <c r="C963" s="275"/>
      <c r="D963" s="275"/>
      <c r="E963" s="275"/>
      <c r="F963" s="275"/>
      <c r="G963" s="275"/>
      <c r="H963" s="275"/>
      <c r="I963" s="275"/>
      <c r="J963" s="275"/>
      <c r="K963" s="275"/>
      <c r="L963" s="275"/>
      <c r="M963" s="275"/>
      <c r="N963" s="275"/>
    </row>
    <row r="964">
      <c r="B964" s="275"/>
      <c r="C964" s="275"/>
      <c r="D964" s="275"/>
      <c r="E964" s="275"/>
      <c r="F964" s="275"/>
      <c r="G964" s="275"/>
      <c r="H964" s="275"/>
      <c r="I964" s="275"/>
      <c r="J964" s="275"/>
      <c r="K964" s="275"/>
      <c r="L964" s="275"/>
      <c r="M964" s="275"/>
      <c r="N964" s="275"/>
    </row>
    <row r="965">
      <c r="B965" s="275"/>
      <c r="C965" s="275"/>
      <c r="D965" s="275"/>
      <c r="E965" s="275"/>
      <c r="F965" s="275"/>
      <c r="G965" s="275"/>
      <c r="H965" s="275"/>
      <c r="I965" s="275"/>
      <c r="J965" s="275"/>
      <c r="K965" s="275"/>
      <c r="L965" s="275"/>
      <c r="M965" s="275"/>
      <c r="N965" s="275"/>
    </row>
    <row r="966">
      <c r="B966" s="275"/>
      <c r="C966" s="275"/>
      <c r="D966" s="275"/>
      <c r="E966" s="275"/>
      <c r="F966" s="275"/>
      <c r="G966" s="275"/>
      <c r="H966" s="275"/>
      <c r="I966" s="275"/>
      <c r="J966" s="275"/>
      <c r="K966" s="275"/>
      <c r="L966" s="275"/>
      <c r="M966" s="275"/>
      <c r="N966" s="275"/>
    </row>
    <row r="967">
      <c r="B967" s="275"/>
      <c r="C967" s="275"/>
      <c r="D967" s="275"/>
      <c r="E967" s="275"/>
      <c r="F967" s="275"/>
      <c r="G967" s="275"/>
      <c r="H967" s="275"/>
      <c r="I967" s="275"/>
      <c r="J967" s="275"/>
      <c r="K967" s="275"/>
      <c r="L967" s="275"/>
      <c r="M967" s="275"/>
      <c r="N967" s="275"/>
    </row>
    <row r="968">
      <c r="B968" s="275"/>
      <c r="C968" s="275"/>
      <c r="D968" s="275"/>
      <c r="E968" s="275"/>
      <c r="F968" s="275"/>
      <c r="G968" s="275"/>
      <c r="H968" s="275"/>
      <c r="I968" s="275"/>
      <c r="J968" s="275"/>
      <c r="K968" s="275"/>
      <c r="L968" s="275"/>
      <c r="M968" s="275"/>
      <c r="N968" s="275"/>
    </row>
    <row r="969">
      <c r="B969" s="275"/>
      <c r="C969" s="275"/>
      <c r="D969" s="275"/>
      <c r="E969" s="275"/>
      <c r="F969" s="275"/>
      <c r="G969" s="275"/>
      <c r="H969" s="275"/>
      <c r="I969" s="275"/>
      <c r="J969" s="275"/>
      <c r="K969" s="275"/>
      <c r="L969" s="275"/>
      <c r="M969" s="275"/>
      <c r="N969" s="275"/>
    </row>
    <row r="970">
      <c r="B970" s="275"/>
      <c r="C970" s="275"/>
      <c r="D970" s="275"/>
      <c r="E970" s="275"/>
      <c r="F970" s="275"/>
      <c r="G970" s="275"/>
      <c r="H970" s="275"/>
      <c r="I970" s="275"/>
      <c r="J970" s="275"/>
      <c r="K970" s="275"/>
      <c r="L970" s="275"/>
      <c r="M970" s="275"/>
      <c r="N970" s="275"/>
    </row>
    <row r="971">
      <c r="B971" s="275"/>
      <c r="C971" s="275"/>
      <c r="D971" s="275"/>
      <c r="E971" s="275"/>
      <c r="F971" s="275"/>
      <c r="G971" s="275"/>
      <c r="H971" s="275"/>
      <c r="I971" s="275"/>
      <c r="J971" s="275"/>
      <c r="K971" s="275"/>
      <c r="L971" s="275"/>
      <c r="M971" s="275"/>
      <c r="N971" s="275"/>
    </row>
    <row r="972">
      <c r="B972" s="275"/>
      <c r="C972" s="275"/>
      <c r="D972" s="275"/>
      <c r="E972" s="275"/>
      <c r="F972" s="275"/>
      <c r="G972" s="275"/>
      <c r="H972" s="275"/>
      <c r="I972" s="275"/>
      <c r="J972" s="275"/>
      <c r="K972" s="275"/>
      <c r="L972" s="275"/>
      <c r="M972" s="275"/>
      <c r="N972" s="275"/>
    </row>
    <row r="973">
      <c r="B973" s="275"/>
      <c r="C973" s="275"/>
      <c r="D973" s="275"/>
      <c r="E973" s="275"/>
      <c r="F973" s="275"/>
      <c r="G973" s="275"/>
      <c r="H973" s="275"/>
      <c r="I973" s="275"/>
      <c r="J973" s="275"/>
      <c r="K973" s="275"/>
      <c r="L973" s="275"/>
      <c r="M973" s="275"/>
      <c r="N973" s="275"/>
    </row>
    <row r="974">
      <c r="B974" s="275"/>
      <c r="C974" s="275"/>
      <c r="D974" s="275"/>
      <c r="E974" s="275"/>
      <c r="F974" s="275"/>
      <c r="G974" s="275"/>
      <c r="H974" s="275"/>
      <c r="I974" s="275"/>
      <c r="J974" s="275"/>
      <c r="K974" s="275"/>
      <c r="L974" s="275"/>
      <c r="M974" s="275"/>
      <c r="N974" s="275"/>
    </row>
    <row r="975">
      <c r="B975" s="275"/>
      <c r="C975" s="275"/>
      <c r="D975" s="275"/>
      <c r="E975" s="275"/>
      <c r="F975" s="275"/>
      <c r="G975" s="275"/>
      <c r="H975" s="275"/>
      <c r="I975" s="275"/>
      <c r="J975" s="275"/>
      <c r="K975" s="275"/>
      <c r="L975" s="275"/>
      <c r="M975" s="275"/>
      <c r="N975" s="275"/>
    </row>
    <row r="976">
      <c r="B976" s="275"/>
      <c r="C976" s="275"/>
      <c r="D976" s="275"/>
      <c r="E976" s="275"/>
      <c r="F976" s="275"/>
      <c r="G976" s="275"/>
      <c r="H976" s="275"/>
      <c r="I976" s="275"/>
      <c r="J976" s="275"/>
      <c r="K976" s="275"/>
      <c r="L976" s="275"/>
      <c r="M976" s="275"/>
      <c r="N976" s="275"/>
    </row>
    <row r="977">
      <c r="B977" s="275"/>
      <c r="C977" s="275"/>
      <c r="D977" s="275"/>
      <c r="E977" s="275"/>
      <c r="F977" s="275"/>
      <c r="G977" s="275"/>
      <c r="H977" s="275"/>
      <c r="I977" s="275"/>
      <c r="J977" s="275"/>
      <c r="K977" s="275"/>
      <c r="L977" s="275"/>
      <c r="M977" s="275"/>
      <c r="N977" s="275"/>
    </row>
    <row r="978">
      <c r="B978" s="275"/>
      <c r="C978" s="275"/>
      <c r="D978" s="275"/>
      <c r="E978" s="275"/>
      <c r="F978" s="275"/>
      <c r="G978" s="275"/>
      <c r="H978" s="275"/>
      <c r="I978" s="275"/>
      <c r="J978" s="275"/>
      <c r="K978" s="275"/>
      <c r="L978" s="275"/>
      <c r="M978" s="275"/>
      <c r="N978" s="275"/>
    </row>
    <row r="979">
      <c r="B979" s="275"/>
      <c r="C979" s="275"/>
      <c r="D979" s="275"/>
      <c r="E979" s="275"/>
      <c r="F979" s="275"/>
      <c r="G979" s="275"/>
      <c r="H979" s="275"/>
      <c r="I979" s="275"/>
      <c r="J979" s="275"/>
      <c r="K979" s="275"/>
      <c r="L979" s="275"/>
      <c r="M979" s="275"/>
      <c r="N979" s="275"/>
    </row>
    <row r="980">
      <c r="B980" s="275"/>
      <c r="C980" s="275"/>
      <c r="D980" s="275"/>
      <c r="E980" s="275"/>
      <c r="F980" s="275"/>
      <c r="G980" s="275"/>
      <c r="H980" s="275"/>
      <c r="I980" s="275"/>
      <c r="J980" s="275"/>
      <c r="K980" s="275"/>
      <c r="L980" s="275"/>
      <c r="M980" s="275"/>
      <c r="N980" s="275"/>
    </row>
    <row r="981">
      <c r="B981" s="275"/>
      <c r="C981" s="275"/>
      <c r="D981" s="275"/>
      <c r="E981" s="275"/>
      <c r="F981" s="275"/>
      <c r="G981" s="275"/>
      <c r="H981" s="275"/>
      <c r="I981" s="275"/>
      <c r="J981" s="275"/>
      <c r="K981" s="275"/>
      <c r="L981" s="275"/>
      <c r="M981" s="275"/>
      <c r="N981" s="275"/>
    </row>
    <row r="982">
      <c r="B982" s="275"/>
      <c r="C982" s="275"/>
      <c r="D982" s="275"/>
      <c r="E982" s="275"/>
      <c r="F982" s="275"/>
      <c r="G982" s="275"/>
      <c r="H982" s="275"/>
      <c r="I982" s="275"/>
      <c r="J982" s="275"/>
      <c r="K982" s="275"/>
      <c r="L982" s="275"/>
      <c r="M982" s="275"/>
      <c r="N982" s="275"/>
    </row>
    <row r="983">
      <c r="B983" s="275"/>
      <c r="C983" s="275"/>
      <c r="D983" s="275"/>
      <c r="E983" s="275"/>
      <c r="F983" s="275"/>
      <c r="G983" s="275"/>
      <c r="H983" s="275"/>
      <c r="I983" s="275"/>
      <c r="J983" s="275"/>
      <c r="K983" s="275"/>
      <c r="L983" s="275"/>
      <c r="M983" s="275"/>
      <c r="N983" s="275"/>
    </row>
    <row r="984">
      <c r="B984" s="275"/>
      <c r="C984" s="275"/>
      <c r="D984" s="275"/>
      <c r="E984" s="275"/>
      <c r="F984" s="275"/>
      <c r="G984" s="275"/>
      <c r="H984" s="275"/>
      <c r="I984" s="275"/>
      <c r="J984" s="275"/>
      <c r="K984" s="275"/>
      <c r="L984" s="275"/>
      <c r="M984" s="275"/>
      <c r="N984" s="275"/>
    </row>
    <row r="985">
      <c r="B985" s="275"/>
      <c r="C985" s="275"/>
      <c r="D985" s="275"/>
      <c r="E985" s="275"/>
      <c r="F985" s="275"/>
      <c r="G985" s="275"/>
      <c r="H985" s="275"/>
      <c r="I985" s="275"/>
      <c r="J985" s="275"/>
      <c r="K985" s="275"/>
      <c r="L985" s="275"/>
      <c r="M985" s="275"/>
      <c r="N985" s="275"/>
    </row>
    <row r="986">
      <c r="B986" s="275"/>
      <c r="C986" s="275"/>
      <c r="D986" s="275"/>
      <c r="E986" s="275"/>
      <c r="F986" s="275"/>
      <c r="G986" s="275"/>
      <c r="H986" s="275"/>
      <c r="I986" s="275"/>
      <c r="J986" s="275"/>
      <c r="K986" s="275"/>
      <c r="L986" s="275"/>
      <c r="M986" s="275"/>
      <c r="N986" s="275"/>
    </row>
    <row r="987">
      <c r="B987" s="275"/>
      <c r="C987" s="275"/>
      <c r="D987" s="275"/>
      <c r="E987" s="275"/>
      <c r="F987" s="275"/>
      <c r="G987" s="275"/>
      <c r="H987" s="275"/>
      <c r="I987" s="275"/>
      <c r="J987" s="275"/>
      <c r="K987" s="275"/>
      <c r="L987" s="275"/>
      <c r="M987" s="275"/>
      <c r="N987" s="275"/>
    </row>
    <row r="988">
      <c r="B988" s="275"/>
      <c r="C988" s="275"/>
      <c r="D988" s="275"/>
      <c r="E988" s="275"/>
      <c r="F988" s="275"/>
      <c r="G988" s="275"/>
      <c r="H988" s="275"/>
      <c r="I988" s="275"/>
      <c r="J988" s="275"/>
      <c r="K988" s="275"/>
      <c r="L988" s="275"/>
      <c r="M988" s="275"/>
      <c r="N988" s="275"/>
    </row>
    <row r="989">
      <c r="B989" s="275"/>
      <c r="C989" s="275"/>
      <c r="D989" s="275"/>
      <c r="E989" s="275"/>
      <c r="F989" s="275"/>
      <c r="G989" s="275"/>
      <c r="H989" s="275"/>
      <c r="I989" s="275"/>
      <c r="J989" s="275"/>
      <c r="K989" s="275"/>
      <c r="L989" s="275"/>
      <c r="M989" s="275"/>
      <c r="N989" s="275"/>
    </row>
    <row r="990">
      <c r="B990" s="275"/>
      <c r="C990" s="275"/>
      <c r="D990" s="275"/>
      <c r="E990" s="275"/>
      <c r="F990" s="275"/>
      <c r="G990" s="275"/>
      <c r="H990" s="275"/>
      <c r="I990" s="275"/>
      <c r="J990" s="275"/>
      <c r="K990" s="275"/>
      <c r="L990" s="275"/>
      <c r="M990" s="275"/>
      <c r="N990" s="275"/>
    </row>
    <row r="991">
      <c r="B991" s="275"/>
      <c r="C991" s="275"/>
      <c r="D991" s="275"/>
      <c r="E991" s="275"/>
      <c r="F991" s="275"/>
      <c r="G991" s="275"/>
      <c r="H991" s="275"/>
      <c r="I991" s="275"/>
      <c r="J991" s="275"/>
      <c r="K991" s="275"/>
      <c r="L991" s="275"/>
      <c r="M991" s="275"/>
      <c r="N991" s="275"/>
    </row>
    <row r="992">
      <c r="B992" s="275"/>
      <c r="C992" s="275"/>
      <c r="D992" s="275"/>
      <c r="E992" s="275"/>
      <c r="F992" s="275"/>
      <c r="G992" s="275"/>
      <c r="H992" s="275"/>
      <c r="I992" s="275"/>
      <c r="J992" s="275"/>
      <c r="K992" s="275"/>
      <c r="L992" s="275"/>
      <c r="M992" s="275"/>
      <c r="N992" s="275"/>
    </row>
    <row r="993">
      <c r="B993" s="275"/>
      <c r="C993" s="275"/>
      <c r="D993" s="275"/>
      <c r="E993" s="275"/>
      <c r="F993" s="275"/>
      <c r="G993" s="275"/>
      <c r="H993" s="275"/>
      <c r="I993" s="275"/>
      <c r="J993" s="275"/>
      <c r="K993" s="275"/>
      <c r="L993" s="275"/>
      <c r="M993" s="275"/>
      <c r="N993" s="275"/>
    </row>
    <row r="994">
      <c r="B994" s="275"/>
      <c r="C994" s="275"/>
      <c r="D994" s="275"/>
      <c r="E994" s="275"/>
      <c r="F994" s="275"/>
      <c r="G994" s="275"/>
      <c r="H994" s="275"/>
      <c r="I994" s="275"/>
      <c r="J994" s="275"/>
      <c r="K994" s="275"/>
      <c r="L994" s="275"/>
      <c r="M994" s="275"/>
      <c r="N994" s="275"/>
    </row>
    <row r="995">
      <c r="B995" s="275"/>
      <c r="C995" s="275"/>
      <c r="D995" s="275"/>
      <c r="E995" s="275"/>
      <c r="F995" s="275"/>
      <c r="G995" s="275"/>
      <c r="H995" s="275"/>
      <c r="I995" s="275"/>
      <c r="J995" s="275"/>
      <c r="K995" s="275"/>
      <c r="L995" s="275"/>
      <c r="M995" s="275"/>
      <c r="N995" s="275"/>
    </row>
    <row r="996">
      <c r="B996" s="275"/>
      <c r="C996" s="275"/>
      <c r="D996" s="275"/>
      <c r="E996" s="275"/>
      <c r="F996" s="275"/>
      <c r="G996" s="275"/>
      <c r="H996" s="275"/>
      <c r="I996" s="275"/>
      <c r="J996" s="275"/>
      <c r="K996" s="275"/>
      <c r="L996" s="275"/>
      <c r="M996" s="275"/>
      <c r="N996" s="275"/>
    </row>
    <row r="997">
      <c r="B997" s="275"/>
      <c r="C997" s="275"/>
      <c r="D997" s="275"/>
      <c r="E997" s="275"/>
      <c r="F997" s="275"/>
      <c r="G997" s="275"/>
      <c r="H997" s="275"/>
      <c r="I997" s="275"/>
      <c r="J997" s="275"/>
      <c r="K997" s="275"/>
      <c r="L997" s="275"/>
      <c r="M997" s="275"/>
      <c r="N997" s="275"/>
    </row>
    <row r="998">
      <c r="B998" s="275"/>
      <c r="C998" s="275"/>
      <c r="D998" s="275"/>
      <c r="E998" s="275"/>
      <c r="F998" s="275"/>
      <c r="G998" s="275"/>
      <c r="H998" s="275"/>
      <c r="I998" s="275"/>
      <c r="J998" s="275"/>
      <c r="K998" s="275"/>
      <c r="L998" s="275"/>
      <c r="M998" s="275"/>
      <c r="N998" s="275"/>
    </row>
    <row r="999">
      <c r="B999" s="275"/>
      <c r="C999" s="275"/>
      <c r="D999" s="275"/>
      <c r="E999" s="275"/>
      <c r="F999" s="275"/>
      <c r="G999" s="275"/>
      <c r="H999" s="275"/>
      <c r="I999" s="275"/>
      <c r="J999" s="275"/>
      <c r="K999" s="275"/>
      <c r="L999" s="275"/>
      <c r="M999" s="275"/>
      <c r="N999" s="275"/>
    </row>
    <row r="1000">
      <c r="B1000" s="275"/>
      <c r="C1000" s="275"/>
      <c r="D1000" s="275"/>
      <c r="E1000" s="275"/>
      <c r="F1000" s="275"/>
      <c r="G1000" s="275"/>
      <c r="H1000" s="275"/>
      <c r="I1000" s="275"/>
      <c r="J1000" s="275"/>
      <c r="K1000" s="275"/>
      <c r="L1000" s="275"/>
      <c r="M1000" s="275"/>
      <c r="N1000" s="275"/>
    </row>
    <row r="1001">
      <c r="B1001" s="275"/>
      <c r="C1001" s="275"/>
      <c r="D1001" s="275"/>
      <c r="E1001" s="275"/>
      <c r="F1001" s="275"/>
      <c r="G1001" s="275"/>
      <c r="H1001" s="275"/>
      <c r="I1001" s="275"/>
      <c r="J1001" s="275"/>
      <c r="K1001" s="275"/>
      <c r="L1001" s="275"/>
      <c r="M1001" s="275"/>
      <c r="N1001" s="275"/>
    </row>
  </sheetData>
  <mergeCells count="4">
    <mergeCell ref="B1:K1"/>
    <mergeCell ref="B2:N2"/>
    <mergeCell ref="C9:E9"/>
    <mergeCell ref="C11:E11"/>
  </mergeCells>
  <dataValidations>
    <dataValidation type="list" allowBlank="1" showErrorMessage="1" sqref="M4:M7 E4:E8 E10 E12 I4:I12 M9:M12">
      <formula1>"~+5%,~+10%,~+15%,~+20%,&gt;+20%,~+/-0%,~-5%,~-10%,~-15%,~-20%,&gt;-20%"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7" width="12.63"/>
    <col customWidth="1" min="18" max="18" width="5.0"/>
    <col customWidth="1" min="19" max="19" width="19.75"/>
    <col customWidth="1" min="20" max="20" width="7.63"/>
    <col customWidth="1" min="21" max="21" width="8.13"/>
    <col customWidth="1" min="22" max="22" width="6.63"/>
  </cols>
  <sheetData>
    <row r="1">
      <c r="A1" s="1" t="s">
        <v>129</v>
      </c>
      <c r="B1" s="2"/>
      <c r="C1" s="2"/>
      <c r="D1" s="2"/>
      <c r="E1" s="2"/>
      <c r="F1" s="2"/>
      <c r="G1" s="2"/>
      <c r="H1" s="2"/>
      <c r="I1" s="2"/>
      <c r="J1" s="2"/>
      <c r="K1" s="2"/>
      <c r="L1" s="2"/>
      <c r="M1" s="2"/>
      <c r="N1" s="2"/>
      <c r="O1" s="2"/>
      <c r="P1" s="2"/>
      <c r="Q1" s="2"/>
      <c r="R1" s="3"/>
      <c r="S1" s="4"/>
      <c r="T1" s="4"/>
      <c r="U1" s="4"/>
      <c r="V1" s="4"/>
      <c r="W1" s="4"/>
      <c r="X1" s="4"/>
      <c r="Y1" s="4"/>
      <c r="Z1" s="4"/>
      <c r="AA1" s="4"/>
      <c r="AB1" s="4"/>
      <c r="AC1" s="4"/>
      <c r="AD1" s="4"/>
      <c r="AE1" s="4"/>
      <c r="AF1" s="4"/>
      <c r="AG1" s="4"/>
      <c r="AH1" s="4"/>
      <c r="AI1" s="4"/>
      <c r="AJ1" s="4"/>
      <c r="AK1" s="4"/>
    </row>
    <row r="2">
      <c r="A2" s="5"/>
      <c r="B2" s="6" t="s">
        <v>1</v>
      </c>
      <c r="C2" s="7"/>
      <c r="D2" s="7"/>
      <c r="E2" s="7"/>
      <c r="F2" s="7"/>
      <c r="G2" s="7"/>
      <c r="H2" s="7"/>
      <c r="I2" s="7"/>
      <c r="J2" s="7"/>
      <c r="K2" s="7"/>
      <c r="L2" s="7"/>
      <c r="M2" s="7"/>
      <c r="N2" s="7"/>
      <c r="O2" s="7"/>
      <c r="P2" s="7"/>
      <c r="Q2" s="8"/>
      <c r="R2" s="9"/>
      <c r="S2" s="4"/>
      <c r="T2" s="4"/>
      <c r="U2" s="4"/>
      <c r="V2" s="4"/>
      <c r="W2" s="4"/>
      <c r="X2" s="4"/>
      <c r="Y2" s="4"/>
      <c r="Z2" s="4"/>
      <c r="AA2" s="4"/>
      <c r="AB2" s="4"/>
      <c r="AC2" s="4"/>
      <c r="AD2" s="4"/>
      <c r="AE2" s="4"/>
      <c r="AF2" s="4"/>
      <c r="AG2" s="4"/>
      <c r="AH2" s="4"/>
      <c r="AI2" s="4"/>
      <c r="AJ2" s="4"/>
      <c r="AK2" s="4"/>
    </row>
    <row r="3">
      <c r="A3" s="5"/>
      <c r="B3" s="10" t="s">
        <v>2</v>
      </c>
      <c r="C3" s="11" t="s">
        <v>3</v>
      </c>
      <c r="E3" s="12"/>
      <c r="F3" s="11" t="s">
        <v>4</v>
      </c>
      <c r="H3" s="12"/>
      <c r="I3" s="11" t="s">
        <v>5</v>
      </c>
      <c r="K3" s="12"/>
      <c r="L3" s="11" t="s">
        <v>6</v>
      </c>
      <c r="N3" s="12"/>
      <c r="O3" s="11" t="s">
        <v>7</v>
      </c>
      <c r="Q3" s="13"/>
      <c r="R3" s="9"/>
      <c r="S3" s="4"/>
      <c r="T3" s="4"/>
      <c r="U3" s="4"/>
      <c r="V3" s="4"/>
      <c r="W3" s="4"/>
      <c r="X3" s="4"/>
      <c r="Y3" s="4"/>
      <c r="Z3" s="4"/>
      <c r="AA3" s="4"/>
      <c r="AB3" s="4"/>
      <c r="AC3" s="4"/>
      <c r="AD3" s="4"/>
      <c r="AE3" s="4"/>
      <c r="AF3" s="4"/>
      <c r="AG3" s="4"/>
      <c r="AH3" s="4"/>
      <c r="AI3" s="4"/>
      <c r="AJ3" s="4"/>
      <c r="AK3" s="4"/>
    </row>
    <row r="4">
      <c r="A4" s="5"/>
      <c r="B4" s="14"/>
      <c r="C4" s="313" t="s">
        <v>130</v>
      </c>
      <c r="D4" s="7"/>
      <c r="E4" s="314"/>
      <c r="F4" s="313" t="s">
        <v>130</v>
      </c>
      <c r="G4" s="315" t="s">
        <v>131</v>
      </c>
      <c r="H4" s="17" t="s">
        <v>10</v>
      </c>
      <c r="I4" s="313" t="s">
        <v>130</v>
      </c>
      <c r="J4" s="315" t="s">
        <v>131</v>
      </c>
      <c r="K4" s="17" t="s">
        <v>10</v>
      </c>
      <c r="L4" s="313" t="s">
        <v>130</v>
      </c>
      <c r="M4" s="315" t="s">
        <v>131</v>
      </c>
      <c r="N4" s="17" t="s">
        <v>10</v>
      </c>
      <c r="O4" s="313" t="s">
        <v>130</v>
      </c>
      <c r="P4" s="315" t="s">
        <v>131</v>
      </c>
      <c r="Q4" s="19" t="s">
        <v>10</v>
      </c>
      <c r="R4" s="9"/>
      <c r="S4" s="4"/>
      <c r="T4" s="4"/>
      <c r="U4" s="4"/>
      <c r="V4" s="4"/>
      <c r="W4" s="4"/>
      <c r="X4" s="4"/>
      <c r="Y4" s="4"/>
      <c r="Z4" s="4"/>
      <c r="AA4" s="4"/>
      <c r="AB4" s="4"/>
      <c r="AC4" s="4"/>
      <c r="AD4" s="4"/>
      <c r="AE4" s="4"/>
      <c r="AF4" s="4"/>
      <c r="AG4" s="4"/>
      <c r="AH4" s="4"/>
      <c r="AI4" s="4"/>
      <c r="AJ4" s="4"/>
      <c r="AK4" s="4"/>
    </row>
    <row r="5">
      <c r="A5" s="5"/>
      <c r="B5" s="316" t="s">
        <v>11</v>
      </c>
      <c r="C5" s="317">
        <v>1000.0</v>
      </c>
      <c r="E5" s="127"/>
      <c r="F5" s="318">
        <v>1.6</v>
      </c>
      <c r="G5" s="236">
        <f t="shared" ref="G5:G13" si="1">1.1*F5</f>
        <v>1.76</v>
      </c>
      <c r="H5" s="319">
        <f t="shared" ref="H5:H13" si="2">1.2*F5</f>
        <v>1.92</v>
      </c>
      <c r="I5" s="320">
        <v>4.0</v>
      </c>
      <c r="J5" s="201">
        <f t="shared" ref="J5:J13" si="3">1.1*I5</f>
        <v>4.4</v>
      </c>
      <c r="K5" s="319">
        <f t="shared" ref="K5:K13" si="4">1.2*I5</f>
        <v>4.8</v>
      </c>
      <c r="L5" s="318">
        <v>0.0</v>
      </c>
      <c r="N5" s="127"/>
      <c r="O5" s="321">
        <f t="shared" ref="O5:O10" si="5">L5+I5+F5</f>
        <v>5.6</v>
      </c>
      <c r="P5" s="201">
        <f t="shared" ref="P5:P7" si="6">G5+J5</f>
        <v>6.16</v>
      </c>
      <c r="Q5" s="202">
        <f t="shared" ref="Q5:Q10" si="7">N5+K5+H5</f>
        <v>6.72</v>
      </c>
      <c r="R5" s="9"/>
      <c r="S5" s="4"/>
      <c r="T5" s="4"/>
      <c r="U5" s="4"/>
      <c r="V5" s="4"/>
      <c r="W5" s="4"/>
      <c r="X5" s="4"/>
      <c r="Y5" s="4"/>
      <c r="Z5" s="4"/>
      <c r="AA5" s="4"/>
      <c r="AB5" s="4"/>
      <c r="AC5" s="4"/>
      <c r="AD5" s="4"/>
      <c r="AE5" s="4"/>
      <c r="AF5" s="4"/>
      <c r="AG5" s="4"/>
      <c r="AH5" s="4"/>
      <c r="AI5" s="4"/>
      <c r="AJ5" s="4"/>
      <c r="AK5" s="4"/>
    </row>
    <row r="6">
      <c r="A6" s="5"/>
      <c r="B6" s="322" t="s">
        <v>12</v>
      </c>
      <c r="C6" s="323">
        <v>770.0</v>
      </c>
      <c r="E6" s="134"/>
      <c r="F6" s="324">
        <v>6.64</v>
      </c>
      <c r="G6" s="242">
        <f t="shared" si="1"/>
        <v>7.304</v>
      </c>
      <c r="H6" s="325">
        <f t="shared" si="2"/>
        <v>7.968</v>
      </c>
      <c r="I6" s="326">
        <v>6.55</v>
      </c>
      <c r="J6" s="209">
        <f t="shared" si="3"/>
        <v>7.205</v>
      </c>
      <c r="K6" s="325">
        <f t="shared" si="4"/>
        <v>7.86</v>
      </c>
      <c r="N6" s="134"/>
      <c r="O6" s="327">
        <f t="shared" si="5"/>
        <v>13.19</v>
      </c>
      <c r="P6" s="209">
        <f t="shared" si="6"/>
        <v>14.509</v>
      </c>
      <c r="Q6" s="210">
        <f t="shared" si="7"/>
        <v>15.828</v>
      </c>
      <c r="R6" s="9"/>
      <c r="S6" s="4"/>
      <c r="T6" s="4"/>
      <c r="U6" s="4"/>
      <c r="V6" s="4"/>
      <c r="W6" s="4"/>
      <c r="X6" s="4"/>
      <c r="Y6" s="4"/>
      <c r="Z6" s="4"/>
      <c r="AA6" s="4"/>
      <c r="AB6" s="4"/>
      <c r="AC6" s="4"/>
      <c r="AD6" s="4"/>
      <c r="AE6" s="4"/>
      <c r="AF6" s="4"/>
      <c r="AG6" s="4"/>
      <c r="AH6" s="4"/>
      <c r="AI6" s="4"/>
      <c r="AJ6" s="4"/>
      <c r="AK6" s="4"/>
    </row>
    <row r="7">
      <c r="A7" s="5"/>
      <c r="B7" s="316" t="s">
        <v>13</v>
      </c>
      <c r="C7" s="317">
        <v>350.0</v>
      </c>
      <c r="E7" s="127"/>
      <c r="F7" s="318">
        <v>5.0</v>
      </c>
      <c r="G7" s="236">
        <f t="shared" si="1"/>
        <v>5.5</v>
      </c>
      <c r="H7" s="319">
        <f t="shared" si="2"/>
        <v>6</v>
      </c>
      <c r="I7" s="320">
        <v>3.5</v>
      </c>
      <c r="J7" s="201">
        <f t="shared" si="3"/>
        <v>3.85</v>
      </c>
      <c r="K7" s="319">
        <f t="shared" si="4"/>
        <v>4.2</v>
      </c>
      <c r="N7" s="127"/>
      <c r="O7" s="321">
        <f t="shared" si="5"/>
        <v>8.5</v>
      </c>
      <c r="P7" s="201">
        <f t="shared" si="6"/>
        <v>9.35</v>
      </c>
      <c r="Q7" s="202">
        <f t="shared" si="7"/>
        <v>10.2</v>
      </c>
      <c r="R7" s="9"/>
      <c r="S7" s="4"/>
      <c r="T7" s="4"/>
      <c r="U7" s="4"/>
      <c r="V7" s="4"/>
      <c r="W7" s="4"/>
      <c r="X7" s="4"/>
      <c r="Y7" s="4"/>
      <c r="Z7" s="4"/>
      <c r="AA7" s="4"/>
      <c r="AB7" s="4"/>
      <c r="AC7" s="4"/>
      <c r="AD7" s="4"/>
      <c r="AE7" s="4"/>
      <c r="AF7" s="4"/>
      <c r="AG7" s="4"/>
      <c r="AH7" s="4"/>
      <c r="AI7" s="4"/>
      <c r="AJ7" s="4"/>
      <c r="AK7" s="4"/>
    </row>
    <row r="8">
      <c r="A8" s="5"/>
      <c r="B8" s="322" t="s">
        <v>14</v>
      </c>
      <c r="C8" s="323">
        <v>750.0</v>
      </c>
      <c r="E8" s="134"/>
      <c r="F8" s="324">
        <v>5.82</v>
      </c>
      <c r="G8" s="242">
        <f t="shared" si="1"/>
        <v>6.402</v>
      </c>
      <c r="H8" s="325">
        <f t="shared" si="2"/>
        <v>6.984</v>
      </c>
      <c r="I8" s="326">
        <v>6.5</v>
      </c>
      <c r="J8" s="209">
        <f t="shared" si="3"/>
        <v>7.15</v>
      </c>
      <c r="K8" s="325">
        <f t="shared" si="4"/>
        <v>7.8</v>
      </c>
      <c r="L8" s="42">
        <v>1.5</v>
      </c>
      <c r="M8" s="41">
        <v>1.5</v>
      </c>
      <c r="N8" s="43">
        <v>1.5</v>
      </c>
      <c r="O8" s="327">
        <f t="shared" si="5"/>
        <v>13.82</v>
      </c>
      <c r="P8" s="209">
        <f t="shared" ref="P8:P9" si="9">G8+J8+M8</f>
        <v>15.052</v>
      </c>
      <c r="Q8" s="210">
        <f t="shared" si="7"/>
        <v>16.284</v>
      </c>
      <c r="R8" s="9"/>
      <c r="S8" s="4"/>
      <c r="T8" s="4"/>
      <c r="U8" s="4"/>
      <c r="V8" s="4"/>
      <c r="W8" s="4"/>
      <c r="X8" s="4"/>
      <c r="Y8" s="4"/>
      <c r="Z8" s="4"/>
      <c r="AA8" s="4"/>
      <c r="AB8" s="4"/>
      <c r="AC8" s="4"/>
      <c r="AD8" s="4"/>
      <c r="AE8" s="4"/>
      <c r="AF8" s="4"/>
      <c r="AG8" s="4"/>
      <c r="AH8" s="4"/>
      <c r="AI8" s="4"/>
      <c r="AJ8" s="4"/>
      <c r="AK8" s="4"/>
    </row>
    <row r="9">
      <c r="A9" s="5"/>
      <c r="B9" s="44" t="s">
        <v>15</v>
      </c>
      <c r="C9" s="328">
        <v>625.0</v>
      </c>
      <c r="E9" s="127"/>
      <c r="F9" s="318">
        <v>7.4</v>
      </c>
      <c r="G9" s="236">
        <f t="shared" si="1"/>
        <v>8.14</v>
      </c>
      <c r="H9" s="319">
        <f t="shared" si="2"/>
        <v>8.88</v>
      </c>
      <c r="I9" s="320">
        <v>0.0</v>
      </c>
      <c r="J9" s="201">
        <f t="shared" si="3"/>
        <v>0</v>
      </c>
      <c r="K9" s="319">
        <f t="shared" si="4"/>
        <v>0</v>
      </c>
      <c r="L9" s="50">
        <f t="shared" ref="L9:N9" si="8">E27*$O31</f>
        <v>14.4</v>
      </c>
      <c r="M9" s="49">
        <f t="shared" si="8"/>
        <v>15.3</v>
      </c>
      <c r="N9" s="51">
        <f t="shared" si="8"/>
        <v>16.2</v>
      </c>
      <c r="O9" s="321">
        <f t="shared" si="5"/>
        <v>21.8</v>
      </c>
      <c r="P9" s="201">
        <f t="shared" si="9"/>
        <v>23.44</v>
      </c>
      <c r="Q9" s="202">
        <f t="shared" si="7"/>
        <v>25.08</v>
      </c>
      <c r="R9" s="9"/>
      <c r="S9" s="4"/>
      <c r="T9" s="4"/>
      <c r="U9" s="4"/>
      <c r="V9" s="4"/>
      <c r="W9" s="4"/>
      <c r="X9" s="4"/>
      <c r="Y9" s="4"/>
      <c r="Z9" s="4"/>
      <c r="AA9" s="4"/>
      <c r="AB9" s="4"/>
      <c r="AC9" s="4"/>
      <c r="AD9" s="4"/>
      <c r="AE9" s="4"/>
      <c r="AF9" s="4"/>
      <c r="AG9" s="4"/>
      <c r="AH9" s="4"/>
      <c r="AI9" s="4"/>
      <c r="AJ9" s="4"/>
      <c r="AK9" s="4"/>
    </row>
    <row r="10">
      <c r="A10" s="5"/>
      <c r="B10" s="322" t="s">
        <v>16</v>
      </c>
      <c r="C10" s="329">
        <v>280.0</v>
      </c>
      <c r="E10" s="134"/>
      <c r="F10" s="324">
        <v>3.13</v>
      </c>
      <c r="G10" s="242">
        <f t="shared" si="1"/>
        <v>3.443</v>
      </c>
      <c r="H10" s="325">
        <f t="shared" si="2"/>
        <v>3.756</v>
      </c>
      <c r="I10" s="326">
        <v>2.63</v>
      </c>
      <c r="J10" s="209">
        <f t="shared" si="3"/>
        <v>2.893</v>
      </c>
      <c r="K10" s="325">
        <f t="shared" si="4"/>
        <v>3.156</v>
      </c>
      <c r="L10" s="324">
        <v>0.0</v>
      </c>
      <c r="N10" s="134"/>
      <c r="O10" s="327">
        <f t="shared" si="5"/>
        <v>5.76</v>
      </c>
      <c r="P10" s="209">
        <f>G10+J10</f>
        <v>6.336</v>
      </c>
      <c r="Q10" s="210">
        <f t="shared" si="7"/>
        <v>6.912</v>
      </c>
      <c r="R10" s="9"/>
      <c r="S10" s="4"/>
      <c r="T10" s="4"/>
      <c r="U10" s="4"/>
      <c r="V10" s="4"/>
      <c r="W10" s="4"/>
      <c r="X10" s="4"/>
      <c r="Y10" s="4"/>
      <c r="Z10" s="4"/>
      <c r="AA10" s="4"/>
      <c r="AB10" s="4"/>
      <c r="AC10" s="4"/>
      <c r="AD10" s="4"/>
      <c r="AE10" s="4"/>
      <c r="AF10" s="4"/>
      <c r="AG10" s="4"/>
      <c r="AH10" s="4"/>
      <c r="AI10" s="4"/>
      <c r="AJ10" s="4"/>
      <c r="AK10" s="4"/>
    </row>
    <row r="11">
      <c r="A11" s="5"/>
      <c r="B11" s="330" t="s">
        <v>17</v>
      </c>
      <c r="C11" s="331">
        <f>C10+C9+C12+0.5*(C13-250)+0.3*C8</f>
        <v>2127.5</v>
      </c>
      <c r="E11" s="127"/>
      <c r="F11" s="318">
        <v>0.7</v>
      </c>
      <c r="G11" s="236">
        <f t="shared" si="1"/>
        <v>0.77</v>
      </c>
      <c r="H11" s="319">
        <f t="shared" si="2"/>
        <v>0.84</v>
      </c>
      <c r="I11" s="320">
        <v>0.95</v>
      </c>
      <c r="J11" s="201">
        <f t="shared" si="3"/>
        <v>1.045</v>
      </c>
      <c r="K11" s="319">
        <f t="shared" si="4"/>
        <v>1.14</v>
      </c>
      <c r="N11" s="127"/>
      <c r="O11" s="318">
        <v>0.0</v>
      </c>
      <c r="Q11" s="200"/>
      <c r="R11" s="9"/>
      <c r="S11" s="4"/>
      <c r="T11" s="4"/>
      <c r="U11" s="4"/>
      <c r="V11" s="4"/>
      <c r="W11" s="4"/>
      <c r="X11" s="4"/>
      <c r="Y11" s="4"/>
      <c r="Z11" s="4"/>
      <c r="AA11" s="4"/>
      <c r="AB11" s="4"/>
      <c r="AC11" s="4"/>
      <c r="AD11" s="4"/>
      <c r="AE11" s="4"/>
      <c r="AF11" s="4"/>
      <c r="AG11" s="4"/>
      <c r="AH11" s="4"/>
      <c r="AI11" s="4"/>
      <c r="AJ11" s="4"/>
      <c r="AK11" s="4"/>
    </row>
    <row r="12">
      <c r="A12" s="5"/>
      <c r="B12" s="44" t="s">
        <v>18</v>
      </c>
      <c r="C12" s="328">
        <v>625.0</v>
      </c>
      <c r="E12" s="134"/>
      <c r="F12" s="324">
        <v>7.4</v>
      </c>
      <c r="G12" s="242">
        <f t="shared" si="1"/>
        <v>8.14</v>
      </c>
      <c r="H12" s="325">
        <f t="shared" si="2"/>
        <v>8.88</v>
      </c>
      <c r="I12" s="326">
        <v>0.0</v>
      </c>
      <c r="J12" s="209">
        <f t="shared" si="3"/>
        <v>0</v>
      </c>
      <c r="K12" s="325">
        <f t="shared" si="4"/>
        <v>0</v>
      </c>
      <c r="L12" s="54">
        <f t="shared" ref="L12:N12" si="10">H27*$O32</f>
        <v>20.88</v>
      </c>
      <c r="M12" s="53">
        <f t="shared" si="10"/>
        <v>22.185</v>
      </c>
      <c r="N12" s="55">
        <f t="shared" si="10"/>
        <v>23.49</v>
      </c>
      <c r="O12" s="327">
        <f t="shared" ref="O12:O13" si="11">L12+I12+F12</f>
        <v>28.28</v>
      </c>
      <c r="P12" s="209">
        <f>G12+J12+M12</f>
        <v>30.325</v>
      </c>
      <c r="Q12" s="210">
        <f t="shared" ref="Q12:Q13" si="12">N12+K12+H12</f>
        <v>32.37</v>
      </c>
      <c r="R12" s="9"/>
      <c r="S12" s="4"/>
      <c r="T12" s="4"/>
      <c r="U12" s="4"/>
      <c r="V12" s="4"/>
      <c r="W12" s="4"/>
      <c r="X12" s="4"/>
      <c r="Y12" s="4"/>
      <c r="Z12" s="4"/>
      <c r="AA12" s="4"/>
      <c r="AB12" s="4"/>
      <c r="AC12" s="4"/>
      <c r="AD12" s="4"/>
      <c r="AE12" s="4"/>
      <c r="AF12" s="4"/>
      <c r="AG12" s="4"/>
      <c r="AH12" s="4"/>
      <c r="AI12" s="4"/>
      <c r="AJ12" s="4"/>
      <c r="AK12" s="4"/>
    </row>
    <row r="13">
      <c r="A13" s="5"/>
      <c r="B13" s="332" t="s">
        <v>19</v>
      </c>
      <c r="C13" s="333">
        <v>995.0</v>
      </c>
      <c r="D13" s="98"/>
      <c r="E13" s="334"/>
      <c r="F13" s="318">
        <v>8.0</v>
      </c>
      <c r="G13" s="236">
        <f t="shared" si="1"/>
        <v>8.8</v>
      </c>
      <c r="H13" s="319">
        <f t="shared" si="2"/>
        <v>9.6</v>
      </c>
      <c r="I13" s="320">
        <v>11.11</v>
      </c>
      <c r="J13" s="201">
        <f t="shared" si="3"/>
        <v>12.221</v>
      </c>
      <c r="K13" s="319">
        <f t="shared" si="4"/>
        <v>13.332</v>
      </c>
      <c r="L13" s="318">
        <v>0.0</v>
      </c>
      <c r="N13" s="127"/>
      <c r="O13" s="321">
        <f t="shared" si="11"/>
        <v>19.11</v>
      </c>
      <c r="P13" s="251">
        <f>G13+J13</f>
        <v>21.021</v>
      </c>
      <c r="Q13" s="202">
        <f t="shared" si="12"/>
        <v>22.932</v>
      </c>
      <c r="R13" s="9"/>
      <c r="S13" s="4"/>
      <c r="T13" s="62"/>
      <c r="U13" s="62"/>
      <c r="V13" s="62"/>
      <c r="W13" s="62"/>
      <c r="X13" s="62"/>
      <c r="Y13" s="62"/>
      <c r="Z13" s="62"/>
      <c r="AA13" s="62"/>
      <c r="AB13" s="62"/>
      <c r="AC13" s="62"/>
      <c r="AD13" s="62"/>
      <c r="AE13" s="62"/>
      <c r="AF13" s="62"/>
      <c r="AG13" s="62"/>
      <c r="AH13" s="62"/>
      <c r="AI13" s="62"/>
      <c r="AJ13" s="62"/>
      <c r="AK13" s="62"/>
    </row>
    <row r="14">
      <c r="A14" s="5"/>
      <c r="B14" s="63" t="s">
        <v>20</v>
      </c>
      <c r="C14" s="65">
        <f>SUM(C5:C13)-C11</f>
        <v>5395</v>
      </c>
      <c r="D14" s="335"/>
      <c r="E14" s="336"/>
      <c r="F14" s="65">
        <f t="shared" ref="F14:K14" si="13">SUM(F5:F13)</f>
        <v>45.69</v>
      </c>
      <c r="G14" s="64">
        <f t="shared" si="13"/>
        <v>50.259</v>
      </c>
      <c r="H14" s="66">
        <f t="shared" si="13"/>
        <v>54.828</v>
      </c>
      <c r="I14" s="65">
        <f t="shared" si="13"/>
        <v>35.24</v>
      </c>
      <c r="J14" s="64">
        <f t="shared" si="13"/>
        <v>38.764</v>
      </c>
      <c r="K14" s="66">
        <f t="shared" si="13"/>
        <v>42.288</v>
      </c>
      <c r="L14" s="65">
        <v>0.0</v>
      </c>
      <c r="M14" s="64">
        <v>0.0</v>
      </c>
      <c r="N14" s="66">
        <v>0.0</v>
      </c>
      <c r="O14" s="65">
        <f t="shared" ref="O14:Q14" si="14">F14+I14+L14</f>
        <v>80.93</v>
      </c>
      <c r="P14" s="64">
        <f t="shared" si="14"/>
        <v>89.023</v>
      </c>
      <c r="Q14" s="67">
        <f t="shared" si="14"/>
        <v>97.116</v>
      </c>
      <c r="R14" s="9"/>
      <c r="S14" s="4"/>
      <c r="T14" s="62"/>
      <c r="U14" s="62"/>
      <c r="V14" s="62"/>
      <c r="W14" s="62"/>
      <c r="X14" s="62"/>
      <c r="Y14" s="62"/>
      <c r="Z14" s="62"/>
      <c r="AA14" s="62"/>
      <c r="AB14" s="62"/>
      <c r="AC14" s="62"/>
      <c r="AD14" s="62"/>
      <c r="AE14" s="62"/>
      <c r="AF14" s="62"/>
      <c r="AG14" s="62"/>
      <c r="AH14" s="62"/>
      <c r="AI14" s="62"/>
      <c r="AJ14" s="62"/>
      <c r="AK14" s="62"/>
    </row>
    <row r="15">
      <c r="A15" s="5"/>
      <c r="B15" s="68" t="s">
        <v>21</v>
      </c>
      <c r="C15" s="70">
        <f>SUM(C5:C13)-C11</f>
        <v>5395</v>
      </c>
      <c r="D15" s="98"/>
      <c r="E15" s="334"/>
      <c r="F15" s="70">
        <f>SUM(F5:F13)</f>
        <v>45.69</v>
      </c>
      <c r="G15" s="69">
        <f>G14</f>
        <v>50.259</v>
      </c>
      <c r="H15" s="71">
        <f t="shared" ref="H15:J15" si="15">SUM(H5:H13)</f>
        <v>54.828</v>
      </c>
      <c r="I15" s="70">
        <f t="shared" si="15"/>
        <v>35.24</v>
      </c>
      <c r="J15" s="69">
        <f t="shared" si="15"/>
        <v>38.764</v>
      </c>
      <c r="K15" s="71">
        <f>K14</f>
        <v>42.288</v>
      </c>
      <c r="L15" s="69">
        <f t="shared" ref="L15:N15" si="16">L8+L9+L12</f>
        <v>36.78</v>
      </c>
      <c r="M15" s="69">
        <f t="shared" si="16"/>
        <v>38.985</v>
      </c>
      <c r="N15" s="71">
        <f t="shared" si="16"/>
        <v>41.19</v>
      </c>
      <c r="O15" s="70">
        <f t="shared" ref="O15:Q15" si="17">F15+I15+L15</f>
        <v>117.71</v>
      </c>
      <c r="P15" s="69">
        <f t="shared" si="17"/>
        <v>128.008</v>
      </c>
      <c r="Q15" s="72">
        <f t="shared" si="17"/>
        <v>138.306</v>
      </c>
      <c r="R15" s="9"/>
      <c r="S15" s="4"/>
      <c r="T15" s="62"/>
      <c r="U15" s="62"/>
      <c r="V15" s="62"/>
      <c r="W15" s="62"/>
      <c r="X15" s="62"/>
      <c r="Y15" s="62"/>
      <c r="Z15" s="62"/>
      <c r="AA15" s="62"/>
      <c r="AB15" s="62"/>
      <c r="AC15" s="62"/>
      <c r="AD15" s="62"/>
      <c r="AE15" s="62"/>
      <c r="AF15" s="62"/>
      <c r="AG15" s="62"/>
      <c r="AH15" s="62"/>
      <c r="AI15" s="62"/>
      <c r="AJ15" s="62"/>
      <c r="AK15" s="62"/>
    </row>
    <row r="16">
      <c r="A16" s="73"/>
      <c r="B16" s="74"/>
      <c r="C16" s="74"/>
      <c r="D16" s="74"/>
      <c r="E16" s="74"/>
      <c r="F16" s="75"/>
      <c r="G16" s="76"/>
      <c r="H16" s="74"/>
      <c r="I16" s="77"/>
      <c r="J16" s="78"/>
      <c r="K16" s="74"/>
      <c r="L16" s="74"/>
      <c r="M16" s="74"/>
      <c r="N16" s="74"/>
      <c r="O16" s="74"/>
      <c r="P16" s="74"/>
      <c r="Q16" s="74"/>
      <c r="R16" s="9"/>
      <c r="S16" s="4"/>
      <c r="T16" s="62"/>
      <c r="U16" s="62"/>
      <c r="V16" s="62"/>
      <c r="W16" s="62"/>
      <c r="X16" s="62"/>
      <c r="Y16" s="62"/>
      <c r="Z16" s="62"/>
      <c r="AA16" s="62"/>
      <c r="AB16" s="62"/>
      <c r="AC16" s="62"/>
      <c r="AD16" s="62"/>
      <c r="AE16" s="62"/>
      <c r="AF16" s="62"/>
      <c r="AG16" s="62"/>
      <c r="AH16" s="62"/>
      <c r="AI16" s="62"/>
      <c r="AJ16" s="62"/>
      <c r="AK16" s="62"/>
    </row>
    <row r="17">
      <c r="A17" s="73"/>
      <c r="B17" s="79"/>
      <c r="C17" s="81" t="s">
        <v>130</v>
      </c>
      <c r="D17" s="150"/>
      <c r="E17" s="151"/>
      <c r="F17" s="75"/>
      <c r="G17" s="83" t="s">
        <v>22</v>
      </c>
      <c r="H17" s="84"/>
      <c r="I17" s="81" t="s">
        <v>130</v>
      </c>
      <c r="J17" s="80" t="s">
        <v>131</v>
      </c>
      <c r="K17" s="82" t="s">
        <v>10</v>
      </c>
      <c r="M17" s="83"/>
      <c r="N17" s="84"/>
      <c r="O17" s="81" t="s">
        <v>130</v>
      </c>
      <c r="P17" s="80" t="s">
        <v>131</v>
      </c>
      <c r="Q17" s="82" t="s">
        <v>10</v>
      </c>
      <c r="R17" s="9"/>
      <c r="S17" s="4"/>
      <c r="T17" s="62"/>
      <c r="U17" s="62"/>
      <c r="V17" s="62"/>
      <c r="W17" s="62"/>
      <c r="X17" s="62"/>
      <c r="Y17" s="62"/>
      <c r="Z17" s="62"/>
      <c r="AA17" s="62"/>
      <c r="AB17" s="62"/>
      <c r="AC17" s="62"/>
      <c r="AD17" s="62"/>
      <c r="AE17" s="62"/>
      <c r="AF17" s="62"/>
      <c r="AG17" s="62"/>
      <c r="AH17" s="62"/>
      <c r="AI17" s="62"/>
      <c r="AJ17" s="62"/>
      <c r="AK17" s="62"/>
    </row>
    <row r="18">
      <c r="A18" s="73"/>
      <c r="B18" s="85" t="s">
        <v>23</v>
      </c>
      <c r="C18" s="86">
        <f>C14/(0.01+$N25)/1000</f>
        <v>21.58</v>
      </c>
      <c r="D18" s="337"/>
      <c r="E18" s="338"/>
      <c r="F18" s="75"/>
      <c r="G18" s="89" t="s">
        <v>24</v>
      </c>
      <c r="I18" s="90">
        <f t="shared" ref="I18:K18" si="18">(F14+I14-I13)*1000</f>
        <v>69820</v>
      </c>
      <c r="J18" s="91">
        <f t="shared" si="18"/>
        <v>76802</v>
      </c>
      <c r="K18" s="92">
        <f t="shared" si="18"/>
        <v>83784</v>
      </c>
      <c r="M18" s="339" t="s">
        <v>132</v>
      </c>
      <c r="N18" s="98"/>
      <c r="O18" s="266">
        <f t="shared" ref="O18:Q18" si="19">I10+F11+I11</f>
        <v>4.28</v>
      </c>
      <c r="P18" s="266">
        <f t="shared" si="19"/>
        <v>4.708</v>
      </c>
      <c r="Q18" s="340">
        <f t="shared" si="19"/>
        <v>5.136</v>
      </c>
      <c r="R18" s="9"/>
      <c r="S18" s="4"/>
      <c r="T18" s="62"/>
      <c r="U18" s="62"/>
      <c r="V18" s="62"/>
      <c r="W18" s="62"/>
      <c r="X18" s="62"/>
      <c r="Y18" s="62"/>
      <c r="Z18" s="62"/>
      <c r="AA18" s="62"/>
      <c r="AB18" s="62"/>
      <c r="AC18" s="62"/>
      <c r="AD18" s="62"/>
      <c r="AE18" s="62"/>
      <c r="AF18" s="62"/>
      <c r="AG18" s="62"/>
      <c r="AH18" s="62"/>
      <c r="AI18" s="62"/>
      <c r="AJ18" s="62"/>
      <c r="AK18" s="62"/>
    </row>
    <row r="19">
      <c r="A19" s="73"/>
      <c r="B19" s="74"/>
      <c r="C19" s="74"/>
      <c r="D19" s="74"/>
      <c r="E19" s="74"/>
      <c r="F19" s="75"/>
      <c r="G19" s="93" t="s">
        <v>25</v>
      </c>
      <c r="I19" s="94">
        <f t="shared" ref="I19:K19" si="20">1000*O15</f>
        <v>117710</v>
      </c>
      <c r="J19" s="95">
        <f t="shared" si="20"/>
        <v>128008</v>
      </c>
      <c r="K19" s="96">
        <f t="shared" si="20"/>
        <v>138306</v>
      </c>
      <c r="M19" s="74"/>
      <c r="N19" s="74"/>
      <c r="O19" s="74"/>
      <c r="P19" s="74"/>
      <c r="Q19" s="74"/>
      <c r="R19" s="9"/>
      <c r="S19" s="4"/>
      <c r="T19" s="62"/>
      <c r="U19" s="62"/>
      <c r="V19" s="62"/>
      <c r="W19" s="62"/>
      <c r="X19" s="62"/>
      <c r="Y19" s="62"/>
      <c r="Z19" s="62"/>
      <c r="AA19" s="62"/>
      <c r="AB19" s="62"/>
      <c r="AC19" s="62"/>
      <c r="AD19" s="62"/>
      <c r="AE19" s="62"/>
      <c r="AF19" s="62"/>
      <c r="AG19" s="62"/>
      <c r="AH19" s="62"/>
      <c r="AI19" s="62"/>
      <c r="AJ19" s="62"/>
      <c r="AK19" s="62"/>
    </row>
    <row r="20">
      <c r="A20" s="73"/>
      <c r="B20" s="74"/>
      <c r="C20" s="74"/>
      <c r="D20" s="74"/>
      <c r="E20" s="74"/>
      <c r="F20" s="75"/>
      <c r="G20" s="97" t="s">
        <v>26</v>
      </c>
      <c r="H20" s="98"/>
      <c r="I20" s="99">
        <f>C15/10</f>
        <v>539.5</v>
      </c>
      <c r="J20" s="100">
        <f>C15/10</f>
        <v>539.5</v>
      </c>
      <c r="K20" s="101">
        <f>C15/10</f>
        <v>539.5</v>
      </c>
      <c r="M20" s="74"/>
      <c r="N20" s="74"/>
      <c r="O20" s="74"/>
      <c r="P20" s="74"/>
      <c r="Q20" s="74"/>
      <c r="R20" s="9"/>
      <c r="S20" s="4"/>
      <c r="T20" s="62"/>
      <c r="U20" s="62"/>
      <c r="V20" s="62"/>
      <c r="W20" s="62"/>
      <c r="X20" s="62"/>
      <c r="Y20" s="62"/>
      <c r="Z20" s="62"/>
      <c r="AA20" s="62"/>
      <c r="AB20" s="62"/>
      <c r="AC20" s="62"/>
      <c r="AD20" s="62"/>
      <c r="AE20" s="62"/>
      <c r="AF20" s="62"/>
      <c r="AG20" s="62"/>
      <c r="AH20" s="62"/>
      <c r="AI20" s="62"/>
      <c r="AJ20" s="62"/>
      <c r="AK20" s="62"/>
    </row>
    <row r="21">
      <c r="A21" s="73"/>
      <c r="B21" s="74"/>
      <c r="C21" s="74"/>
      <c r="D21" s="74"/>
      <c r="E21" s="74"/>
      <c r="F21" s="75"/>
      <c r="G21" s="76"/>
      <c r="H21" s="74"/>
      <c r="I21" s="77"/>
      <c r="J21" s="78"/>
      <c r="K21" s="74"/>
      <c r="L21" s="74"/>
      <c r="M21" s="74"/>
      <c r="N21" s="74"/>
      <c r="O21" s="74"/>
      <c r="P21" s="74"/>
      <c r="Q21" s="74"/>
      <c r="R21" s="9"/>
      <c r="S21" s="4"/>
      <c r="T21" s="62"/>
      <c r="Y21" s="62"/>
      <c r="Z21" s="62"/>
      <c r="AA21" s="62"/>
      <c r="AB21" s="62"/>
      <c r="AC21" s="62"/>
      <c r="AD21" s="62"/>
      <c r="AE21" s="62"/>
      <c r="AF21" s="62"/>
      <c r="AG21" s="62"/>
      <c r="AH21" s="62"/>
      <c r="AI21" s="62"/>
      <c r="AJ21" s="62"/>
      <c r="AK21" s="62"/>
    </row>
    <row r="22">
      <c r="A22" s="102"/>
      <c r="B22" s="103"/>
      <c r="C22" s="103"/>
      <c r="D22" s="103"/>
      <c r="E22" s="103"/>
      <c r="F22" s="104"/>
      <c r="G22" s="105"/>
      <c r="H22" s="103"/>
      <c r="I22" s="106"/>
      <c r="J22" s="107"/>
      <c r="K22" s="103"/>
      <c r="L22" s="103"/>
      <c r="M22" s="103"/>
      <c r="N22" s="103"/>
      <c r="O22" s="103"/>
      <c r="P22" s="103"/>
      <c r="Q22" s="103"/>
      <c r="R22" s="108"/>
      <c r="S22" s="4"/>
      <c r="T22" s="62"/>
      <c r="U22" s="62"/>
      <c r="V22" s="62"/>
      <c r="W22" s="62"/>
      <c r="X22" s="62"/>
      <c r="Y22" s="62"/>
      <c r="Z22" s="62"/>
      <c r="AA22" s="62"/>
      <c r="AB22" s="62"/>
      <c r="AC22" s="62"/>
      <c r="AD22" s="62"/>
      <c r="AE22" s="62"/>
      <c r="AF22" s="62"/>
      <c r="AG22" s="62"/>
      <c r="AH22" s="62"/>
      <c r="AI22" s="62"/>
      <c r="AJ22" s="62"/>
      <c r="AK22" s="62"/>
    </row>
    <row r="23">
      <c r="A23" s="109"/>
      <c r="B23" s="110"/>
      <c r="C23" s="110"/>
      <c r="D23" s="110"/>
      <c r="E23" s="110"/>
      <c r="F23" s="110"/>
      <c r="G23" s="110"/>
      <c r="H23" s="110"/>
      <c r="I23" s="110"/>
      <c r="J23" s="110"/>
      <c r="K23" s="62"/>
      <c r="L23" s="110"/>
      <c r="M23" s="110"/>
      <c r="N23" s="110"/>
      <c r="O23" s="62"/>
      <c r="P23" s="62"/>
      <c r="Q23" s="62"/>
      <c r="R23" s="111"/>
      <c r="S23" s="4"/>
      <c r="T23" s="62"/>
      <c r="U23" s="62"/>
      <c r="V23" s="62"/>
      <c r="W23" s="62"/>
      <c r="X23" s="62"/>
      <c r="Y23" s="62"/>
      <c r="Z23" s="62"/>
      <c r="AA23" s="62"/>
      <c r="AB23" s="62"/>
      <c r="AC23" s="62"/>
      <c r="AD23" s="62"/>
      <c r="AE23" s="62"/>
      <c r="AF23" s="62"/>
      <c r="AG23" s="62"/>
      <c r="AH23" s="62"/>
      <c r="AI23" s="62"/>
      <c r="AJ23" s="62"/>
      <c r="AK23" s="62"/>
    </row>
    <row r="24">
      <c r="A24" s="112"/>
      <c r="B24" s="6" t="s">
        <v>27</v>
      </c>
      <c r="C24" s="7"/>
      <c r="D24" s="7"/>
      <c r="E24" s="7"/>
      <c r="F24" s="7"/>
      <c r="G24" s="7"/>
      <c r="H24" s="7"/>
      <c r="I24" s="7"/>
      <c r="J24" s="8"/>
      <c r="K24" s="113"/>
      <c r="L24" s="6" t="s">
        <v>28</v>
      </c>
      <c r="M24" s="7"/>
      <c r="N24" s="7"/>
      <c r="O24" s="341"/>
      <c r="P24" s="62"/>
      <c r="Q24" s="62"/>
      <c r="R24" s="9"/>
      <c r="S24" s="4"/>
      <c r="T24" s="62"/>
      <c r="U24" s="62"/>
      <c r="V24" s="62"/>
      <c r="W24" s="62"/>
      <c r="X24" s="62"/>
      <c r="Y24" s="62"/>
      <c r="Z24" s="62"/>
      <c r="AA24" s="62"/>
      <c r="AB24" s="62"/>
      <c r="AC24" s="62"/>
      <c r="AD24" s="62"/>
      <c r="AE24" s="62"/>
      <c r="AF24" s="62"/>
      <c r="AG24" s="62"/>
      <c r="AH24" s="62"/>
      <c r="AI24" s="62"/>
      <c r="AJ24" s="62"/>
      <c r="AK24" s="62"/>
    </row>
    <row r="25">
      <c r="A25" s="112"/>
      <c r="B25" s="114" t="s">
        <v>29</v>
      </c>
      <c r="D25" s="13"/>
      <c r="E25" s="115" t="s">
        <v>30</v>
      </c>
      <c r="G25" s="13"/>
      <c r="H25" s="115" t="s">
        <v>31</v>
      </c>
      <c r="J25" s="13"/>
      <c r="K25" s="113"/>
      <c r="L25" s="116" t="s">
        <v>32</v>
      </c>
      <c r="N25" s="342">
        <v>0.24</v>
      </c>
      <c r="O25" s="341"/>
      <c r="P25" s="62"/>
      <c r="Q25" s="62"/>
      <c r="R25" s="9"/>
      <c r="S25" s="4"/>
      <c r="T25" s="62"/>
      <c r="U25" s="62"/>
      <c r="V25" s="62"/>
      <c r="W25" s="62"/>
      <c r="X25" s="62"/>
      <c r="Y25" s="62"/>
      <c r="Z25" s="62"/>
      <c r="AA25" s="62"/>
      <c r="AB25" s="62"/>
      <c r="AC25" s="62"/>
      <c r="AD25" s="62"/>
      <c r="AE25" s="62"/>
      <c r="AF25" s="62"/>
      <c r="AG25" s="62"/>
      <c r="AH25" s="62"/>
      <c r="AI25" s="62"/>
      <c r="AJ25" s="62"/>
      <c r="AK25" s="62"/>
    </row>
    <row r="26">
      <c r="A26" s="112"/>
      <c r="B26" s="7"/>
      <c r="C26" s="7"/>
      <c r="D26" s="8"/>
      <c r="E26" s="343" t="s">
        <v>130</v>
      </c>
      <c r="F26" s="344" t="s">
        <v>131</v>
      </c>
      <c r="G26" s="122" t="s">
        <v>10</v>
      </c>
      <c r="H26" s="343" t="s">
        <v>130</v>
      </c>
      <c r="I26" s="344" t="s">
        <v>131</v>
      </c>
      <c r="J26" s="122" t="s">
        <v>10</v>
      </c>
      <c r="K26" s="113"/>
      <c r="L26" s="116" t="s">
        <v>37</v>
      </c>
      <c r="N26" s="345">
        <v>23.0</v>
      </c>
      <c r="O26" s="341"/>
      <c r="P26" s="62"/>
      <c r="Q26" s="62"/>
      <c r="R26" s="9"/>
      <c r="S26" s="4"/>
      <c r="T26" s="62"/>
      <c r="U26" s="62"/>
      <c r="V26" s="62"/>
      <c r="W26" s="62"/>
      <c r="X26" s="62"/>
      <c r="Y26" s="62"/>
      <c r="Z26" s="62"/>
      <c r="AA26" s="62"/>
      <c r="AB26" s="62"/>
      <c r="AC26" s="62"/>
      <c r="AD26" s="62"/>
      <c r="AE26" s="62"/>
      <c r="AF26" s="62"/>
      <c r="AG26" s="62"/>
      <c r="AH26" s="62"/>
      <c r="AI26" s="62"/>
      <c r="AJ26" s="62"/>
      <c r="AK26" s="62"/>
    </row>
    <row r="27">
      <c r="A27" s="112"/>
      <c r="B27" s="126" t="s">
        <v>36</v>
      </c>
      <c r="D27" s="127"/>
      <c r="E27" s="128">
        <f t="shared" ref="E27:G27" si="21">D54*$O40/$O31</f>
        <v>0.01777777778</v>
      </c>
      <c r="F27" s="346">
        <f t="shared" si="21"/>
        <v>0.01888888889</v>
      </c>
      <c r="G27" s="346">
        <f t="shared" si="21"/>
        <v>0.02</v>
      </c>
      <c r="H27" s="129">
        <f t="shared" ref="H27:J27" si="22">D54*$O41/$O32</f>
        <v>0.01829973707</v>
      </c>
      <c r="I27" s="347">
        <f t="shared" si="22"/>
        <v>0.01944347064</v>
      </c>
      <c r="J27" s="348">
        <f t="shared" si="22"/>
        <v>0.02058720421</v>
      </c>
      <c r="K27" s="113"/>
      <c r="L27" s="349" t="s">
        <v>40</v>
      </c>
      <c r="N27" s="350">
        <v>0.9</v>
      </c>
      <c r="O27" s="341"/>
      <c r="P27" s="62"/>
      <c r="Q27" s="62"/>
      <c r="R27" s="9"/>
      <c r="S27" s="4"/>
      <c r="T27" s="62"/>
      <c r="U27" s="62"/>
      <c r="V27" s="62"/>
      <c r="W27" s="62"/>
      <c r="X27" s="62"/>
      <c r="Y27" s="62"/>
      <c r="Z27" s="62"/>
      <c r="AA27" s="62"/>
      <c r="AB27" s="62"/>
      <c r="AC27" s="62"/>
      <c r="AD27" s="62"/>
      <c r="AE27" s="62"/>
      <c r="AF27" s="62"/>
      <c r="AG27" s="62"/>
      <c r="AH27" s="62"/>
      <c r="AI27" s="62"/>
      <c r="AJ27" s="62"/>
      <c r="AK27" s="62"/>
    </row>
    <row r="28">
      <c r="A28" s="112"/>
      <c r="B28" s="133" t="s">
        <v>39</v>
      </c>
      <c r="D28" s="134"/>
      <c r="E28" s="135">
        <f t="shared" ref="E28:J28" si="23">1000*E27</f>
        <v>17.77777778</v>
      </c>
      <c r="F28" s="153">
        <f t="shared" si="23"/>
        <v>18.88888889</v>
      </c>
      <c r="G28" s="153">
        <f t="shared" si="23"/>
        <v>20</v>
      </c>
      <c r="H28" s="136">
        <f t="shared" si="23"/>
        <v>18.29973707</v>
      </c>
      <c r="I28" s="154">
        <f t="shared" si="23"/>
        <v>19.44347064</v>
      </c>
      <c r="J28" s="155">
        <f t="shared" si="23"/>
        <v>20.58720421</v>
      </c>
      <c r="K28" s="4"/>
      <c r="L28" s="351"/>
      <c r="M28" s="351"/>
      <c r="N28" s="351"/>
      <c r="O28" s="62"/>
      <c r="P28" s="62"/>
      <c r="Q28" s="62"/>
      <c r="R28" s="111"/>
      <c r="S28" s="4"/>
      <c r="T28" s="62"/>
      <c r="U28" s="62"/>
      <c r="V28" s="62"/>
      <c r="W28" s="62"/>
      <c r="X28" s="62"/>
      <c r="Y28" s="62"/>
      <c r="Z28" s="62"/>
      <c r="AA28" s="62"/>
      <c r="AB28" s="62"/>
      <c r="AC28" s="62"/>
      <c r="AD28" s="62"/>
      <c r="AE28" s="62"/>
      <c r="AF28" s="62"/>
      <c r="AG28" s="62"/>
      <c r="AH28" s="62"/>
      <c r="AI28" s="62"/>
      <c r="AJ28" s="62"/>
      <c r="AK28" s="62"/>
    </row>
    <row r="29">
      <c r="A29" s="112"/>
      <c r="B29" s="143" t="s">
        <v>42</v>
      </c>
      <c r="D29" s="127"/>
      <c r="E29" s="135">
        <f t="shared" ref="E29:J29" si="24">$N27*$N26-E28</f>
        <v>2.922222222</v>
      </c>
      <c r="F29" s="153">
        <f t="shared" si="24"/>
        <v>1.811111111</v>
      </c>
      <c r="G29" s="153">
        <f t="shared" si="24"/>
        <v>0.7</v>
      </c>
      <c r="H29" s="136">
        <f t="shared" si="24"/>
        <v>2.400262927</v>
      </c>
      <c r="I29" s="154">
        <f t="shared" si="24"/>
        <v>1.25652936</v>
      </c>
      <c r="J29" s="155">
        <f t="shared" si="24"/>
        <v>0.1127957932</v>
      </c>
      <c r="K29" s="4"/>
      <c r="L29" s="144"/>
      <c r="M29" s="144"/>
      <c r="N29" s="144"/>
      <c r="O29" s="144"/>
      <c r="P29" s="62"/>
      <c r="Q29" s="62"/>
      <c r="R29" s="111"/>
      <c r="S29" s="4"/>
      <c r="T29" s="62"/>
      <c r="U29" s="62"/>
      <c r="V29" s="62"/>
      <c r="W29" s="62"/>
      <c r="X29" s="62"/>
      <c r="Y29" s="62"/>
      <c r="Z29" s="62"/>
      <c r="AA29" s="62"/>
      <c r="AB29" s="62"/>
      <c r="AC29" s="62"/>
      <c r="AD29" s="62"/>
      <c r="AE29" s="62"/>
      <c r="AF29" s="62"/>
      <c r="AG29" s="62"/>
      <c r="AH29" s="62"/>
      <c r="AI29" s="62"/>
      <c r="AJ29" s="62"/>
      <c r="AK29" s="62"/>
    </row>
    <row r="30">
      <c r="A30" s="112"/>
      <c r="B30" s="145" t="s">
        <v>43</v>
      </c>
      <c r="D30" s="134"/>
      <c r="E30" s="352">
        <f t="shared" ref="E30:J30" si="25">$N26/E28-1</f>
        <v>0.29375</v>
      </c>
      <c r="F30" s="353">
        <f t="shared" si="25"/>
        <v>0.2176470588</v>
      </c>
      <c r="G30" s="353">
        <f t="shared" si="25"/>
        <v>0.15</v>
      </c>
      <c r="H30" s="354">
        <f t="shared" si="25"/>
        <v>0.256848659</v>
      </c>
      <c r="I30" s="355">
        <f t="shared" si="25"/>
        <v>0.1829163849</v>
      </c>
      <c r="J30" s="356">
        <f t="shared" si="25"/>
        <v>0.117198808</v>
      </c>
      <c r="K30" s="113"/>
      <c r="L30" s="149" t="s">
        <v>44</v>
      </c>
      <c r="M30" s="150"/>
      <c r="N30" s="150"/>
      <c r="O30" s="151"/>
      <c r="P30" s="62"/>
      <c r="Q30" s="62"/>
      <c r="R30" s="111"/>
      <c r="S30" s="4"/>
      <c r="T30" s="62"/>
      <c r="U30" s="62"/>
      <c r="V30" s="62"/>
      <c r="W30" s="62"/>
      <c r="X30" s="62"/>
      <c r="Y30" s="62"/>
      <c r="Z30" s="62"/>
      <c r="AA30" s="62"/>
      <c r="AB30" s="62"/>
      <c r="AC30" s="62"/>
      <c r="AD30" s="62"/>
      <c r="AE30" s="62"/>
      <c r="AF30" s="62"/>
      <c r="AG30" s="62"/>
      <c r="AH30" s="62"/>
      <c r="AI30" s="62"/>
      <c r="AJ30" s="62"/>
      <c r="AK30" s="62"/>
    </row>
    <row r="31">
      <c r="A31" s="109"/>
      <c r="B31" s="357"/>
      <c r="C31" s="357"/>
      <c r="D31" s="357"/>
      <c r="E31" s="4"/>
      <c r="F31" s="116"/>
      <c r="G31" s="116"/>
      <c r="H31" s="116"/>
      <c r="I31" s="4"/>
      <c r="J31" s="4"/>
      <c r="K31" s="4"/>
      <c r="L31" s="156" t="s">
        <v>46</v>
      </c>
      <c r="M31" s="157"/>
      <c r="N31" s="157"/>
      <c r="O31" s="158">
        <v>810.0</v>
      </c>
      <c r="P31" s="62"/>
      <c r="Q31" s="62"/>
      <c r="R31" s="111"/>
      <c r="S31" s="4"/>
      <c r="T31" s="62"/>
      <c r="U31" s="62"/>
      <c r="V31" s="62"/>
      <c r="W31" s="62"/>
      <c r="X31" s="62"/>
      <c r="Y31" s="62"/>
      <c r="Z31" s="62"/>
      <c r="AA31" s="62"/>
      <c r="AB31" s="62"/>
      <c r="AC31" s="62"/>
      <c r="AD31" s="62"/>
      <c r="AE31" s="62"/>
      <c r="AF31" s="62"/>
      <c r="AG31" s="62"/>
      <c r="AH31" s="62"/>
      <c r="AI31" s="62"/>
      <c r="AJ31" s="62"/>
      <c r="AK31" s="62"/>
    </row>
    <row r="32">
      <c r="A32" s="109"/>
      <c r="B32" s="4"/>
      <c r="C32" s="4"/>
      <c r="D32" s="4"/>
      <c r="E32" s="4"/>
      <c r="F32" s="116"/>
      <c r="G32" s="116"/>
      <c r="H32" s="116"/>
      <c r="I32" s="4"/>
      <c r="J32" s="4"/>
      <c r="K32" s="4"/>
      <c r="L32" s="159" t="s">
        <v>47</v>
      </c>
      <c r="M32" s="160"/>
      <c r="N32" s="160"/>
      <c r="O32" s="161">
        <v>1141.0</v>
      </c>
      <c r="P32" s="62"/>
      <c r="Q32" s="62"/>
      <c r="R32" s="111"/>
      <c r="S32" s="4"/>
      <c r="T32" s="62"/>
      <c r="U32" s="62"/>
      <c r="V32" s="62"/>
      <c r="W32" s="62"/>
      <c r="X32" s="62"/>
      <c r="Y32" s="62"/>
      <c r="Z32" s="62"/>
      <c r="AA32" s="62"/>
      <c r="AB32" s="62"/>
      <c r="AC32" s="62"/>
      <c r="AD32" s="62"/>
      <c r="AE32" s="62"/>
      <c r="AF32" s="62"/>
      <c r="AG32" s="62"/>
      <c r="AH32" s="62"/>
      <c r="AI32" s="62"/>
      <c r="AJ32" s="62"/>
      <c r="AK32" s="62"/>
    </row>
    <row r="33">
      <c r="A33" s="109"/>
      <c r="B33" s="4"/>
      <c r="C33" s="4"/>
      <c r="D33" s="4"/>
      <c r="E33" s="4"/>
      <c r="F33" s="116"/>
      <c r="G33" s="116"/>
      <c r="H33" s="116"/>
      <c r="I33" s="4"/>
      <c r="J33" s="4"/>
      <c r="K33" s="4"/>
      <c r="L33" s="156" t="s">
        <v>49</v>
      </c>
      <c r="M33" s="157"/>
      <c r="N33" s="157"/>
      <c r="O33" s="158">
        <v>5000.0</v>
      </c>
      <c r="P33" s="62"/>
      <c r="Q33" s="62"/>
      <c r="R33" s="111"/>
      <c r="S33" s="4"/>
      <c r="T33" s="62"/>
      <c r="U33" s="62"/>
      <c r="V33" s="62"/>
      <c r="W33" s="62"/>
      <c r="X33" s="62"/>
      <c r="Y33" s="62"/>
      <c r="Z33" s="62"/>
      <c r="AA33" s="62"/>
      <c r="AB33" s="62"/>
      <c r="AC33" s="62"/>
      <c r="AD33" s="62"/>
      <c r="AE33" s="62"/>
      <c r="AF33" s="62"/>
      <c r="AG33" s="62"/>
      <c r="AH33" s="62"/>
      <c r="AI33" s="62"/>
      <c r="AJ33" s="62"/>
      <c r="AK33" s="62"/>
    </row>
    <row r="34">
      <c r="A34" s="109"/>
      <c r="B34" s="4"/>
      <c r="C34" s="4"/>
      <c r="D34" s="4"/>
      <c r="E34" s="4"/>
      <c r="F34" s="116"/>
      <c r="G34" s="116"/>
      <c r="H34" s="116"/>
      <c r="I34" s="4"/>
      <c r="J34" s="4"/>
      <c r="K34" s="168"/>
      <c r="L34" s="145" t="s">
        <v>51</v>
      </c>
      <c r="O34" s="169">
        <v>2.205</v>
      </c>
      <c r="P34" s="62"/>
      <c r="Q34" s="62"/>
      <c r="R34" s="111"/>
      <c r="S34" s="4"/>
      <c r="T34" s="62"/>
      <c r="U34" s="62"/>
      <c r="V34" s="62"/>
      <c r="W34" s="62"/>
      <c r="X34" s="62"/>
      <c r="Y34" s="62"/>
      <c r="Z34" s="62"/>
      <c r="AA34" s="62"/>
      <c r="AB34" s="62"/>
      <c r="AC34" s="62"/>
      <c r="AD34" s="62"/>
      <c r="AE34" s="62"/>
      <c r="AF34" s="62"/>
      <c r="AG34" s="62"/>
      <c r="AH34" s="62"/>
      <c r="AI34" s="62"/>
      <c r="AJ34" s="62"/>
      <c r="AK34" s="62"/>
    </row>
    <row r="35">
      <c r="A35" s="109"/>
      <c r="B35" s="4"/>
      <c r="C35" s="4"/>
      <c r="D35" s="4"/>
      <c r="E35" s="4"/>
      <c r="F35" s="116"/>
      <c r="G35" s="116"/>
      <c r="H35" s="116"/>
      <c r="I35" s="4"/>
      <c r="J35" s="4"/>
      <c r="K35" s="4"/>
      <c r="L35" s="143" t="s">
        <v>53</v>
      </c>
      <c r="O35" s="170">
        <v>0.9</v>
      </c>
      <c r="P35" s="62"/>
      <c r="Q35" s="62"/>
      <c r="R35" s="111"/>
      <c r="S35" s="4"/>
      <c r="T35" s="62"/>
      <c r="U35" s="62"/>
      <c r="V35" s="62"/>
      <c r="W35" s="62"/>
      <c r="X35" s="62"/>
      <c r="Y35" s="62"/>
      <c r="Z35" s="62"/>
      <c r="AA35" s="62"/>
      <c r="AB35" s="62"/>
      <c r="AC35" s="62"/>
      <c r="AD35" s="62"/>
      <c r="AE35" s="62"/>
      <c r="AF35" s="62"/>
      <c r="AG35" s="62"/>
      <c r="AH35" s="62"/>
      <c r="AI35" s="62"/>
      <c r="AJ35" s="62"/>
      <c r="AK35" s="62"/>
    </row>
    <row r="36">
      <c r="A36" s="109"/>
      <c r="B36" s="4"/>
      <c r="C36" s="4"/>
      <c r="D36" s="4"/>
      <c r="E36" s="4"/>
      <c r="F36" s="116"/>
      <c r="G36" s="116"/>
      <c r="H36" s="116"/>
      <c r="I36" s="4"/>
      <c r="J36" s="4"/>
      <c r="K36" s="176"/>
      <c r="L36" s="177" t="s">
        <v>55</v>
      </c>
      <c r="M36" s="160"/>
      <c r="N36" s="160"/>
      <c r="O36" s="161">
        <v>1.305</v>
      </c>
      <c r="P36" s="62"/>
      <c r="Q36" s="62"/>
      <c r="R36" s="111"/>
      <c r="S36" s="4"/>
      <c r="T36" s="62"/>
      <c r="U36" s="62"/>
      <c r="V36" s="62"/>
      <c r="W36" s="62"/>
      <c r="X36" s="62"/>
      <c r="Y36" s="62"/>
      <c r="Z36" s="62"/>
      <c r="AA36" s="62"/>
      <c r="AB36" s="62"/>
      <c r="AC36" s="62"/>
      <c r="AD36" s="62"/>
      <c r="AE36" s="62"/>
      <c r="AF36" s="62"/>
      <c r="AG36" s="62"/>
      <c r="AH36" s="62"/>
      <c r="AI36" s="62"/>
      <c r="AJ36" s="62"/>
      <c r="AK36" s="62"/>
    </row>
    <row r="37">
      <c r="A37" s="109"/>
      <c r="B37" s="4"/>
      <c r="C37" s="4"/>
      <c r="D37" s="4"/>
      <c r="E37" s="4"/>
      <c r="F37" s="4"/>
      <c r="G37" s="4"/>
      <c r="H37" s="4"/>
      <c r="I37" s="4"/>
      <c r="J37" s="4"/>
      <c r="K37" s="4"/>
      <c r="L37" s="178" t="s">
        <v>56</v>
      </c>
      <c r="M37" s="157"/>
      <c r="N37" s="157"/>
      <c r="O37" s="179">
        <v>1.0</v>
      </c>
      <c r="P37" s="62"/>
      <c r="Q37" s="62"/>
      <c r="R37" s="111"/>
      <c r="S37" s="4"/>
      <c r="T37" s="62"/>
      <c r="U37" s="62"/>
      <c r="V37" s="62"/>
      <c r="W37" s="62"/>
      <c r="X37" s="62"/>
      <c r="Y37" s="62"/>
      <c r="Z37" s="62"/>
      <c r="AA37" s="62"/>
      <c r="AB37" s="62"/>
      <c r="AC37" s="62"/>
      <c r="AD37" s="62"/>
      <c r="AE37" s="62"/>
      <c r="AF37" s="62"/>
      <c r="AG37" s="62"/>
      <c r="AH37" s="62"/>
      <c r="AI37" s="62"/>
      <c r="AJ37" s="62"/>
      <c r="AK37" s="62"/>
    </row>
    <row r="38">
      <c r="A38" s="109"/>
      <c r="B38" s="4"/>
      <c r="C38" s="4"/>
      <c r="D38" s="4"/>
      <c r="E38" s="4"/>
      <c r="F38" s="116"/>
      <c r="G38" s="116"/>
      <c r="H38" s="116"/>
      <c r="I38" s="4"/>
      <c r="J38" s="4"/>
      <c r="K38" s="4"/>
      <c r="L38" s="180" t="s">
        <v>57</v>
      </c>
      <c r="O38" s="181">
        <f>O33*O37</f>
        <v>5000</v>
      </c>
      <c r="P38" s="62"/>
      <c r="Q38" s="62"/>
      <c r="R38" s="111"/>
      <c r="S38" s="4"/>
      <c r="T38" s="62"/>
      <c r="U38" s="62"/>
      <c r="V38" s="62"/>
      <c r="W38" s="62"/>
      <c r="X38" s="62"/>
      <c r="Y38" s="62"/>
      <c r="Z38" s="62"/>
      <c r="AA38" s="62"/>
      <c r="AB38" s="62"/>
      <c r="AC38" s="62"/>
      <c r="AD38" s="62"/>
      <c r="AE38" s="62"/>
      <c r="AF38" s="62"/>
      <c r="AG38" s="62"/>
      <c r="AH38" s="62"/>
      <c r="AI38" s="62"/>
      <c r="AJ38" s="62"/>
      <c r="AK38" s="62"/>
    </row>
    <row r="39">
      <c r="A39" s="109"/>
      <c r="B39" s="4"/>
      <c r="C39" s="4"/>
      <c r="D39" s="4"/>
      <c r="E39" s="4"/>
      <c r="F39" s="116"/>
      <c r="G39" s="116"/>
      <c r="H39" s="116"/>
      <c r="I39" s="4"/>
      <c r="J39" s="4"/>
      <c r="K39" s="4"/>
      <c r="L39" s="178" t="s">
        <v>58</v>
      </c>
      <c r="M39" s="157"/>
      <c r="N39" s="157"/>
      <c r="O39" s="182">
        <f>O37*O34</f>
        <v>2.205</v>
      </c>
      <c r="P39" s="62"/>
      <c r="Q39" s="62"/>
      <c r="R39" s="111"/>
      <c r="S39" s="4"/>
      <c r="T39" s="62"/>
      <c r="U39" s="62"/>
      <c r="V39" s="62"/>
      <c r="W39" s="62"/>
      <c r="X39" s="62"/>
      <c r="Y39" s="62"/>
      <c r="Z39" s="62"/>
      <c r="AA39" s="62"/>
      <c r="AB39" s="62"/>
      <c r="AC39" s="62"/>
      <c r="AD39" s="62"/>
      <c r="AE39" s="62"/>
      <c r="AF39" s="62"/>
      <c r="AG39" s="62"/>
      <c r="AH39" s="62"/>
      <c r="AI39" s="62"/>
      <c r="AJ39" s="62"/>
      <c r="AK39" s="62"/>
    </row>
    <row r="40">
      <c r="A40" s="109"/>
      <c r="B40" s="4"/>
      <c r="C40" s="4"/>
      <c r="D40" s="4"/>
      <c r="E40" s="4"/>
      <c r="F40" s="116"/>
      <c r="G40" s="116"/>
      <c r="H40" s="116"/>
      <c r="I40" s="4"/>
      <c r="J40" s="4"/>
      <c r="K40" s="4"/>
      <c r="L40" s="145" t="s">
        <v>59</v>
      </c>
      <c r="O40" s="183">
        <f>O37*O35</f>
        <v>0.9</v>
      </c>
      <c r="P40" s="62"/>
      <c r="Q40" s="62"/>
      <c r="R40" s="111"/>
      <c r="S40" s="4"/>
      <c r="T40" s="62"/>
      <c r="U40" s="62"/>
      <c r="V40" s="62"/>
      <c r="W40" s="62"/>
      <c r="X40" s="62"/>
      <c r="Y40" s="62"/>
      <c r="Z40" s="62"/>
      <c r="AA40" s="62"/>
      <c r="AB40" s="62"/>
      <c r="AC40" s="62"/>
      <c r="AD40" s="62"/>
      <c r="AE40" s="62"/>
      <c r="AF40" s="62"/>
      <c r="AG40" s="62"/>
      <c r="AH40" s="62"/>
      <c r="AI40" s="62"/>
      <c r="AJ40" s="62"/>
      <c r="AK40" s="62"/>
    </row>
    <row r="41">
      <c r="A41" s="109"/>
      <c r="B41" s="4"/>
      <c r="C41" s="4"/>
      <c r="D41" s="4"/>
      <c r="E41" s="4"/>
      <c r="F41" s="116"/>
      <c r="G41" s="116"/>
      <c r="H41" s="116"/>
      <c r="I41" s="4"/>
      <c r="J41" s="4"/>
      <c r="K41" s="4"/>
      <c r="L41" s="143" t="s">
        <v>60</v>
      </c>
      <c r="O41" s="170">
        <f>O36*O37</f>
        <v>1.305</v>
      </c>
      <c r="P41" s="62"/>
      <c r="Q41" s="62"/>
      <c r="R41" s="111"/>
      <c r="S41" s="4"/>
      <c r="T41" s="62"/>
      <c r="U41" s="62"/>
      <c r="V41" s="62"/>
      <c r="W41" s="62"/>
      <c r="X41" s="62"/>
      <c r="Y41" s="62"/>
      <c r="Z41" s="62"/>
      <c r="AA41" s="62"/>
      <c r="AB41" s="62"/>
      <c r="AC41" s="62"/>
      <c r="AD41" s="62"/>
      <c r="AE41" s="62"/>
      <c r="AF41" s="62"/>
      <c r="AG41" s="62"/>
      <c r="AH41" s="62"/>
      <c r="AI41" s="62"/>
      <c r="AJ41" s="62"/>
      <c r="AK41" s="62"/>
    </row>
    <row r="42">
      <c r="A42" s="109"/>
      <c r="B42" s="4"/>
      <c r="C42" s="4"/>
      <c r="D42" s="4"/>
      <c r="E42" s="4"/>
      <c r="F42" s="116"/>
      <c r="G42" s="116"/>
      <c r="H42" s="116"/>
      <c r="I42" s="4"/>
      <c r="J42" s="4"/>
      <c r="K42" s="4"/>
      <c r="L42" s="143" t="s">
        <v>61</v>
      </c>
      <c r="O42" s="170">
        <f>1000*O40/O31</f>
        <v>1.111111111</v>
      </c>
      <c r="P42" s="62"/>
      <c r="Q42" s="62"/>
      <c r="R42" s="111"/>
      <c r="S42" s="4"/>
      <c r="T42" s="62"/>
      <c r="U42" s="62"/>
      <c r="V42" s="62"/>
      <c r="W42" s="62"/>
      <c r="X42" s="62"/>
      <c r="Y42" s="62"/>
      <c r="Z42" s="62"/>
      <c r="AA42" s="62"/>
      <c r="AB42" s="62"/>
      <c r="AC42" s="62"/>
      <c r="AD42" s="62"/>
      <c r="AE42" s="62"/>
      <c r="AF42" s="62"/>
      <c r="AG42" s="62"/>
      <c r="AH42" s="62"/>
      <c r="AI42" s="62"/>
      <c r="AJ42" s="62"/>
      <c r="AK42" s="62"/>
    </row>
    <row r="43">
      <c r="A43" s="109"/>
      <c r="B43" s="4"/>
      <c r="C43" s="4"/>
      <c r="D43" s="4"/>
      <c r="E43" s="4"/>
      <c r="F43" s="116"/>
      <c r="G43" s="116"/>
      <c r="H43" s="116"/>
      <c r="I43" s="4"/>
      <c r="J43" s="4"/>
      <c r="K43" s="4"/>
      <c r="L43" s="177" t="s">
        <v>62</v>
      </c>
      <c r="M43" s="184"/>
      <c r="N43" s="184"/>
      <c r="O43" s="161">
        <f>1000*O36/O32</f>
        <v>1.143733567</v>
      </c>
      <c r="P43" s="62"/>
      <c r="Q43" s="62"/>
      <c r="R43" s="111"/>
      <c r="S43" s="4"/>
      <c r="T43" s="62"/>
      <c r="U43" s="62"/>
      <c r="V43" s="62"/>
      <c r="W43" s="62"/>
      <c r="X43" s="62"/>
      <c r="Y43" s="62"/>
      <c r="Z43" s="62"/>
      <c r="AA43" s="62"/>
      <c r="AB43" s="62"/>
      <c r="AC43" s="62"/>
      <c r="AD43" s="62"/>
      <c r="AE43" s="62"/>
      <c r="AF43" s="62"/>
      <c r="AG43" s="62"/>
      <c r="AH43" s="62"/>
      <c r="AI43" s="62"/>
      <c r="AJ43" s="62"/>
      <c r="AK43" s="62"/>
    </row>
    <row r="44">
      <c r="A44" s="109"/>
      <c r="B44" s="4"/>
      <c r="C44" s="4"/>
      <c r="D44" s="4"/>
      <c r="E44" s="4"/>
      <c r="F44" s="116"/>
      <c r="G44" s="116"/>
      <c r="H44" s="116"/>
      <c r="I44" s="4"/>
      <c r="J44" s="4"/>
      <c r="K44" s="4"/>
      <c r="L44" s="185" t="s">
        <v>63</v>
      </c>
      <c r="M44" s="186"/>
      <c r="N44" s="186"/>
      <c r="O44" s="187">
        <v>98.92</v>
      </c>
      <c r="P44" s="62"/>
      <c r="Q44" s="62"/>
      <c r="R44" s="111"/>
      <c r="S44" s="4"/>
      <c r="T44" s="62"/>
      <c r="U44" s="62"/>
      <c r="V44" s="62"/>
      <c r="W44" s="62"/>
      <c r="X44" s="62"/>
      <c r="Y44" s="62"/>
      <c r="Z44" s="62"/>
      <c r="AA44" s="62"/>
      <c r="AB44" s="62"/>
      <c r="AC44" s="62"/>
      <c r="AD44" s="62"/>
      <c r="AE44" s="62"/>
      <c r="AF44" s="62"/>
      <c r="AG44" s="62"/>
      <c r="AH44" s="62"/>
      <c r="AI44" s="62"/>
      <c r="AJ44" s="62"/>
      <c r="AK44" s="62"/>
    </row>
    <row r="45">
      <c r="A45" s="109"/>
      <c r="B45" s="4"/>
      <c r="C45" s="4"/>
      <c r="D45" s="4"/>
      <c r="E45" s="4"/>
      <c r="F45" s="116"/>
      <c r="G45" s="116"/>
      <c r="H45" s="116"/>
      <c r="I45" s="4"/>
      <c r="J45" s="4"/>
      <c r="K45" s="4"/>
      <c r="L45" s="188" t="s">
        <v>64</v>
      </c>
      <c r="M45" s="98"/>
      <c r="N45" s="98"/>
      <c r="O45" s="189">
        <v>9.0</v>
      </c>
      <c r="P45" s="62"/>
      <c r="Q45" s="62"/>
      <c r="R45" s="111"/>
      <c r="S45" s="4"/>
      <c r="T45" s="62"/>
      <c r="U45" s="62"/>
      <c r="V45" s="62"/>
      <c r="W45" s="62"/>
      <c r="X45" s="62"/>
      <c r="Y45" s="62"/>
      <c r="Z45" s="62"/>
      <c r="AA45" s="62"/>
      <c r="AB45" s="62"/>
      <c r="AC45" s="62"/>
      <c r="AD45" s="62"/>
      <c r="AE45" s="62"/>
      <c r="AF45" s="62"/>
      <c r="AG45" s="62"/>
      <c r="AH45" s="62"/>
      <c r="AI45" s="62"/>
      <c r="AJ45" s="62"/>
      <c r="AK45" s="62"/>
    </row>
    <row r="46">
      <c r="A46" s="109"/>
      <c r="B46" s="4"/>
      <c r="C46" s="4"/>
      <c r="D46" s="4"/>
      <c r="E46" s="4"/>
      <c r="F46" s="116"/>
      <c r="G46" s="116"/>
      <c r="H46" s="116"/>
      <c r="I46" s="4"/>
      <c r="J46" s="4"/>
      <c r="K46" s="4"/>
      <c r="L46" s="116"/>
      <c r="M46" s="116"/>
      <c r="N46" s="116"/>
      <c r="O46" s="190"/>
      <c r="P46" s="62"/>
      <c r="Q46" s="62"/>
      <c r="R46" s="111"/>
      <c r="S46" s="4"/>
      <c r="T46" s="62"/>
      <c r="U46" s="62"/>
      <c r="V46" s="62"/>
      <c r="W46" s="62"/>
      <c r="X46" s="62"/>
      <c r="Y46" s="62"/>
      <c r="Z46" s="62"/>
      <c r="AA46" s="62"/>
      <c r="AB46" s="62"/>
      <c r="AC46" s="62"/>
      <c r="AD46" s="62"/>
      <c r="AE46" s="62"/>
      <c r="AF46" s="62"/>
      <c r="AG46" s="62"/>
      <c r="AH46" s="62"/>
      <c r="AI46" s="62"/>
      <c r="AJ46" s="62"/>
      <c r="AK46" s="62"/>
    </row>
    <row r="47">
      <c r="A47" s="191"/>
      <c r="B47" s="192"/>
      <c r="C47" s="192"/>
      <c r="D47" s="192"/>
      <c r="E47" s="192"/>
      <c r="F47" s="193"/>
      <c r="G47" s="193"/>
      <c r="H47" s="193"/>
      <c r="I47" s="192"/>
      <c r="J47" s="192"/>
      <c r="K47" s="192"/>
      <c r="L47" s="194"/>
      <c r="M47" s="194"/>
      <c r="N47" s="194"/>
      <c r="O47" s="194"/>
      <c r="P47" s="194"/>
      <c r="Q47" s="194"/>
      <c r="R47" s="195"/>
      <c r="S47" s="4"/>
      <c r="T47" s="62"/>
      <c r="U47" s="62"/>
      <c r="V47" s="62"/>
      <c r="W47" s="62"/>
      <c r="X47" s="62"/>
      <c r="Y47" s="62"/>
      <c r="Z47" s="62"/>
      <c r="AA47" s="62"/>
      <c r="AB47" s="62"/>
      <c r="AC47" s="62"/>
      <c r="AD47" s="62"/>
      <c r="AE47" s="62"/>
      <c r="AF47" s="62"/>
      <c r="AG47" s="62"/>
      <c r="AH47" s="62"/>
      <c r="AI47" s="62"/>
      <c r="AJ47" s="62"/>
      <c r="AK47" s="62"/>
    </row>
    <row r="48">
      <c r="A48" s="109"/>
      <c r="B48" s="144"/>
      <c r="C48" s="144"/>
      <c r="D48" s="144"/>
      <c r="E48" s="144"/>
      <c r="F48" s="196"/>
      <c r="G48" s="118"/>
      <c r="H48" s="196"/>
      <c r="I48" s="144"/>
      <c r="J48" s="144"/>
      <c r="K48" s="144"/>
      <c r="L48" s="144"/>
      <c r="M48" s="4"/>
      <c r="N48" s="4"/>
      <c r="O48" s="4"/>
      <c r="P48" s="62"/>
      <c r="Q48" s="62"/>
      <c r="R48" s="111"/>
      <c r="S48" s="4"/>
      <c r="T48" s="62"/>
      <c r="U48" s="62"/>
      <c r="V48" s="62"/>
      <c r="W48" s="62"/>
      <c r="X48" s="62"/>
      <c r="Y48" s="62"/>
      <c r="Z48" s="62"/>
      <c r="AA48" s="62"/>
      <c r="AB48" s="62"/>
      <c r="AC48" s="62"/>
      <c r="AD48" s="62"/>
      <c r="AE48" s="62"/>
      <c r="AF48" s="62"/>
      <c r="AG48" s="62"/>
      <c r="AH48" s="62"/>
      <c r="AI48" s="62"/>
      <c r="AJ48" s="62"/>
      <c r="AK48" s="62"/>
    </row>
    <row r="49">
      <c r="A49" s="112"/>
      <c r="B49" s="6" t="s">
        <v>65</v>
      </c>
      <c r="C49" s="7"/>
      <c r="D49" s="7"/>
      <c r="E49" s="7"/>
      <c r="F49" s="8"/>
      <c r="G49" s="197"/>
      <c r="H49" s="6" t="s">
        <v>66</v>
      </c>
      <c r="I49" s="7"/>
      <c r="J49" s="7"/>
      <c r="K49" s="7"/>
      <c r="L49" s="8"/>
      <c r="M49" s="4"/>
      <c r="N49" s="4"/>
      <c r="O49" s="4"/>
      <c r="P49" s="62"/>
      <c r="Q49" s="62"/>
      <c r="R49" s="111"/>
      <c r="S49" s="4"/>
      <c r="T49" s="62"/>
      <c r="U49" s="62"/>
      <c r="V49" s="62"/>
      <c r="W49" s="62"/>
      <c r="X49" s="62"/>
      <c r="Y49" s="62"/>
      <c r="Z49" s="62"/>
      <c r="AA49" s="62"/>
      <c r="AB49" s="62"/>
      <c r="AC49" s="62"/>
      <c r="AD49" s="62"/>
      <c r="AE49" s="62"/>
      <c r="AF49" s="62"/>
      <c r="AG49" s="62"/>
      <c r="AH49" s="62"/>
      <c r="AI49" s="62"/>
      <c r="AJ49" s="62"/>
      <c r="AK49" s="62"/>
    </row>
    <row r="50">
      <c r="A50" s="112"/>
      <c r="B50" s="121" t="s">
        <v>67</v>
      </c>
      <c r="C50" s="8"/>
      <c r="D50" s="343" t="s">
        <v>130</v>
      </c>
      <c r="E50" s="344" t="s">
        <v>131</v>
      </c>
      <c r="F50" s="122" t="s">
        <v>10</v>
      </c>
      <c r="G50" s="197"/>
      <c r="H50" s="121" t="s">
        <v>68</v>
      </c>
      <c r="I50" s="8"/>
      <c r="J50" s="343" t="s">
        <v>130</v>
      </c>
      <c r="K50" s="344" t="s">
        <v>131</v>
      </c>
      <c r="L50" s="122" t="s">
        <v>10</v>
      </c>
      <c r="M50" s="4"/>
      <c r="N50" s="4"/>
      <c r="O50" s="4"/>
      <c r="P50" s="62"/>
      <c r="Q50" s="62"/>
      <c r="R50" s="111"/>
      <c r="S50" s="4"/>
      <c r="T50" s="62"/>
      <c r="Y50" s="62"/>
      <c r="Z50" s="62"/>
      <c r="AA50" s="62"/>
      <c r="AB50" s="62"/>
      <c r="AC50" s="62"/>
      <c r="AD50" s="62"/>
      <c r="AE50" s="62"/>
      <c r="AF50" s="62"/>
      <c r="AG50" s="62"/>
      <c r="AH50" s="62"/>
      <c r="AI50" s="62"/>
      <c r="AJ50" s="62"/>
      <c r="AK50" s="62"/>
    </row>
    <row r="51">
      <c r="A51" s="112"/>
      <c r="B51" s="199" t="s">
        <v>69</v>
      </c>
      <c r="C51" s="200"/>
      <c r="D51" s="321">
        <f t="shared" ref="D51:F51" si="26">L8+L9+L12+I13</f>
        <v>47.89</v>
      </c>
      <c r="E51" s="201">
        <f t="shared" si="26"/>
        <v>51.206</v>
      </c>
      <c r="F51" s="202">
        <f t="shared" si="26"/>
        <v>54.522</v>
      </c>
      <c r="G51" s="203"/>
      <c r="H51" s="116" t="s">
        <v>70</v>
      </c>
      <c r="I51" s="200"/>
      <c r="J51" s="358">
        <f>K51</f>
        <v>3.828173375</v>
      </c>
      <c r="K51" s="205">
        <f>O44/25.84</f>
        <v>3.828173375</v>
      </c>
      <c r="L51" s="206">
        <f>K51</f>
        <v>3.828173375</v>
      </c>
      <c r="M51" s="4"/>
      <c r="N51" s="4"/>
      <c r="O51" s="4"/>
      <c r="P51" s="62"/>
      <c r="Q51" s="62"/>
      <c r="R51" s="111"/>
      <c r="S51" s="4"/>
      <c r="T51" s="62"/>
      <c r="Y51" s="62"/>
      <c r="Z51" s="62"/>
      <c r="AA51" s="62"/>
      <c r="AB51" s="62"/>
      <c r="AC51" s="62"/>
      <c r="AD51" s="62"/>
      <c r="AE51" s="62"/>
      <c r="AF51" s="62"/>
      <c r="AG51" s="62"/>
      <c r="AH51" s="62"/>
      <c r="AI51" s="62"/>
      <c r="AJ51" s="62"/>
      <c r="AK51" s="62"/>
    </row>
    <row r="52">
      <c r="A52" s="112"/>
      <c r="B52" s="207" t="s">
        <v>71</v>
      </c>
      <c r="C52" s="208"/>
      <c r="D52" s="327">
        <f>SUM(C8:C13)-C11</f>
        <v>3275</v>
      </c>
      <c r="E52" s="209">
        <f>D52</f>
        <v>3275</v>
      </c>
      <c r="F52" s="210">
        <f>D52</f>
        <v>3275</v>
      </c>
      <c r="G52" s="211"/>
      <c r="H52" s="123" t="s">
        <v>72</v>
      </c>
      <c r="I52" s="208"/>
      <c r="J52" s="359">
        <f t="shared" ref="J52:L52" si="27">D61/2.564</f>
        <v>122.074883</v>
      </c>
      <c r="K52" s="213">
        <f t="shared" si="27"/>
        <v>121.6848674</v>
      </c>
      <c r="L52" s="214">
        <f t="shared" si="27"/>
        <v>121.6848674</v>
      </c>
      <c r="M52" s="4"/>
      <c r="N52" s="4"/>
      <c r="O52" s="4"/>
      <c r="P52" s="62"/>
      <c r="Q52" s="62"/>
      <c r="R52" s="111"/>
      <c r="S52" s="4"/>
      <c r="T52" s="62"/>
      <c r="Y52" s="62"/>
      <c r="Z52" s="62"/>
      <c r="AA52" s="62"/>
      <c r="AB52" s="62"/>
      <c r="AC52" s="62"/>
      <c r="AD52" s="62"/>
      <c r="AE52" s="62"/>
      <c r="AF52" s="62"/>
      <c r="AG52" s="62"/>
      <c r="AH52" s="62"/>
      <c r="AI52" s="62"/>
      <c r="AJ52" s="62"/>
      <c r="AK52" s="62"/>
    </row>
    <row r="53">
      <c r="A53" s="112"/>
      <c r="B53" s="199" t="s">
        <v>73</v>
      </c>
      <c r="C53" s="200"/>
      <c r="D53" s="321">
        <f t="shared" ref="D53:F53" si="28">L8+L9+L12</f>
        <v>36.78</v>
      </c>
      <c r="E53" s="201">
        <f t="shared" si="28"/>
        <v>38.985</v>
      </c>
      <c r="F53" s="202">
        <f t="shared" si="28"/>
        <v>41.19</v>
      </c>
      <c r="G53" s="113"/>
      <c r="H53" s="215" t="s">
        <v>74</v>
      </c>
      <c r="I53" s="216"/>
      <c r="J53" s="360">
        <f t="shared" ref="J53:L53" si="29">O15*2.205</f>
        <v>259.55055</v>
      </c>
      <c r="K53" s="218">
        <f t="shared" si="29"/>
        <v>282.25764</v>
      </c>
      <c r="L53" s="219">
        <f t="shared" si="29"/>
        <v>304.96473</v>
      </c>
      <c r="M53" s="4"/>
      <c r="N53" s="4"/>
      <c r="O53" s="4"/>
      <c r="P53" s="62"/>
      <c r="Q53" s="62"/>
      <c r="R53" s="111"/>
      <c r="S53" s="4"/>
      <c r="T53" s="62"/>
      <c r="U53" s="62"/>
      <c r="V53" s="62"/>
      <c r="W53" s="62"/>
      <c r="X53" s="62"/>
      <c r="Y53" s="62"/>
      <c r="Z53" s="62"/>
      <c r="AA53" s="62"/>
      <c r="AB53" s="62"/>
      <c r="AC53" s="62"/>
      <c r="AD53" s="62"/>
      <c r="AE53" s="62"/>
      <c r="AF53" s="62"/>
      <c r="AG53" s="62"/>
      <c r="AH53" s="62"/>
      <c r="AI53" s="62"/>
      <c r="AJ53" s="62"/>
      <c r="AK53" s="62"/>
    </row>
    <row r="54">
      <c r="A54" s="112"/>
      <c r="B54" s="220" t="s">
        <v>75</v>
      </c>
      <c r="C54" s="221"/>
      <c r="D54" s="361">
        <v>16.0</v>
      </c>
      <c r="E54" s="222">
        <v>17.0</v>
      </c>
      <c r="F54" s="223">
        <v>18.0</v>
      </c>
      <c r="G54" s="4"/>
      <c r="H54" s="199"/>
      <c r="J54" s="224"/>
      <c r="K54" s="224"/>
      <c r="L54" s="224"/>
      <c r="M54" s="4"/>
      <c r="N54" s="4"/>
      <c r="O54" s="4"/>
      <c r="P54" s="62"/>
      <c r="Q54" s="62"/>
      <c r="R54" s="111"/>
      <c r="S54" s="4"/>
      <c r="T54" s="62"/>
      <c r="U54" s="62"/>
      <c r="V54" s="62"/>
      <c r="W54" s="62"/>
      <c r="X54" s="62"/>
      <c r="Y54" s="62"/>
      <c r="Z54" s="62"/>
      <c r="AA54" s="62"/>
      <c r="AB54" s="62"/>
      <c r="AC54" s="62"/>
      <c r="AD54" s="62"/>
      <c r="AE54" s="62"/>
      <c r="AF54" s="62"/>
      <c r="AG54" s="62"/>
      <c r="AH54" s="62"/>
      <c r="AI54" s="62"/>
      <c r="AJ54" s="62"/>
      <c r="AK54" s="62"/>
    </row>
    <row r="55">
      <c r="A55" s="109"/>
      <c r="B55" s="144"/>
      <c r="C55" s="144"/>
      <c r="D55" s="362"/>
      <c r="E55" s="144"/>
      <c r="F55" s="144"/>
      <c r="G55" s="4"/>
      <c r="H55" s="4"/>
      <c r="I55" s="4"/>
      <c r="J55" s="4"/>
      <c r="K55" s="4"/>
      <c r="L55" s="4"/>
      <c r="M55" s="4"/>
      <c r="N55" s="4"/>
      <c r="O55" s="4"/>
      <c r="P55" s="62"/>
      <c r="Q55" s="62"/>
      <c r="R55" s="111"/>
      <c r="S55" s="4"/>
      <c r="T55" s="62"/>
      <c r="U55" s="62"/>
      <c r="V55" s="62"/>
      <c r="W55" s="62"/>
      <c r="X55" s="62"/>
      <c r="Y55" s="62"/>
      <c r="Z55" s="62"/>
      <c r="AA55" s="62"/>
      <c r="AB55" s="62"/>
      <c r="AC55" s="62"/>
      <c r="AD55" s="62"/>
      <c r="AE55" s="62"/>
      <c r="AF55" s="62"/>
      <c r="AG55" s="62"/>
      <c r="AH55" s="62"/>
      <c r="AI55" s="62"/>
      <c r="AJ55" s="62"/>
      <c r="AK55" s="62"/>
    </row>
    <row r="56">
      <c r="A56" s="112"/>
      <c r="B56" s="225" t="s">
        <v>76</v>
      </c>
      <c r="C56" s="221"/>
      <c r="D56" s="363">
        <f t="shared" ref="D56:F56" si="30">$O38*(0.76+D54-1)</f>
        <v>78800</v>
      </c>
      <c r="E56" s="226">
        <f t="shared" si="30"/>
        <v>83800</v>
      </c>
      <c r="F56" s="227">
        <f t="shared" si="30"/>
        <v>88800</v>
      </c>
      <c r="G56" s="4"/>
      <c r="H56" s="4"/>
      <c r="I56" s="4"/>
      <c r="J56" s="4"/>
      <c r="K56" s="4"/>
      <c r="L56" s="4"/>
      <c r="M56" s="4"/>
      <c r="N56" s="4"/>
      <c r="O56" s="4"/>
      <c r="P56" s="62"/>
      <c r="Q56" s="62"/>
      <c r="R56" s="111"/>
      <c r="S56" s="4"/>
      <c r="T56" s="62"/>
      <c r="U56" s="62"/>
      <c r="V56" s="62"/>
      <c r="W56" s="62"/>
      <c r="X56" s="62"/>
      <c r="Y56" s="62"/>
      <c r="Z56" s="62"/>
      <c r="AA56" s="62"/>
      <c r="AB56" s="62"/>
      <c r="AC56" s="62"/>
      <c r="AD56" s="62"/>
      <c r="AE56" s="62"/>
      <c r="AF56" s="62"/>
      <c r="AG56" s="62"/>
      <c r="AH56" s="62"/>
      <c r="AI56" s="62"/>
      <c r="AJ56" s="62"/>
      <c r="AK56" s="62"/>
    </row>
    <row r="57">
      <c r="A57" s="191"/>
      <c r="B57" s="192"/>
      <c r="C57" s="192"/>
      <c r="D57" s="192"/>
      <c r="E57" s="192"/>
      <c r="F57" s="192"/>
      <c r="G57" s="192"/>
      <c r="H57" s="192"/>
      <c r="I57" s="192"/>
      <c r="J57" s="192"/>
      <c r="K57" s="192"/>
      <c r="L57" s="192"/>
      <c r="M57" s="192"/>
      <c r="N57" s="192"/>
      <c r="O57" s="192"/>
      <c r="P57" s="194"/>
      <c r="Q57" s="194"/>
      <c r="R57" s="195"/>
      <c r="S57" s="4"/>
      <c r="T57" s="62"/>
      <c r="U57" s="62"/>
      <c r="V57" s="62"/>
      <c r="W57" s="62"/>
      <c r="X57" s="62"/>
      <c r="Y57" s="62"/>
      <c r="Z57" s="62"/>
      <c r="AA57" s="62"/>
      <c r="AB57" s="62"/>
      <c r="AC57" s="62"/>
      <c r="AD57" s="62"/>
      <c r="AE57" s="62"/>
      <c r="AF57" s="62"/>
      <c r="AG57" s="62"/>
      <c r="AH57" s="62"/>
      <c r="AI57" s="62"/>
      <c r="AJ57" s="62"/>
      <c r="AK57" s="62"/>
    </row>
    <row r="58">
      <c r="A58" s="109"/>
      <c r="B58" s="110"/>
      <c r="C58" s="110"/>
      <c r="D58" s="110"/>
      <c r="E58" s="110"/>
      <c r="F58" s="110"/>
      <c r="G58" s="62"/>
      <c r="H58" s="110"/>
      <c r="I58" s="110"/>
      <c r="J58" s="110"/>
      <c r="K58" s="110"/>
      <c r="L58" s="110"/>
      <c r="M58" s="62"/>
      <c r="N58" s="110"/>
      <c r="O58" s="110"/>
      <c r="P58" s="110"/>
      <c r="Q58" s="110"/>
      <c r="R58" s="111"/>
      <c r="S58" s="4"/>
      <c r="T58" s="62"/>
      <c r="U58" s="62"/>
      <c r="V58" s="62"/>
      <c r="W58" s="62"/>
      <c r="X58" s="62"/>
      <c r="Y58" s="62"/>
      <c r="Z58" s="62"/>
      <c r="AA58" s="62"/>
      <c r="AB58" s="62"/>
      <c r="AC58" s="62"/>
      <c r="AD58" s="62"/>
      <c r="AE58" s="62"/>
      <c r="AF58" s="62"/>
      <c r="AG58" s="62"/>
      <c r="AH58" s="62"/>
      <c r="AI58" s="62"/>
      <c r="AJ58" s="62"/>
      <c r="AK58" s="62"/>
    </row>
    <row r="59">
      <c r="A59" s="112"/>
      <c r="B59" s="121" t="s">
        <v>77</v>
      </c>
      <c r="C59" s="7"/>
      <c r="D59" s="7"/>
      <c r="E59" s="7"/>
      <c r="F59" s="8"/>
      <c r="G59" s="113"/>
      <c r="H59" s="121" t="s">
        <v>78</v>
      </c>
      <c r="I59" s="7"/>
      <c r="J59" s="7"/>
      <c r="K59" s="7"/>
      <c r="L59" s="8"/>
      <c r="M59" s="113"/>
      <c r="N59" s="228" t="s">
        <v>79</v>
      </c>
      <c r="O59" s="7"/>
      <c r="P59" s="7"/>
      <c r="Q59" s="8"/>
      <c r="R59" s="111"/>
      <c r="S59" s="4"/>
      <c r="T59" s="62"/>
      <c r="U59" s="62"/>
      <c r="V59" s="62"/>
      <c r="W59" s="62"/>
      <c r="X59" s="62"/>
      <c r="Y59" s="62"/>
      <c r="Z59" s="62"/>
      <c r="AA59" s="62"/>
      <c r="AB59" s="62"/>
      <c r="AC59" s="62"/>
      <c r="AD59" s="62"/>
      <c r="AE59" s="62"/>
      <c r="AF59" s="62"/>
      <c r="AG59" s="62"/>
      <c r="AH59" s="62"/>
      <c r="AI59" s="62"/>
      <c r="AJ59" s="62"/>
      <c r="AK59" s="62"/>
    </row>
    <row r="60">
      <c r="A60" s="112"/>
      <c r="B60" s="121" t="s">
        <v>29</v>
      </c>
      <c r="C60" s="8"/>
      <c r="D60" s="343" t="s">
        <v>130</v>
      </c>
      <c r="E60" s="344" t="s">
        <v>131</v>
      </c>
      <c r="F60" s="122" t="s">
        <v>10</v>
      </c>
      <c r="G60" s="113"/>
      <c r="H60" s="115" t="s">
        <v>29</v>
      </c>
      <c r="I60" s="13"/>
      <c r="J60" s="343" t="s">
        <v>130</v>
      </c>
      <c r="K60" s="344" t="s">
        <v>131</v>
      </c>
      <c r="L60" s="122" t="s">
        <v>10</v>
      </c>
      <c r="M60" s="113"/>
      <c r="N60" s="232" t="s">
        <v>29</v>
      </c>
      <c r="O60" s="343" t="s">
        <v>130</v>
      </c>
      <c r="P60" s="344" t="s">
        <v>131</v>
      </c>
      <c r="Q60" s="122" t="s">
        <v>10</v>
      </c>
      <c r="R60" s="111"/>
      <c r="S60" s="4"/>
      <c r="T60" s="62"/>
      <c r="U60" s="62"/>
      <c r="V60" s="62"/>
      <c r="W60" s="62"/>
      <c r="X60" s="62"/>
      <c r="Y60" s="62"/>
      <c r="Z60" s="62"/>
      <c r="AA60" s="62"/>
      <c r="AB60" s="62"/>
      <c r="AC60" s="62"/>
      <c r="AD60" s="62"/>
      <c r="AE60" s="62"/>
      <c r="AF60" s="62"/>
      <c r="AG60" s="62"/>
      <c r="AH60" s="62"/>
      <c r="AI60" s="62"/>
      <c r="AJ60" s="62"/>
      <c r="AK60" s="62"/>
    </row>
    <row r="61">
      <c r="A61" s="112"/>
      <c r="B61" s="116" t="s">
        <v>80</v>
      </c>
      <c r="C61" s="200"/>
      <c r="D61" s="318">
        <v>313.0</v>
      </c>
      <c r="E61" s="236">
        <v>312.0</v>
      </c>
      <c r="F61" s="249">
        <v>312.0</v>
      </c>
      <c r="G61" s="113"/>
      <c r="H61" s="116" t="s">
        <v>81</v>
      </c>
      <c r="I61" s="200"/>
      <c r="J61" s="364">
        <v>30469.0</v>
      </c>
      <c r="K61" s="238">
        <v>30419.0</v>
      </c>
      <c r="L61" s="269">
        <v>30213.0</v>
      </c>
      <c r="M61" s="113"/>
      <c r="N61" s="239" t="s">
        <v>82</v>
      </c>
      <c r="O61" s="365">
        <f t="shared" ref="O61:Q61" si="31">-(D63-J64)/D63</f>
        <v>-0.129173104</v>
      </c>
      <c r="P61" s="240">
        <f t="shared" si="31"/>
        <v>-0.1349016737</v>
      </c>
      <c r="Q61" s="241">
        <f t="shared" si="31"/>
        <v>-0.1426801018</v>
      </c>
      <c r="R61" s="111"/>
      <c r="S61" s="4"/>
      <c r="T61" s="62"/>
      <c r="U61" s="62"/>
      <c r="V61" s="62"/>
      <c r="W61" s="62"/>
      <c r="X61" s="62"/>
      <c r="Y61" s="62"/>
      <c r="Z61" s="62"/>
      <c r="AA61" s="62"/>
      <c r="AB61" s="62"/>
      <c r="AC61" s="62"/>
      <c r="AD61" s="62"/>
      <c r="AE61" s="62"/>
      <c r="AF61" s="62"/>
      <c r="AG61" s="62"/>
      <c r="AH61" s="62"/>
      <c r="AI61" s="62"/>
      <c r="AJ61" s="62"/>
      <c r="AK61" s="62"/>
    </row>
    <row r="62">
      <c r="A62" s="112"/>
      <c r="B62" s="123" t="s">
        <v>83</v>
      </c>
      <c r="C62" s="208"/>
      <c r="D62" s="324">
        <v>28.2</v>
      </c>
      <c r="E62" s="242">
        <v>26.6</v>
      </c>
      <c r="F62" s="270">
        <v>25.4</v>
      </c>
      <c r="G62" s="113"/>
      <c r="H62" s="123" t="s">
        <v>84</v>
      </c>
      <c r="I62" s="208"/>
      <c r="J62" s="366">
        <v>1592.6</v>
      </c>
      <c r="K62" s="244">
        <v>1550.3</v>
      </c>
      <c r="L62" s="271">
        <v>1511.6</v>
      </c>
      <c r="M62" s="113"/>
      <c r="N62" s="245" t="s">
        <v>85</v>
      </c>
      <c r="O62" s="367">
        <f t="shared" ref="O62:Q62" si="32">-(D65-J65)/D65</f>
        <v>-0.01140368138</v>
      </c>
      <c r="P62" s="246">
        <f t="shared" si="32"/>
        <v>-0.003146874281</v>
      </c>
      <c r="Q62" s="247">
        <f t="shared" si="32"/>
        <v>0.003732455765</v>
      </c>
      <c r="R62" s="111"/>
      <c r="S62" s="4"/>
      <c r="T62" s="62"/>
      <c r="U62" s="62"/>
      <c r="V62" s="62"/>
      <c r="W62" s="62"/>
      <c r="X62" s="62"/>
      <c r="Y62" s="62"/>
      <c r="Z62" s="62"/>
      <c r="AA62" s="62"/>
      <c r="AB62" s="62"/>
      <c r="AC62" s="62"/>
      <c r="AD62" s="62"/>
      <c r="AE62" s="62"/>
      <c r="AF62" s="62"/>
      <c r="AG62" s="62"/>
      <c r="AH62" s="62"/>
      <c r="AI62" s="62"/>
      <c r="AJ62" s="62"/>
      <c r="AK62" s="62"/>
    </row>
    <row r="63">
      <c r="A63" s="112"/>
      <c r="B63" s="116" t="s">
        <v>86</v>
      </c>
      <c r="C63" s="200"/>
      <c r="D63" s="318">
        <v>10664.0</v>
      </c>
      <c r="E63" s="248">
        <v>10717.0</v>
      </c>
      <c r="F63" s="249">
        <v>10741.0</v>
      </c>
      <c r="G63" s="113"/>
      <c r="H63" s="250" t="s">
        <v>87</v>
      </c>
      <c r="I63" s="216"/>
      <c r="J63" s="368">
        <v>46.6</v>
      </c>
      <c r="K63" s="252">
        <v>47.5</v>
      </c>
      <c r="L63" s="272">
        <v>48.3</v>
      </c>
      <c r="M63" s="113"/>
      <c r="N63" s="254" t="s">
        <v>88</v>
      </c>
      <c r="O63" s="369">
        <f t="shared" ref="O63:Q63" si="33">-(D64-J63)/D64</f>
        <v>-0.06986027944</v>
      </c>
      <c r="P63" s="255">
        <f t="shared" si="33"/>
        <v>-0.07407407407</v>
      </c>
      <c r="Q63" s="256">
        <f t="shared" si="33"/>
        <v>-0.07824427481</v>
      </c>
      <c r="R63" s="111"/>
      <c r="S63" s="4"/>
      <c r="T63" s="62"/>
      <c r="U63" s="62"/>
      <c r="V63" s="62"/>
      <c r="W63" s="62"/>
      <c r="X63" s="62"/>
      <c r="Y63" s="62"/>
      <c r="Z63" s="62"/>
      <c r="AA63" s="62"/>
      <c r="AB63" s="62"/>
      <c r="AC63" s="62"/>
      <c r="AD63" s="62"/>
      <c r="AE63" s="62"/>
      <c r="AF63" s="62"/>
      <c r="AG63" s="62"/>
      <c r="AH63" s="62"/>
      <c r="AI63" s="62"/>
      <c r="AJ63" s="62"/>
      <c r="AK63" s="62"/>
    </row>
    <row r="64">
      <c r="A64" s="112"/>
      <c r="B64" s="123" t="s">
        <v>87</v>
      </c>
      <c r="C64" s="208"/>
      <c r="D64" s="324">
        <v>50.1</v>
      </c>
      <c r="E64" s="242">
        <v>51.3</v>
      </c>
      <c r="F64" s="270">
        <v>52.4</v>
      </c>
      <c r="G64" s="113"/>
      <c r="H64" s="123" t="s">
        <v>86</v>
      </c>
      <c r="I64" s="208"/>
      <c r="J64" s="370">
        <f t="shared" ref="J64:L64" si="34">J61/3.281</f>
        <v>9286.498019</v>
      </c>
      <c r="K64" s="248">
        <f t="shared" si="34"/>
        <v>9271.258763</v>
      </c>
      <c r="L64" s="257">
        <f t="shared" si="34"/>
        <v>9208.473027</v>
      </c>
      <c r="M64" s="4"/>
      <c r="N64" s="4"/>
      <c r="O64" s="4"/>
      <c r="P64" s="62"/>
      <c r="Q64" s="62"/>
      <c r="R64" s="111"/>
      <c r="S64" s="4"/>
      <c r="T64" s="62"/>
      <c r="U64" s="62"/>
      <c r="V64" s="62"/>
      <c r="W64" s="62"/>
      <c r="X64" s="62"/>
      <c r="Y64" s="62"/>
      <c r="Z64" s="62"/>
      <c r="AA64" s="62"/>
      <c r="AB64" s="62"/>
      <c r="AC64" s="62"/>
      <c r="AD64" s="62"/>
      <c r="AE64" s="62"/>
      <c r="AF64" s="62"/>
      <c r="AG64" s="62"/>
      <c r="AH64" s="62"/>
      <c r="AI64" s="62"/>
      <c r="AJ64" s="62"/>
      <c r="AK64" s="62"/>
    </row>
    <row r="65">
      <c r="A65" s="5"/>
      <c r="B65" s="116" t="s">
        <v>89</v>
      </c>
      <c r="C65" s="200"/>
      <c r="D65" s="318">
        <v>491.0</v>
      </c>
      <c r="E65" s="236">
        <v>474.0</v>
      </c>
      <c r="F65" s="249">
        <v>459.0</v>
      </c>
      <c r="G65" s="113"/>
      <c r="H65" s="116" t="s">
        <v>89</v>
      </c>
      <c r="I65" s="200"/>
      <c r="J65" s="321">
        <f t="shared" ref="J65:L65" si="35">J62/3.281</f>
        <v>485.4007924</v>
      </c>
      <c r="K65" s="201">
        <f t="shared" si="35"/>
        <v>472.5083816</v>
      </c>
      <c r="L65" s="202">
        <f t="shared" si="35"/>
        <v>460.7131972</v>
      </c>
      <c r="M65" s="4"/>
      <c r="N65" s="4"/>
      <c r="O65" s="4"/>
      <c r="P65" s="62"/>
      <c r="Q65" s="62"/>
      <c r="R65" s="111"/>
      <c r="S65" s="4"/>
      <c r="T65" s="62"/>
      <c r="U65" s="62"/>
      <c r="V65" s="62"/>
      <c r="W65" s="62"/>
      <c r="X65" s="62"/>
      <c r="Y65" s="62"/>
      <c r="Z65" s="62"/>
      <c r="AA65" s="62"/>
      <c r="AB65" s="62"/>
      <c r="AC65" s="62"/>
      <c r="AD65" s="62"/>
      <c r="AE65" s="62"/>
      <c r="AF65" s="62"/>
      <c r="AG65" s="62"/>
      <c r="AH65" s="62"/>
      <c r="AI65" s="62"/>
      <c r="AJ65" s="62"/>
      <c r="AK65" s="62"/>
    </row>
    <row r="66">
      <c r="A66" s="5"/>
      <c r="B66" s="123" t="s">
        <v>90</v>
      </c>
      <c r="C66" s="208"/>
      <c r="D66" s="324">
        <v>1.511</v>
      </c>
      <c r="E66" s="242">
        <v>1.463</v>
      </c>
      <c r="F66" s="270">
        <v>1.417</v>
      </c>
      <c r="G66" s="113"/>
      <c r="H66" s="258" t="s">
        <v>91</v>
      </c>
      <c r="I66" s="221"/>
      <c r="J66" s="371">
        <v>1.49</v>
      </c>
      <c r="K66" s="260">
        <v>1.455</v>
      </c>
      <c r="L66" s="273">
        <v>1.42</v>
      </c>
      <c r="M66" s="4"/>
      <c r="N66" s="4"/>
      <c r="O66" s="4"/>
      <c r="P66" s="62"/>
      <c r="Q66" s="62"/>
      <c r="R66" s="111"/>
      <c r="S66" s="4"/>
      <c r="T66" s="62"/>
      <c r="U66" s="62"/>
      <c r="V66" s="62"/>
      <c r="W66" s="62"/>
      <c r="X66" s="62"/>
      <c r="Y66" s="62"/>
      <c r="Z66" s="62"/>
      <c r="AA66" s="62"/>
      <c r="AB66" s="62"/>
      <c r="AC66" s="62"/>
      <c r="AD66" s="62"/>
      <c r="AE66" s="62"/>
      <c r="AF66" s="62"/>
      <c r="AG66" s="62"/>
      <c r="AH66" s="62"/>
      <c r="AI66" s="62"/>
      <c r="AJ66" s="62"/>
      <c r="AK66" s="62"/>
    </row>
    <row r="67">
      <c r="A67" s="5"/>
      <c r="B67" s="116" t="s">
        <v>92</v>
      </c>
      <c r="C67" s="200"/>
      <c r="D67" s="318">
        <v>34.4</v>
      </c>
      <c r="E67" s="236">
        <v>30.9</v>
      </c>
      <c r="F67" s="249">
        <v>27.9</v>
      </c>
      <c r="G67" s="4"/>
      <c r="H67" s="4"/>
      <c r="I67" s="4"/>
      <c r="J67" s="4"/>
      <c r="K67" s="4"/>
      <c r="L67" s="4"/>
      <c r="M67" s="4"/>
      <c r="N67" s="4"/>
      <c r="O67" s="4"/>
      <c r="P67" s="62"/>
      <c r="Q67" s="62"/>
      <c r="R67" s="111"/>
      <c r="S67" s="4"/>
      <c r="T67" s="62"/>
      <c r="U67" s="62"/>
      <c r="V67" s="62"/>
      <c r="W67" s="62"/>
      <c r="X67" s="62"/>
      <c r="Y67" s="62"/>
      <c r="Z67" s="62"/>
      <c r="AA67" s="62"/>
      <c r="AB67" s="62"/>
      <c r="AC67" s="62"/>
      <c r="AD67" s="62"/>
      <c r="AE67" s="62"/>
      <c r="AF67" s="62"/>
      <c r="AG67" s="62"/>
      <c r="AH67" s="62"/>
      <c r="AI67" s="62"/>
      <c r="AJ67" s="62"/>
      <c r="AK67" s="62"/>
    </row>
    <row r="68">
      <c r="A68" s="5"/>
      <c r="B68" s="258" t="s">
        <v>93</v>
      </c>
      <c r="C68" s="221"/>
      <c r="D68" s="372">
        <f t="shared" ref="D68:F68" si="36">D67/9.81</f>
        <v>3.506625892</v>
      </c>
      <c r="E68" s="259">
        <f t="shared" si="36"/>
        <v>3.149847095</v>
      </c>
      <c r="F68" s="261">
        <f t="shared" si="36"/>
        <v>2.844036697</v>
      </c>
      <c r="G68" s="4"/>
      <c r="H68" s="4"/>
      <c r="I68" s="4"/>
      <c r="J68" s="4"/>
      <c r="K68" s="4"/>
      <c r="L68" s="4"/>
      <c r="M68" s="4"/>
      <c r="N68" s="4"/>
      <c r="O68" s="4"/>
      <c r="P68" s="62"/>
      <c r="Q68" s="62"/>
      <c r="R68" s="111"/>
      <c r="S68" s="4"/>
      <c r="T68" s="62"/>
      <c r="U68" s="62"/>
      <c r="V68" s="62"/>
      <c r="W68" s="62"/>
      <c r="X68" s="62"/>
      <c r="Y68" s="62"/>
      <c r="Z68" s="62"/>
      <c r="AA68" s="62"/>
      <c r="AB68" s="62"/>
      <c r="AC68" s="62"/>
      <c r="AD68" s="62"/>
      <c r="AE68" s="62"/>
      <c r="AF68" s="62"/>
      <c r="AG68" s="62"/>
      <c r="AH68" s="62"/>
      <c r="AI68" s="62"/>
      <c r="AJ68" s="62"/>
      <c r="AK68" s="62"/>
    </row>
    <row r="69">
      <c r="A69" s="102"/>
      <c r="B69" s="192"/>
      <c r="C69" s="192"/>
      <c r="D69" s="192"/>
      <c r="E69" s="194"/>
      <c r="F69" s="194"/>
      <c r="G69" s="194"/>
      <c r="H69" s="194"/>
      <c r="I69" s="194"/>
      <c r="J69" s="194"/>
      <c r="K69" s="194"/>
      <c r="L69" s="194"/>
      <c r="M69" s="194"/>
      <c r="N69" s="194"/>
      <c r="O69" s="194"/>
      <c r="P69" s="194"/>
      <c r="Q69" s="194"/>
      <c r="R69" s="195"/>
      <c r="S69" s="4"/>
      <c r="T69" s="62"/>
      <c r="U69" s="62"/>
      <c r="V69" s="62"/>
      <c r="W69" s="62"/>
      <c r="X69" s="62"/>
      <c r="Y69" s="62"/>
      <c r="Z69" s="62"/>
      <c r="AA69" s="62"/>
      <c r="AB69" s="62"/>
      <c r="AC69" s="62"/>
      <c r="AD69" s="62"/>
      <c r="AE69" s="62"/>
      <c r="AF69" s="62"/>
      <c r="AG69" s="62"/>
      <c r="AH69" s="62"/>
      <c r="AI69" s="62"/>
      <c r="AJ69" s="62"/>
      <c r="AK69" s="62"/>
    </row>
    <row r="70">
      <c r="A70" s="4"/>
      <c r="B70" s="4"/>
      <c r="C70" s="4"/>
      <c r="D70" s="4"/>
      <c r="E70" s="62"/>
      <c r="F70" s="62"/>
      <c r="G70" s="62"/>
      <c r="H70" s="62"/>
      <c r="I70" s="62"/>
      <c r="J70" s="62"/>
      <c r="K70" s="62"/>
      <c r="L70" s="62"/>
      <c r="M70" s="62"/>
      <c r="N70" s="62"/>
      <c r="O70" s="62"/>
      <c r="P70" s="62"/>
      <c r="Q70" s="62"/>
      <c r="R70" s="62"/>
      <c r="S70" s="4"/>
      <c r="T70" s="62"/>
      <c r="U70" s="62"/>
      <c r="V70" s="62"/>
      <c r="W70" s="62"/>
      <c r="X70" s="62"/>
      <c r="Y70" s="62"/>
      <c r="Z70" s="62"/>
      <c r="AA70" s="62"/>
      <c r="AB70" s="62"/>
      <c r="AC70" s="62"/>
      <c r="AD70" s="62"/>
      <c r="AE70" s="62"/>
      <c r="AF70" s="62"/>
      <c r="AG70" s="62"/>
      <c r="AH70" s="62"/>
      <c r="AI70" s="62"/>
      <c r="AJ70" s="62"/>
      <c r="AK70" s="62"/>
    </row>
    <row r="71">
      <c r="A71" s="4"/>
      <c r="B71" s="4"/>
      <c r="C71" s="4"/>
      <c r="D71" s="4"/>
      <c r="E71" s="62"/>
      <c r="F71" s="62"/>
      <c r="G71" s="62"/>
      <c r="H71" s="62"/>
      <c r="I71" s="62"/>
      <c r="J71" s="62"/>
      <c r="K71" s="62"/>
      <c r="L71" s="62"/>
      <c r="M71" s="62"/>
      <c r="N71" s="62"/>
      <c r="O71" s="62"/>
      <c r="P71" s="62"/>
      <c r="Q71" s="62"/>
      <c r="R71" s="62"/>
      <c r="S71" s="4"/>
      <c r="T71" s="4"/>
      <c r="U71" s="62"/>
      <c r="V71" s="62"/>
      <c r="W71" s="4"/>
      <c r="X71" s="4"/>
      <c r="Y71" s="4"/>
      <c r="Z71" s="4"/>
      <c r="AA71" s="4"/>
      <c r="AB71" s="4"/>
      <c r="AC71" s="4"/>
      <c r="AD71" s="4"/>
      <c r="AE71" s="4"/>
      <c r="AF71" s="4"/>
      <c r="AG71" s="4"/>
      <c r="AH71" s="4"/>
      <c r="AI71" s="4"/>
      <c r="AJ71" s="4"/>
      <c r="AK71" s="4"/>
    </row>
    <row r="72">
      <c r="A72" s="4"/>
      <c r="B72" s="4"/>
      <c r="C72" s="4"/>
      <c r="D72" s="4"/>
      <c r="E72" s="62"/>
      <c r="F72" s="62"/>
      <c r="G72" s="62"/>
      <c r="H72" s="62"/>
      <c r="I72" s="62"/>
      <c r="J72" s="62"/>
      <c r="K72" s="62"/>
      <c r="L72" s="62"/>
      <c r="M72" s="62"/>
      <c r="N72" s="62"/>
      <c r="O72" s="62"/>
      <c r="P72" s="62"/>
      <c r="Q72" s="62"/>
      <c r="R72" s="62"/>
      <c r="S72" s="4"/>
      <c r="T72" s="4"/>
      <c r="U72" s="62"/>
      <c r="V72" s="62"/>
      <c r="W72" s="4"/>
      <c r="X72" s="4"/>
      <c r="Y72" s="4"/>
      <c r="Z72" s="4"/>
      <c r="AA72" s="4"/>
      <c r="AB72" s="4"/>
      <c r="AC72" s="4"/>
      <c r="AD72" s="4"/>
      <c r="AE72" s="4"/>
      <c r="AF72" s="4"/>
      <c r="AG72" s="4"/>
      <c r="AH72" s="4"/>
      <c r="AI72" s="4"/>
      <c r="AJ72" s="4"/>
      <c r="AK72" s="4"/>
    </row>
    <row r="73">
      <c r="A73" s="4"/>
      <c r="B73" s="4"/>
      <c r="C73" s="4"/>
      <c r="D73" s="4"/>
      <c r="E73" s="4"/>
      <c r="F73" s="4"/>
      <c r="G73" s="4"/>
      <c r="H73" s="4"/>
      <c r="I73" s="4"/>
      <c r="J73" s="4"/>
      <c r="K73" s="4"/>
      <c r="L73" s="4"/>
      <c r="M73" s="4"/>
      <c r="N73" s="4"/>
      <c r="O73" s="4"/>
      <c r="P73" s="4"/>
      <c r="Q73" s="4"/>
      <c r="R73" s="4"/>
      <c r="S73" s="4"/>
      <c r="T73" s="4"/>
      <c r="U73" s="62"/>
      <c r="V73" s="62"/>
      <c r="W73" s="4"/>
      <c r="X73" s="4"/>
      <c r="Y73" s="4"/>
      <c r="Z73" s="4"/>
      <c r="AA73" s="4"/>
      <c r="AB73" s="4"/>
      <c r="AC73" s="4"/>
      <c r="AD73" s="4"/>
      <c r="AE73" s="4"/>
      <c r="AF73" s="4"/>
      <c r="AG73" s="4"/>
      <c r="AH73" s="4"/>
      <c r="AI73" s="4"/>
      <c r="AJ73" s="4"/>
      <c r="AK73" s="4"/>
    </row>
    <row r="74">
      <c r="A74" s="4"/>
      <c r="B74" s="4"/>
      <c r="C74" s="62"/>
      <c r="D74" s="62"/>
      <c r="E74" s="4"/>
      <c r="F74" s="4"/>
      <c r="G74" s="4"/>
      <c r="H74" s="4"/>
      <c r="I74" s="4"/>
      <c r="J74" s="4"/>
      <c r="K74" s="4"/>
      <c r="L74" s="4"/>
      <c r="M74" s="4"/>
      <c r="N74" s="4"/>
      <c r="O74" s="4"/>
      <c r="P74" s="4"/>
      <c r="Q74" s="4"/>
      <c r="R74" s="4"/>
      <c r="S74" s="4"/>
      <c r="T74" s="4"/>
      <c r="U74" s="62"/>
      <c r="V74" s="62"/>
      <c r="W74" s="4"/>
      <c r="X74" s="4"/>
      <c r="Y74" s="4"/>
      <c r="Z74" s="4"/>
      <c r="AA74" s="4"/>
      <c r="AB74" s="4"/>
      <c r="AC74" s="4"/>
      <c r="AD74" s="4"/>
      <c r="AE74" s="4"/>
      <c r="AF74" s="4"/>
      <c r="AG74" s="4"/>
      <c r="AH74" s="4"/>
      <c r="AI74" s="4"/>
      <c r="AJ74" s="4"/>
      <c r="AK74" s="4"/>
    </row>
    <row r="75">
      <c r="A75" s="4"/>
      <c r="B75" s="4"/>
      <c r="C75" s="62"/>
      <c r="D75" s="62"/>
      <c r="E75" s="4"/>
      <c r="F75" s="262" t="s">
        <v>94</v>
      </c>
      <c r="G75" s="4"/>
      <c r="H75" s="4"/>
      <c r="I75" s="4"/>
      <c r="J75" s="4"/>
      <c r="K75" s="4"/>
      <c r="L75" s="4"/>
      <c r="M75" s="4"/>
      <c r="N75" s="4"/>
      <c r="O75" s="4"/>
      <c r="P75" s="4"/>
      <c r="Q75" s="4"/>
      <c r="R75" s="4"/>
      <c r="S75" s="4"/>
      <c r="T75" s="4"/>
      <c r="U75" s="62"/>
      <c r="V75" s="62"/>
      <c r="W75" s="4"/>
      <c r="X75" s="4"/>
      <c r="Y75" s="4"/>
      <c r="Z75" s="4"/>
      <c r="AA75" s="4"/>
      <c r="AB75" s="4"/>
      <c r="AC75" s="4"/>
      <c r="AD75" s="4"/>
      <c r="AE75" s="4"/>
      <c r="AF75" s="4"/>
      <c r="AG75" s="4"/>
      <c r="AH75" s="4"/>
      <c r="AI75" s="4"/>
      <c r="AJ75" s="4"/>
      <c r="AK75" s="4"/>
    </row>
    <row r="76">
      <c r="A76" s="4"/>
      <c r="B76" s="4"/>
      <c r="C76" s="4"/>
      <c r="D76" s="4"/>
      <c r="E76" s="4"/>
      <c r="F76" s="4"/>
      <c r="G76" s="263"/>
      <c r="H76" s="4"/>
      <c r="I76" s="4"/>
      <c r="J76" s="4"/>
      <c r="K76" s="4"/>
      <c r="L76" s="4"/>
      <c r="M76" s="4"/>
      <c r="N76" s="4"/>
      <c r="O76" s="4"/>
      <c r="P76" s="4"/>
      <c r="Q76" s="4"/>
      <c r="R76" s="4"/>
      <c r="S76" s="4"/>
      <c r="T76" s="4"/>
      <c r="U76" s="62"/>
      <c r="V76" s="62"/>
      <c r="W76" s="4"/>
      <c r="X76" s="4"/>
      <c r="Y76" s="4"/>
      <c r="Z76" s="4"/>
      <c r="AA76" s="4"/>
      <c r="AB76" s="4"/>
      <c r="AC76" s="4"/>
      <c r="AD76" s="4"/>
      <c r="AE76" s="4"/>
      <c r="AF76" s="4"/>
      <c r="AG76" s="4"/>
      <c r="AH76" s="4"/>
      <c r="AI76" s="4"/>
      <c r="AJ76" s="4"/>
      <c r="AK76" s="4"/>
    </row>
    <row r="77">
      <c r="A77" s="4"/>
      <c r="B77" s="4"/>
      <c r="C77" s="4"/>
      <c r="D77" s="4"/>
      <c r="E77" s="4"/>
      <c r="F77" s="4"/>
      <c r="G77" s="263"/>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c r="A78" s="4"/>
      <c r="B78" s="4"/>
      <c r="C78" s="4"/>
      <c r="D78" s="4"/>
      <c r="E78" s="4"/>
      <c r="F78" s="4"/>
      <c r="G78" s="263"/>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c r="A79" s="4"/>
      <c r="B79" s="4"/>
      <c r="C79" s="4"/>
      <c r="D79" s="4"/>
      <c r="E79" s="4"/>
      <c r="F79" s="4"/>
      <c r="G79" s="263"/>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sheetData>
  <mergeCells count="91">
    <mergeCell ref="G17:H17"/>
    <mergeCell ref="G18:H18"/>
    <mergeCell ref="G19:H19"/>
    <mergeCell ref="G20:H20"/>
    <mergeCell ref="B24:J24"/>
    <mergeCell ref="L24:N24"/>
    <mergeCell ref="B25:D26"/>
    <mergeCell ref="B27:D27"/>
    <mergeCell ref="L27:M27"/>
    <mergeCell ref="B28:D28"/>
    <mergeCell ref="B29:D29"/>
    <mergeCell ref="B30:D30"/>
    <mergeCell ref="L30:O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B49:F49"/>
    <mergeCell ref="H49:L49"/>
    <mergeCell ref="B50:C50"/>
    <mergeCell ref="H50:I50"/>
    <mergeCell ref="B51:C51"/>
    <mergeCell ref="H51:I51"/>
    <mergeCell ref="H52:I52"/>
    <mergeCell ref="H59:L59"/>
    <mergeCell ref="H60:I60"/>
    <mergeCell ref="B52:C52"/>
    <mergeCell ref="B53:C53"/>
    <mergeCell ref="B54:C54"/>
    <mergeCell ref="B56:C56"/>
    <mergeCell ref="B59:F59"/>
    <mergeCell ref="N59:Q59"/>
    <mergeCell ref="B60:C60"/>
    <mergeCell ref="B64:C64"/>
    <mergeCell ref="B65:C65"/>
    <mergeCell ref="B66:C66"/>
    <mergeCell ref="B67:C67"/>
    <mergeCell ref="B68:C68"/>
    <mergeCell ref="H65:I65"/>
    <mergeCell ref="H66:I66"/>
    <mergeCell ref="B61:C61"/>
    <mergeCell ref="H61:I61"/>
    <mergeCell ref="B62:C62"/>
    <mergeCell ref="H62:I62"/>
    <mergeCell ref="B63:C63"/>
    <mergeCell ref="H63:I63"/>
    <mergeCell ref="H64:I64"/>
    <mergeCell ref="A1:R1"/>
    <mergeCell ref="B2:Q2"/>
    <mergeCell ref="C3:E3"/>
    <mergeCell ref="F3:H3"/>
    <mergeCell ref="I3:K3"/>
    <mergeCell ref="L3:N3"/>
    <mergeCell ref="O3:Q3"/>
    <mergeCell ref="L5:N7"/>
    <mergeCell ref="L10:N11"/>
    <mergeCell ref="O11:Q11"/>
    <mergeCell ref="L13:N13"/>
    <mergeCell ref="M17:N17"/>
    <mergeCell ref="M18:N18"/>
    <mergeCell ref="C4:E4"/>
    <mergeCell ref="C5:E5"/>
    <mergeCell ref="C6:E6"/>
    <mergeCell ref="C7:E7"/>
    <mergeCell ref="C8:E8"/>
    <mergeCell ref="C9:E9"/>
    <mergeCell ref="C10:E10"/>
    <mergeCell ref="C11:E11"/>
    <mergeCell ref="C12:E12"/>
    <mergeCell ref="C13:E13"/>
    <mergeCell ref="C14:E14"/>
    <mergeCell ref="C15:E15"/>
    <mergeCell ref="C17:E17"/>
    <mergeCell ref="C18:E18"/>
    <mergeCell ref="E25:G25"/>
    <mergeCell ref="H25:J25"/>
    <mergeCell ref="L25:M25"/>
    <mergeCell ref="L26:M26"/>
    <mergeCell ref="H53:I53"/>
    <mergeCell ref="H54:I54"/>
  </mergeCells>
  <conditionalFormatting sqref="D63:F63">
    <cfRule type="cellIs" dxfId="3" priority="1" operator="lessThan">
      <formula>9000</formula>
    </cfRule>
  </conditionalFormatting>
  <conditionalFormatting sqref="J64:L64">
    <cfRule type="cellIs" dxfId="3" priority="2" operator="lessThan">
      <formula>9000</formula>
    </cfRule>
  </conditionalFormatting>
  <conditionalFormatting sqref="D63:F63">
    <cfRule type="cellIs" dxfId="4" priority="3" operator="greaterThanOrEqual">
      <formula>9000</formula>
    </cfRule>
  </conditionalFormatting>
  <conditionalFormatting sqref="J64:L64">
    <cfRule type="cellIs" dxfId="4" priority="4" operator="greaterThanOrEqual">
      <formula>9000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19" width="18.88"/>
  </cols>
  <sheetData>
    <row r="1">
      <c r="A1" s="373" t="s">
        <v>94</v>
      </c>
      <c r="B1" s="274" t="s">
        <v>133</v>
      </c>
      <c r="L1" s="275"/>
      <c r="M1" s="275"/>
      <c r="N1" s="275"/>
    </row>
    <row r="2" ht="30.0" customHeight="1">
      <c r="B2" s="276" t="s">
        <v>134</v>
      </c>
      <c r="C2" s="277"/>
      <c r="D2" s="277"/>
      <c r="E2" s="277"/>
      <c r="F2" s="277"/>
      <c r="G2" s="277"/>
      <c r="H2" s="277"/>
      <c r="I2" s="277"/>
      <c r="J2" s="277"/>
      <c r="K2" s="277"/>
      <c r="L2" s="277"/>
      <c r="M2" s="277"/>
      <c r="N2" s="278"/>
    </row>
    <row r="3" ht="30.0" customHeight="1">
      <c r="B3" s="279" t="s">
        <v>99</v>
      </c>
      <c r="C3" s="374" t="s">
        <v>100</v>
      </c>
      <c r="D3" s="375" t="s">
        <v>101</v>
      </c>
      <c r="E3" s="375" t="s">
        <v>102</v>
      </c>
      <c r="F3" s="376" t="s">
        <v>103</v>
      </c>
      <c r="G3" s="374" t="s">
        <v>104</v>
      </c>
      <c r="H3" s="375" t="s">
        <v>105</v>
      </c>
      <c r="I3" s="375" t="s">
        <v>102</v>
      </c>
      <c r="J3" s="376" t="s">
        <v>103</v>
      </c>
      <c r="K3" s="374" t="s">
        <v>106</v>
      </c>
      <c r="L3" s="375" t="s">
        <v>107</v>
      </c>
      <c r="M3" s="375" t="s">
        <v>102</v>
      </c>
      <c r="N3" s="376" t="s">
        <v>103</v>
      </c>
    </row>
    <row r="4" ht="22.5" hidden="1" customHeight="1">
      <c r="B4" s="279" t="s">
        <v>11</v>
      </c>
      <c r="C4" s="284">
        <v>3000.0</v>
      </c>
      <c r="D4" s="285"/>
      <c r="E4" s="289"/>
      <c r="F4" s="287">
        <f t="shared" ref="F4:F8" si="1">100*(D4-C4)/C4</f>
        <v>-100</v>
      </c>
      <c r="G4" s="288">
        <v>3200.0</v>
      </c>
      <c r="H4" s="285">
        <v>2925.0</v>
      </c>
      <c r="I4" s="286" t="s">
        <v>120</v>
      </c>
      <c r="J4" s="287">
        <f t="shared" ref="J4:J13" si="2">100*(H4-G4)/G4</f>
        <v>-8.59375</v>
      </c>
      <c r="K4" s="288">
        <v>1000.0</v>
      </c>
      <c r="L4" s="285">
        <v>1022.0</v>
      </c>
      <c r="M4" s="286" t="s">
        <v>120</v>
      </c>
      <c r="N4" s="287">
        <f t="shared" ref="N4:N7" si="3">100*(L4-K4)/K4</f>
        <v>2.2</v>
      </c>
    </row>
    <row r="5" ht="22.5" hidden="1" customHeight="1">
      <c r="B5" s="279" t="s">
        <v>110</v>
      </c>
      <c r="C5" s="284">
        <v>4800.0</v>
      </c>
      <c r="D5" s="285">
        <v>6456.0</v>
      </c>
      <c r="E5" s="286" t="s">
        <v>120</v>
      </c>
      <c r="F5" s="287">
        <f t="shared" si="1"/>
        <v>34.5</v>
      </c>
      <c r="G5" s="288">
        <v>6000.0</v>
      </c>
      <c r="H5" s="285">
        <v>6839.0</v>
      </c>
      <c r="I5" s="286" t="s">
        <v>135</v>
      </c>
      <c r="J5" s="287">
        <f t="shared" si="2"/>
        <v>13.98333333</v>
      </c>
      <c r="K5" s="288">
        <v>700.0</v>
      </c>
      <c r="L5" s="285">
        <v>775.0</v>
      </c>
      <c r="M5" s="286" t="s">
        <v>120</v>
      </c>
      <c r="N5" s="287">
        <f t="shared" si="3"/>
        <v>10.71428571</v>
      </c>
    </row>
    <row r="6" ht="22.5" hidden="1" customHeight="1">
      <c r="B6" s="279" t="s">
        <v>112</v>
      </c>
      <c r="C6" s="284">
        <v>3300.0</v>
      </c>
      <c r="D6" s="285">
        <v>1750.0</v>
      </c>
      <c r="E6" s="286" t="s">
        <v>120</v>
      </c>
      <c r="F6" s="287">
        <f t="shared" si="1"/>
        <v>-46.96969697</v>
      </c>
      <c r="G6" s="288">
        <v>6000.0</v>
      </c>
      <c r="H6" s="285">
        <v>5162.0</v>
      </c>
      <c r="I6" s="286" t="s">
        <v>135</v>
      </c>
      <c r="J6" s="287">
        <f t="shared" si="2"/>
        <v>-13.96666667</v>
      </c>
      <c r="K6" s="288">
        <v>350.0</v>
      </c>
      <c r="L6" s="285">
        <v>396.0</v>
      </c>
      <c r="M6" s="286" t="s">
        <v>109</v>
      </c>
      <c r="N6" s="287">
        <f t="shared" si="3"/>
        <v>13.14285714</v>
      </c>
    </row>
    <row r="7" ht="22.5" customHeight="1">
      <c r="B7" s="279" t="s">
        <v>113</v>
      </c>
      <c r="C7" s="284">
        <v>6500.0</v>
      </c>
      <c r="D7" s="285">
        <v>7100.0</v>
      </c>
      <c r="E7" s="286" t="s">
        <v>111</v>
      </c>
      <c r="F7" s="287">
        <f t="shared" si="1"/>
        <v>9.230769231</v>
      </c>
      <c r="G7" s="288">
        <v>6000.0</v>
      </c>
      <c r="H7" s="285">
        <v>5864.0</v>
      </c>
      <c r="I7" s="286" t="s">
        <v>120</v>
      </c>
      <c r="J7" s="287">
        <f t="shared" si="2"/>
        <v>-2.266666667</v>
      </c>
      <c r="K7" s="288">
        <v>700.0</v>
      </c>
      <c r="L7" s="285">
        <v>754.0</v>
      </c>
      <c r="M7" s="286" t="s">
        <v>109</v>
      </c>
      <c r="N7" s="287">
        <f t="shared" si="3"/>
        <v>7.714285714</v>
      </c>
    </row>
    <row r="8" ht="22.5" customHeight="1">
      <c r="B8" s="279" t="s">
        <v>114</v>
      </c>
      <c r="C8" s="284">
        <v>3000.0</v>
      </c>
      <c r="D8" s="285">
        <v>750.0</v>
      </c>
      <c r="E8" s="286" t="s">
        <v>120</v>
      </c>
      <c r="F8" s="287">
        <f t="shared" si="1"/>
        <v>-75</v>
      </c>
      <c r="G8" s="288">
        <v>3000.0</v>
      </c>
      <c r="H8" s="285">
        <v>512.0</v>
      </c>
      <c r="I8" s="286" t="s">
        <v>108</v>
      </c>
      <c r="J8" s="287">
        <f t="shared" si="2"/>
        <v>-82.93333333</v>
      </c>
      <c r="K8" s="288">
        <v>700.0</v>
      </c>
      <c r="L8" s="285">
        <v>2016.0</v>
      </c>
      <c r="M8" s="274"/>
      <c r="N8" s="377"/>
    </row>
    <row r="9" ht="22.5" customHeight="1">
      <c r="B9" s="279" t="s">
        <v>115</v>
      </c>
      <c r="C9" s="284" t="s">
        <v>116</v>
      </c>
      <c r="F9" s="292" t="s">
        <v>117</v>
      </c>
      <c r="G9" s="288">
        <v>10100.0</v>
      </c>
      <c r="H9" s="285">
        <v>6995.0</v>
      </c>
      <c r="I9" s="286" t="s">
        <v>120</v>
      </c>
      <c r="J9" s="287">
        <f t="shared" si="2"/>
        <v>-30.74257426</v>
      </c>
      <c r="K9" s="288">
        <v>720.0</v>
      </c>
      <c r="L9" s="285">
        <v>622.0</v>
      </c>
      <c r="M9" s="286" t="s">
        <v>120</v>
      </c>
      <c r="N9" s="287">
        <f t="shared" ref="N9:N13" si="4">100*(L9-K9)/K9</f>
        <v>-13.61111111</v>
      </c>
    </row>
    <row r="10" ht="22.5" customHeight="1">
      <c r="B10" s="279" t="s">
        <v>119</v>
      </c>
      <c r="C10" s="284">
        <v>2800.0</v>
      </c>
      <c r="D10" s="285">
        <v>3300.0</v>
      </c>
      <c r="E10" s="286" t="s">
        <v>120</v>
      </c>
      <c r="F10" s="287">
        <f>100*(D10-C10)/C10</f>
        <v>17.85714286</v>
      </c>
      <c r="G10" s="288">
        <v>3800.0</v>
      </c>
      <c r="H10" s="285">
        <v>3447.0</v>
      </c>
      <c r="I10" s="286" t="s">
        <v>120</v>
      </c>
      <c r="J10" s="287">
        <f t="shared" si="2"/>
        <v>-9.289473684</v>
      </c>
      <c r="K10" s="288">
        <v>280.0</v>
      </c>
      <c r="L10" s="285">
        <v>334.0</v>
      </c>
      <c r="M10" s="286" t="s">
        <v>120</v>
      </c>
      <c r="N10" s="287">
        <f t="shared" si="4"/>
        <v>19.28571429</v>
      </c>
    </row>
    <row r="11" ht="22.5" customHeight="1">
      <c r="B11" s="279" t="s">
        <v>121</v>
      </c>
      <c r="C11" s="284" t="s">
        <v>116</v>
      </c>
      <c r="F11" s="292" t="s">
        <v>117</v>
      </c>
      <c r="G11" s="288">
        <v>10100.0</v>
      </c>
      <c r="H11" s="285">
        <v>6995.0</v>
      </c>
      <c r="I11" s="286" t="s">
        <v>120</v>
      </c>
      <c r="J11" s="287">
        <f t="shared" si="2"/>
        <v>-30.74257426</v>
      </c>
      <c r="K11" s="288">
        <v>720.0</v>
      </c>
      <c r="L11" s="285">
        <v>622.0</v>
      </c>
      <c r="M11" s="286" t="s">
        <v>120</v>
      </c>
      <c r="N11" s="287">
        <f t="shared" si="4"/>
        <v>-13.61111111</v>
      </c>
    </row>
    <row r="12" ht="22.5" customHeight="1">
      <c r="B12" s="293" t="s">
        <v>122</v>
      </c>
      <c r="C12" s="294">
        <v>9000.0</v>
      </c>
      <c r="D12" s="295">
        <v>12300.0</v>
      </c>
      <c r="E12" s="296" t="s">
        <v>111</v>
      </c>
      <c r="F12" s="297">
        <f t="shared" ref="F12:F13" si="6">100*(D12-C12)/C12</f>
        <v>36.66666667</v>
      </c>
      <c r="G12" s="298">
        <v>7000.0</v>
      </c>
      <c r="H12" s="295">
        <v>7813.0</v>
      </c>
      <c r="I12" s="296" t="s">
        <v>120</v>
      </c>
      <c r="J12" s="297">
        <f t="shared" si="2"/>
        <v>11.61428571</v>
      </c>
      <c r="K12" s="298">
        <v>950.0</v>
      </c>
      <c r="L12" s="295">
        <v>999.0</v>
      </c>
      <c r="M12" s="296" t="s">
        <v>109</v>
      </c>
      <c r="N12" s="297">
        <f t="shared" si="4"/>
        <v>5.157894737</v>
      </c>
    </row>
    <row r="13" ht="22.5" customHeight="1">
      <c r="B13" s="301" t="s">
        <v>123</v>
      </c>
      <c r="C13" s="302">
        <f t="shared" ref="C13:D13" si="5">SUM(C4:C12)</f>
        <v>32400</v>
      </c>
      <c r="D13" s="303">
        <f t="shared" si="5"/>
        <v>31656</v>
      </c>
      <c r="E13" s="304"/>
      <c r="F13" s="305">
        <f t="shared" si="6"/>
        <v>-2.296296296</v>
      </c>
      <c r="G13" s="306">
        <f t="shared" ref="G13:H13" si="7">SUM(G4:G12)</f>
        <v>55200</v>
      </c>
      <c r="H13" s="303">
        <f t="shared" si="7"/>
        <v>46552</v>
      </c>
      <c r="I13" s="304"/>
      <c r="J13" s="305">
        <f t="shared" si="2"/>
        <v>-15.66666667</v>
      </c>
      <c r="K13" s="303">
        <f>SUM(K4:K12)-K8</f>
        <v>5420</v>
      </c>
      <c r="L13" s="303">
        <f>SUM(L4:L12)</f>
        <v>7540</v>
      </c>
      <c r="M13" s="304"/>
      <c r="N13" s="307">
        <f t="shared" si="4"/>
        <v>39.11439114</v>
      </c>
    </row>
    <row r="14">
      <c r="B14" s="275"/>
      <c r="C14" s="275"/>
      <c r="D14" s="275"/>
      <c r="E14" s="275"/>
      <c r="F14" s="275"/>
      <c r="G14" s="275"/>
      <c r="H14" s="275"/>
      <c r="I14" s="275"/>
      <c r="J14" s="275"/>
      <c r="K14" s="275"/>
      <c r="L14" s="275"/>
      <c r="M14" s="275"/>
      <c r="N14" s="275"/>
    </row>
    <row r="15">
      <c r="B15" s="275"/>
      <c r="E15" s="308"/>
      <c r="K15" s="275"/>
      <c r="L15" s="275"/>
      <c r="M15" s="275"/>
      <c r="N15" s="275"/>
    </row>
    <row r="16">
      <c r="B16" s="275"/>
      <c r="E16" s="275"/>
      <c r="F16" s="275"/>
      <c r="G16" s="275"/>
      <c r="H16" s="275"/>
      <c r="I16" s="275"/>
      <c r="J16" s="275"/>
      <c r="K16" s="275"/>
      <c r="L16" s="275"/>
      <c r="M16" s="275"/>
      <c r="N16" s="275"/>
    </row>
    <row r="18" ht="30.0" customHeight="1"/>
    <row r="21" ht="30.0" customHeight="1">
      <c r="C21" s="309" t="s">
        <v>124</v>
      </c>
      <c r="D21" s="310">
        <f>C13+G13</f>
        <v>87600</v>
      </c>
      <c r="F21" s="309" t="s">
        <v>125</v>
      </c>
      <c r="G21" s="310">
        <f>D24</f>
        <v>78208</v>
      </c>
      <c r="I21" s="309" t="s">
        <v>126</v>
      </c>
      <c r="J21" s="310">
        <f>L13/1000</f>
        <v>7.54</v>
      </c>
    </row>
    <row r="22">
      <c r="C22" s="275"/>
      <c r="D22" s="275"/>
    </row>
    <row r="24" ht="30.0" customHeight="1">
      <c r="C24" s="309" t="s">
        <v>125</v>
      </c>
      <c r="D24" s="310">
        <f>D13+H13</f>
        <v>78208</v>
      </c>
      <c r="F24" s="309" t="s">
        <v>127</v>
      </c>
      <c r="G24" s="311"/>
      <c r="I24" s="309" t="s">
        <v>128</v>
      </c>
      <c r="J24" s="311">
        <v>5.275</v>
      </c>
    </row>
    <row r="27" ht="30.0" customHeight="1">
      <c r="C27" s="309" t="s">
        <v>103</v>
      </c>
      <c r="D27" s="312">
        <f>100*(D24-D21)/D21</f>
        <v>-10.72146119</v>
      </c>
      <c r="F27" s="309" t="s">
        <v>103</v>
      </c>
      <c r="G27" s="312">
        <f>100*(G24-G21)/G21</f>
        <v>-100</v>
      </c>
      <c r="I27" s="309" t="s">
        <v>103</v>
      </c>
      <c r="J27" s="312">
        <f>100*(J24-J21)/J21</f>
        <v>-30.0397878</v>
      </c>
    </row>
    <row r="48">
      <c r="B48" s="275"/>
      <c r="C48" s="275"/>
      <c r="D48" s="275"/>
      <c r="E48" s="275"/>
      <c r="F48" s="275"/>
      <c r="G48" s="275"/>
      <c r="H48" s="275"/>
      <c r="I48" s="275"/>
      <c r="J48" s="275"/>
      <c r="K48" s="275"/>
      <c r="L48" s="275"/>
      <c r="M48" s="275"/>
      <c r="N48" s="275"/>
    </row>
    <row r="49">
      <c r="B49" s="275"/>
      <c r="C49" s="275"/>
      <c r="D49" s="275"/>
      <c r="E49" s="275"/>
      <c r="F49" s="275"/>
      <c r="G49" s="275"/>
      <c r="H49" s="275"/>
      <c r="I49" s="275"/>
      <c r="J49" s="275"/>
      <c r="K49" s="275"/>
      <c r="L49" s="275"/>
      <c r="M49" s="275"/>
      <c r="N49" s="275"/>
    </row>
    <row r="50">
      <c r="B50" s="275"/>
      <c r="C50" s="275"/>
      <c r="D50" s="275"/>
      <c r="E50" s="275"/>
      <c r="F50" s="275"/>
      <c r="G50" s="275"/>
      <c r="H50" s="275"/>
      <c r="I50" s="275"/>
      <c r="J50" s="275"/>
      <c r="K50" s="275"/>
      <c r="L50" s="275"/>
      <c r="M50" s="275"/>
      <c r="N50" s="275"/>
    </row>
    <row r="51">
      <c r="B51" s="275"/>
      <c r="C51" s="275"/>
      <c r="D51" s="275"/>
      <c r="E51" s="275"/>
      <c r="F51" s="275"/>
      <c r="G51" s="275"/>
      <c r="H51" s="275"/>
      <c r="I51" s="275"/>
      <c r="J51" s="275"/>
      <c r="K51" s="275"/>
      <c r="L51" s="275"/>
      <c r="M51" s="275"/>
      <c r="N51" s="275"/>
    </row>
    <row r="52">
      <c r="B52" s="275"/>
      <c r="C52" s="275"/>
      <c r="D52" s="275"/>
      <c r="E52" s="275"/>
      <c r="F52" s="275"/>
      <c r="G52" s="275"/>
      <c r="H52" s="275"/>
      <c r="I52" s="275"/>
      <c r="J52" s="275"/>
      <c r="K52" s="275"/>
      <c r="L52" s="275"/>
      <c r="M52" s="275"/>
      <c r="N52" s="275"/>
    </row>
    <row r="53">
      <c r="B53" s="275"/>
      <c r="C53" s="275"/>
      <c r="D53" s="275"/>
      <c r="E53" s="275"/>
      <c r="F53" s="275"/>
      <c r="G53" s="275"/>
      <c r="H53" s="275"/>
      <c r="I53" s="275"/>
      <c r="J53" s="275"/>
      <c r="K53" s="275"/>
      <c r="L53" s="275"/>
      <c r="M53" s="275"/>
      <c r="N53" s="275"/>
    </row>
    <row r="54">
      <c r="B54" s="275"/>
      <c r="C54" s="275"/>
      <c r="D54" s="275"/>
      <c r="E54" s="275"/>
      <c r="F54" s="275"/>
      <c r="G54" s="275"/>
      <c r="H54" s="275"/>
      <c r="I54" s="275"/>
      <c r="J54" s="275"/>
      <c r="K54" s="275"/>
      <c r="L54" s="275"/>
      <c r="M54" s="275"/>
      <c r="N54" s="275"/>
    </row>
    <row r="55">
      <c r="B55" s="275"/>
      <c r="C55" s="275"/>
      <c r="D55" s="275"/>
      <c r="E55" s="275"/>
      <c r="F55" s="275"/>
      <c r="G55" s="275"/>
      <c r="H55" s="275"/>
      <c r="I55" s="275"/>
      <c r="J55" s="275"/>
      <c r="K55" s="275"/>
      <c r="L55" s="275"/>
      <c r="M55" s="275"/>
      <c r="N55" s="275"/>
    </row>
    <row r="56">
      <c r="B56" s="275"/>
      <c r="C56" s="275"/>
      <c r="D56" s="275"/>
      <c r="E56" s="275"/>
      <c r="F56" s="275"/>
      <c r="G56" s="275"/>
      <c r="H56" s="275"/>
      <c r="I56" s="275"/>
      <c r="J56" s="275"/>
      <c r="K56" s="275"/>
      <c r="L56" s="275"/>
      <c r="M56" s="275"/>
      <c r="N56" s="275"/>
    </row>
    <row r="57">
      <c r="B57" s="275"/>
      <c r="C57" s="275"/>
      <c r="D57" s="275"/>
      <c r="E57" s="275"/>
      <c r="F57" s="275"/>
      <c r="G57" s="275"/>
      <c r="H57" s="275"/>
      <c r="I57" s="275"/>
      <c r="J57" s="275"/>
      <c r="K57" s="275"/>
      <c r="L57" s="275"/>
      <c r="M57" s="275"/>
      <c r="N57" s="275"/>
    </row>
    <row r="58">
      <c r="B58" s="275"/>
      <c r="C58" s="275"/>
      <c r="D58" s="275"/>
      <c r="E58" s="275"/>
      <c r="F58" s="275"/>
      <c r="G58" s="275"/>
      <c r="H58" s="275"/>
      <c r="I58" s="275"/>
      <c r="J58" s="275"/>
      <c r="K58" s="275"/>
      <c r="L58" s="275"/>
      <c r="M58" s="275"/>
      <c r="N58" s="275"/>
    </row>
    <row r="59">
      <c r="B59" s="275"/>
      <c r="C59" s="275"/>
      <c r="D59" s="275"/>
      <c r="E59" s="275"/>
      <c r="F59" s="275"/>
      <c r="G59" s="275"/>
      <c r="H59" s="275"/>
      <c r="I59" s="275"/>
      <c r="J59" s="275"/>
      <c r="K59" s="275"/>
      <c r="L59" s="275"/>
      <c r="M59" s="275"/>
      <c r="N59" s="275"/>
    </row>
    <row r="60">
      <c r="B60" s="275"/>
      <c r="C60" s="275"/>
      <c r="D60" s="275"/>
      <c r="E60" s="275"/>
      <c r="F60" s="275"/>
      <c r="G60" s="275"/>
      <c r="H60" s="275"/>
      <c r="I60" s="275"/>
      <c r="J60" s="275"/>
      <c r="K60" s="275"/>
      <c r="L60" s="275"/>
      <c r="M60" s="275"/>
      <c r="N60" s="275"/>
    </row>
    <row r="61">
      <c r="B61" s="275"/>
      <c r="C61" s="275"/>
      <c r="D61" s="275"/>
      <c r="E61" s="275"/>
      <c r="F61" s="275"/>
      <c r="G61" s="275"/>
      <c r="H61" s="275"/>
      <c r="I61" s="275"/>
      <c r="J61" s="275"/>
      <c r="K61" s="275"/>
      <c r="L61" s="275"/>
      <c r="M61" s="275"/>
      <c r="N61" s="275"/>
    </row>
    <row r="62">
      <c r="B62" s="275"/>
      <c r="C62" s="275"/>
      <c r="D62" s="275"/>
      <c r="E62" s="275"/>
      <c r="F62" s="275"/>
      <c r="G62" s="275"/>
      <c r="H62" s="275"/>
      <c r="I62" s="275"/>
      <c r="J62" s="275"/>
      <c r="K62" s="275"/>
      <c r="L62" s="275"/>
      <c r="M62" s="275"/>
      <c r="N62" s="275"/>
    </row>
    <row r="63">
      <c r="B63" s="275"/>
      <c r="C63" s="275"/>
      <c r="D63" s="275"/>
      <c r="E63" s="275"/>
      <c r="F63" s="275"/>
      <c r="G63" s="275"/>
      <c r="H63" s="275"/>
      <c r="I63" s="275"/>
      <c r="J63" s="275"/>
      <c r="K63" s="275"/>
      <c r="L63" s="275"/>
      <c r="M63" s="275"/>
      <c r="N63" s="275"/>
    </row>
    <row r="64">
      <c r="B64" s="275"/>
      <c r="C64" s="275"/>
      <c r="D64" s="275"/>
      <c r="E64" s="275"/>
      <c r="F64" s="275"/>
      <c r="G64" s="275"/>
      <c r="H64" s="275"/>
      <c r="I64" s="275"/>
      <c r="J64" s="275"/>
      <c r="K64" s="275"/>
      <c r="L64" s="275"/>
      <c r="M64" s="275"/>
      <c r="N64" s="275"/>
    </row>
    <row r="65">
      <c r="B65" s="275"/>
      <c r="C65" s="275"/>
      <c r="D65" s="275"/>
      <c r="E65" s="275"/>
      <c r="F65" s="275"/>
      <c r="G65" s="275"/>
      <c r="H65" s="275"/>
      <c r="I65" s="275"/>
      <c r="J65" s="275"/>
      <c r="K65" s="275"/>
      <c r="L65" s="275"/>
      <c r="M65" s="275"/>
      <c r="N65" s="275"/>
    </row>
    <row r="66">
      <c r="B66" s="275"/>
      <c r="C66" s="275"/>
      <c r="D66" s="275"/>
      <c r="E66" s="275"/>
      <c r="F66" s="275"/>
      <c r="G66" s="275"/>
      <c r="H66" s="275"/>
      <c r="I66" s="275"/>
      <c r="J66" s="275"/>
      <c r="K66" s="275"/>
      <c r="L66" s="275"/>
      <c r="M66" s="275"/>
      <c r="N66" s="275"/>
    </row>
    <row r="67">
      <c r="B67" s="275"/>
      <c r="C67" s="275"/>
      <c r="D67" s="275"/>
      <c r="E67" s="275"/>
      <c r="F67" s="275"/>
      <c r="G67" s="275"/>
      <c r="H67" s="275"/>
      <c r="I67" s="275"/>
      <c r="J67" s="275"/>
      <c r="K67" s="275"/>
      <c r="L67" s="275"/>
      <c r="M67" s="275"/>
      <c r="N67" s="275"/>
    </row>
    <row r="68">
      <c r="B68" s="275"/>
      <c r="C68" s="275"/>
      <c r="D68" s="275"/>
      <c r="E68" s="275"/>
      <c r="F68" s="275"/>
      <c r="G68" s="275"/>
      <c r="H68" s="275"/>
      <c r="I68" s="275"/>
      <c r="J68" s="275"/>
      <c r="K68" s="275"/>
      <c r="L68" s="275"/>
      <c r="M68" s="275"/>
      <c r="N68" s="275"/>
    </row>
    <row r="69">
      <c r="B69" s="275"/>
      <c r="C69" s="275"/>
      <c r="D69" s="275"/>
      <c r="E69" s="275"/>
      <c r="F69" s="275"/>
      <c r="G69" s="275"/>
      <c r="H69" s="275"/>
      <c r="I69" s="275"/>
      <c r="J69" s="275"/>
      <c r="K69" s="275"/>
      <c r="L69" s="275"/>
      <c r="M69" s="275"/>
      <c r="N69" s="275"/>
    </row>
    <row r="70">
      <c r="B70" s="275"/>
      <c r="C70" s="275"/>
      <c r="D70" s="275"/>
      <c r="E70" s="275"/>
      <c r="F70" s="275"/>
      <c r="G70" s="275"/>
      <c r="H70" s="275"/>
      <c r="I70" s="275"/>
      <c r="J70" s="275"/>
      <c r="K70" s="275"/>
      <c r="L70" s="275"/>
      <c r="M70" s="275"/>
      <c r="N70" s="275"/>
    </row>
    <row r="71">
      <c r="B71" s="275"/>
      <c r="C71" s="275"/>
      <c r="D71" s="275"/>
      <c r="E71" s="275"/>
      <c r="F71" s="275"/>
      <c r="G71" s="275"/>
      <c r="H71" s="275"/>
      <c r="I71" s="275"/>
      <c r="J71" s="275"/>
      <c r="K71" s="275"/>
      <c r="L71" s="275"/>
      <c r="M71" s="275"/>
      <c r="N71" s="275"/>
    </row>
    <row r="72">
      <c r="B72" s="275"/>
      <c r="C72" s="275"/>
      <c r="D72" s="275"/>
      <c r="E72" s="275"/>
      <c r="F72" s="275"/>
      <c r="G72" s="275"/>
      <c r="H72" s="275"/>
      <c r="I72" s="275"/>
      <c r="J72" s="275"/>
      <c r="K72" s="275"/>
      <c r="L72" s="275"/>
      <c r="M72" s="275"/>
      <c r="N72" s="275"/>
    </row>
    <row r="73">
      <c r="B73" s="275"/>
      <c r="C73" s="275"/>
      <c r="D73" s="275"/>
      <c r="E73" s="275"/>
      <c r="F73" s="275"/>
      <c r="G73" s="275"/>
      <c r="H73" s="275"/>
      <c r="I73" s="275"/>
      <c r="J73" s="275"/>
      <c r="K73" s="275"/>
      <c r="L73" s="275"/>
      <c r="M73" s="275"/>
      <c r="N73" s="275"/>
    </row>
    <row r="74">
      <c r="B74" s="275"/>
      <c r="C74" s="275"/>
      <c r="D74" s="275"/>
      <c r="E74" s="275"/>
      <c r="F74" s="275"/>
      <c r="G74" s="275"/>
      <c r="H74" s="275"/>
      <c r="I74" s="275"/>
      <c r="J74" s="275"/>
      <c r="K74" s="275"/>
      <c r="L74" s="275"/>
      <c r="M74" s="275"/>
      <c r="N74" s="275"/>
    </row>
    <row r="75">
      <c r="B75" s="275"/>
      <c r="C75" s="275"/>
      <c r="D75" s="275"/>
      <c r="E75" s="275"/>
      <c r="F75" s="275"/>
      <c r="G75" s="275"/>
      <c r="H75" s="275"/>
      <c r="I75" s="275"/>
      <c r="J75" s="275"/>
      <c r="K75" s="275"/>
      <c r="L75" s="275"/>
      <c r="M75" s="275"/>
      <c r="N75" s="275"/>
    </row>
    <row r="76">
      <c r="B76" s="275"/>
      <c r="C76" s="275"/>
      <c r="D76" s="275"/>
      <c r="E76" s="275"/>
      <c r="F76" s="275"/>
      <c r="G76" s="275"/>
      <c r="H76" s="275"/>
      <c r="I76" s="275"/>
      <c r="J76" s="275"/>
      <c r="K76" s="275"/>
      <c r="L76" s="275"/>
      <c r="M76" s="275"/>
      <c r="N76" s="275"/>
    </row>
    <row r="77">
      <c r="B77" s="275"/>
      <c r="C77" s="275"/>
      <c r="D77" s="275"/>
      <c r="E77" s="275"/>
      <c r="F77" s="275"/>
      <c r="G77" s="275"/>
      <c r="H77" s="275"/>
      <c r="I77" s="275"/>
      <c r="J77" s="275"/>
      <c r="K77" s="275"/>
      <c r="L77" s="275"/>
      <c r="M77" s="275"/>
      <c r="N77" s="275"/>
    </row>
    <row r="78">
      <c r="B78" s="275"/>
      <c r="C78" s="275"/>
      <c r="D78" s="275"/>
      <c r="E78" s="275"/>
      <c r="F78" s="275"/>
      <c r="G78" s="275"/>
      <c r="H78" s="275"/>
      <c r="I78" s="275"/>
      <c r="J78" s="275"/>
      <c r="K78" s="275"/>
      <c r="L78" s="275"/>
      <c r="M78" s="275"/>
      <c r="N78" s="275"/>
    </row>
    <row r="79">
      <c r="B79" s="275"/>
      <c r="C79" s="275"/>
      <c r="D79" s="275"/>
      <c r="E79" s="275"/>
      <c r="F79" s="275"/>
      <c r="G79" s="275"/>
      <c r="H79" s="275"/>
      <c r="I79" s="275"/>
      <c r="J79" s="275"/>
      <c r="K79" s="275"/>
      <c r="L79" s="275"/>
      <c r="M79" s="275"/>
      <c r="N79" s="275"/>
    </row>
    <row r="80">
      <c r="B80" s="275"/>
      <c r="C80" s="275"/>
      <c r="D80" s="275"/>
      <c r="E80" s="275"/>
      <c r="F80" s="275"/>
      <c r="G80" s="275"/>
      <c r="H80" s="275"/>
      <c r="I80" s="275"/>
      <c r="J80" s="275"/>
      <c r="K80" s="275"/>
      <c r="L80" s="275"/>
      <c r="M80" s="275"/>
      <c r="N80" s="275"/>
    </row>
    <row r="81">
      <c r="B81" s="275"/>
      <c r="C81" s="275"/>
      <c r="D81" s="275"/>
      <c r="E81" s="275"/>
      <c r="F81" s="275"/>
      <c r="G81" s="275"/>
      <c r="H81" s="275"/>
      <c r="I81" s="275"/>
      <c r="J81" s="275"/>
      <c r="K81" s="275"/>
      <c r="L81" s="275"/>
      <c r="M81" s="275"/>
      <c r="N81" s="275"/>
    </row>
    <row r="82">
      <c r="B82" s="275"/>
      <c r="C82" s="275"/>
      <c r="D82" s="275"/>
      <c r="E82" s="275"/>
      <c r="F82" s="275"/>
      <c r="G82" s="275"/>
      <c r="H82" s="275"/>
      <c r="I82" s="275"/>
      <c r="J82" s="275"/>
      <c r="K82" s="275"/>
      <c r="L82" s="275"/>
      <c r="M82" s="275"/>
      <c r="N82" s="275"/>
    </row>
    <row r="83">
      <c r="B83" s="275"/>
      <c r="C83" s="275"/>
      <c r="D83" s="275"/>
      <c r="E83" s="275"/>
      <c r="F83" s="275"/>
      <c r="G83" s="275"/>
      <c r="H83" s="275"/>
      <c r="I83" s="275"/>
      <c r="J83" s="275"/>
      <c r="K83" s="275"/>
      <c r="L83" s="275"/>
      <c r="M83" s="275"/>
      <c r="N83" s="275"/>
    </row>
    <row r="84">
      <c r="B84" s="275"/>
      <c r="C84" s="275"/>
      <c r="D84" s="275"/>
      <c r="E84" s="275"/>
      <c r="F84" s="275"/>
      <c r="G84" s="275"/>
      <c r="H84" s="275"/>
      <c r="I84" s="275"/>
      <c r="J84" s="275"/>
      <c r="K84" s="275"/>
      <c r="L84" s="275"/>
      <c r="M84" s="275"/>
      <c r="N84" s="275"/>
    </row>
    <row r="85">
      <c r="B85" s="275"/>
      <c r="C85" s="275"/>
      <c r="D85" s="275"/>
      <c r="E85" s="275"/>
      <c r="F85" s="275"/>
      <c r="G85" s="275"/>
      <c r="H85" s="275"/>
      <c r="I85" s="275"/>
      <c r="J85" s="275"/>
      <c r="K85" s="275"/>
      <c r="L85" s="275"/>
      <c r="M85" s="275"/>
      <c r="N85" s="275"/>
    </row>
    <row r="86">
      <c r="B86" s="275"/>
      <c r="C86" s="275"/>
      <c r="D86" s="275"/>
      <c r="E86" s="275"/>
      <c r="F86" s="275"/>
      <c r="G86" s="275"/>
      <c r="H86" s="275"/>
      <c r="I86" s="275"/>
      <c r="J86" s="275"/>
      <c r="K86" s="275"/>
      <c r="L86" s="275"/>
      <c r="M86" s="275"/>
      <c r="N86" s="275"/>
    </row>
    <row r="87">
      <c r="B87" s="275"/>
      <c r="C87" s="275"/>
      <c r="D87" s="275"/>
      <c r="E87" s="275"/>
      <c r="F87" s="275"/>
      <c r="G87" s="275"/>
      <c r="H87" s="275"/>
      <c r="I87" s="275"/>
      <c r="J87" s="275"/>
      <c r="K87" s="275"/>
      <c r="L87" s="275"/>
      <c r="M87" s="275"/>
      <c r="N87" s="275"/>
    </row>
    <row r="88">
      <c r="B88" s="275"/>
      <c r="C88" s="275"/>
      <c r="D88" s="275"/>
      <c r="E88" s="275"/>
      <c r="F88" s="275"/>
      <c r="G88" s="275"/>
      <c r="H88" s="275"/>
      <c r="I88" s="275"/>
      <c r="J88" s="275"/>
      <c r="K88" s="275"/>
      <c r="L88" s="275"/>
      <c r="M88" s="275"/>
      <c r="N88" s="275"/>
    </row>
    <row r="89">
      <c r="B89" s="275"/>
      <c r="C89" s="275"/>
      <c r="D89" s="275"/>
      <c r="E89" s="275"/>
      <c r="F89" s="275"/>
      <c r="G89" s="275"/>
      <c r="H89" s="275"/>
      <c r="I89" s="275"/>
      <c r="J89" s="275"/>
      <c r="K89" s="275"/>
      <c r="L89" s="275"/>
      <c r="M89" s="275"/>
      <c r="N89" s="275"/>
    </row>
    <row r="90">
      <c r="B90" s="275"/>
      <c r="C90" s="275"/>
      <c r="D90" s="275"/>
      <c r="E90" s="275"/>
      <c r="F90" s="275"/>
      <c r="G90" s="275"/>
      <c r="H90" s="275"/>
      <c r="I90" s="275"/>
      <c r="J90" s="275"/>
      <c r="K90" s="275"/>
      <c r="L90" s="275"/>
      <c r="M90" s="275"/>
      <c r="N90" s="275"/>
    </row>
    <row r="91">
      <c r="B91" s="275"/>
      <c r="C91" s="275"/>
      <c r="D91" s="275"/>
      <c r="E91" s="275"/>
      <c r="F91" s="275"/>
      <c r="G91" s="275"/>
      <c r="H91" s="275"/>
      <c r="I91" s="275"/>
      <c r="J91" s="275"/>
      <c r="K91" s="275"/>
      <c r="L91" s="275"/>
      <c r="M91" s="275"/>
      <c r="N91" s="275"/>
    </row>
    <row r="92">
      <c r="B92" s="275"/>
      <c r="C92" s="275"/>
      <c r="D92" s="275"/>
      <c r="E92" s="275"/>
      <c r="F92" s="275"/>
      <c r="G92" s="275"/>
      <c r="H92" s="275"/>
      <c r="I92" s="275"/>
      <c r="J92" s="275"/>
      <c r="K92" s="275"/>
      <c r="L92" s="275"/>
      <c r="M92" s="275"/>
      <c r="N92" s="275"/>
    </row>
    <row r="93">
      <c r="B93" s="275"/>
      <c r="C93" s="275"/>
      <c r="D93" s="275"/>
      <c r="E93" s="275"/>
      <c r="F93" s="275"/>
      <c r="G93" s="275"/>
      <c r="H93" s="275"/>
      <c r="I93" s="275"/>
      <c r="J93" s="275"/>
      <c r="K93" s="275"/>
      <c r="L93" s="275"/>
      <c r="M93" s="275"/>
      <c r="N93" s="275"/>
    </row>
    <row r="94">
      <c r="B94" s="275"/>
      <c r="C94" s="275"/>
      <c r="D94" s="275"/>
      <c r="E94" s="275"/>
      <c r="F94" s="275"/>
      <c r="G94" s="275"/>
      <c r="H94" s="275"/>
      <c r="I94" s="275"/>
      <c r="J94" s="275"/>
      <c r="K94" s="275"/>
      <c r="L94" s="275"/>
      <c r="M94" s="275"/>
      <c r="N94" s="275"/>
    </row>
    <row r="95">
      <c r="B95" s="275"/>
      <c r="C95" s="275"/>
      <c r="D95" s="275"/>
      <c r="E95" s="275"/>
      <c r="F95" s="275"/>
      <c r="G95" s="275"/>
      <c r="H95" s="275"/>
      <c r="I95" s="275"/>
      <c r="J95" s="275"/>
      <c r="K95" s="275"/>
      <c r="L95" s="275"/>
      <c r="M95" s="275"/>
      <c r="N95" s="275"/>
    </row>
    <row r="96">
      <c r="B96" s="275"/>
      <c r="C96" s="275"/>
      <c r="D96" s="275"/>
      <c r="E96" s="275"/>
      <c r="F96" s="275"/>
      <c r="G96" s="275"/>
      <c r="H96" s="275"/>
      <c r="I96" s="275"/>
      <c r="J96" s="275"/>
      <c r="K96" s="275"/>
      <c r="L96" s="275"/>
      <c r="M96" s="275"/>
      <c r="N96" s="275"/>
    </row>
    <row r="97">
      <c r="B97" s="275"/>
      <c r="C97" s="275"/>
      <c r="D97" s="275"/>
      <c r="E97" s="275"/>
      <c r="F97" s="275"/>
      <c r="G97" s="275"/>
      <c r="H97" s="275"/>
      <c r="I97" s="275"/>
      <c r="J97" s="275"/>
      <c r="K97" s="275"/>
      <c r="L97" s="275"/>
      <c r="M97" s="275"/>
      <c r="N97" s="275"/>
    </row>
    <row r="98">
      <c r="B98" s="275"/>
      <c r="C98" s="275"/>
      <c r="D98" s="275"/>
      <c r="E98" s="275"/>
      <c r="F98" s="275"/>
      <c r="G98" s="275"/>
      <c r="H98" s="275"/>
      <c r="I98" s="275"/>
      <c r="J98" s="275"/>
      <c r="K98" s="275"/>
      <c r="L98" s="275"/>
      <c r="M98" s="275"/>
      <c r="N98" s="275"/>
    </row>
    <row r="99">
      <c r="B99" s="275"/>
      <c r="C99" s="275"/>
      <c r="D99" s="275"/>
      <c r="E99" s="275"/>
      <c r="F99" s="275"/>
      <c r="G99" s="275"/>
      <c r="H99" s="275"/>
      <c r="I99" s="275"/>
      <c r="J99" s="275"/>
      <c r="K99" s="275"/>
      <c r="L99" s="275"/>
      <c r="M99" s="275"/>
      <c r="N99" s="275"/>
    </row>
    <row r="100">
      <c r="B100" s="275"/>
      <c r="C100" s="275"/>
      <c r="D100" s="275"/>
      <c r="E100" s="275"/>
      <c r="F100" s="275"/>
      <c r="G100" s="275"/>
      <c r="H100" s="275"/>
      <c r="I100" s="275"/>
      <c r="J100" s="275"/>
      <c r="K100" s="275"/>
      <c r="L100" s="275"/>
      <c r="M100" s="275"/>
      <c r="N100" s="275"/>
    </row>
    <row r="101">
      <c r="B101" s="275"/>
      <c r="C101" s="275"/>
      <c r="D101" s="275"/>
      <c r="E101" s="275"/>
      <c r="F101" s="275"/>
      <c r="G101" s="275"/>
      <c r="H101" s="275"/>
      <c r="I101" s="275"/>
      <c r="J101" s="275"/>
      <c r="K101" s="275"/>
      <c r="L101" s="275"/>
      <c r="M101" s="275"/>
      <c r="N101" s="275"/>
    </row>
    <row r="102">
      <c r="B102" s="275"/>
      <c r="C102" s="275"/>
      <c r="D102" s="275"/>
      <c r="E102" s="275"/>
      <c r="F102" s="275"/>
      <c r="G102" s="275"/>
      <c r="H102" s="275"/>
      <c r="I102" s="275"/>
      <c r="J102" s="275"/>
      <c r="K102" s="275"/>
      <c r="L102" s="275"/>
      <c r="M102" s="275"/>
      <c r="N102" s="275"/>
    </row>
    <row r="103">
      <c r="B103" s="275"/>
      <c r="C103" s="275"/>
      <c r="D103" s="275"/>
      <c r="E103" s="275"/>
      <c r="F103" s="275"/>
      <c r="G103" s="275"/>
      <c r="H103" s="275"/>
      <c r="I103" s="275"/>
      <c r="J103" s="275"/>
      <c r="K103" s="275"/>
      <c r="L103" s="275"/>
      <c r="M103" s="275"/>
      <c r="N103" s="275"/>
    </row>
    <row r="104">
      <c r="B104" s="275"/>
      <c r="C104" s="275"/>
      <c r="D104" s="275"/>
      <c r="E104" s="275"/>
      <c r="F104" s="275"/>
      <c r="G104" s="275"/>
      <c r="H104" s="275"/>
      <c r="I104" s="275"/>
      <c r="J104" s="275"/>
      <c r="K104" s="275"/>
      <c r="L104" s="275"/>
      <c r="M104" s="275"/>
      <c r="N104" s="275"/>
    </row>
    <row r="105">
      <c r="B105" s="275"/>
      <c r="C105" s="275"/>
      <c r="D105" s="275"/>
      <c r="E105" s="275"/>
      <c r="F105" s="275"/>
      <c r="G105" s="275"/>
      <c r="H105" s="275"/>
      <c r="I105" s="275"/>
      <c r="J105" s="275"/>
      <c r="K105" s="275"/>
      <c r="L105" s="275"/>
      <c r="M105" s="275"/>
      <c r="N105" s="275"/>
    </row>
    <row r="106">
      <c r="B106" s="275"/>
      <c r="C106" s="275"/>
      <c r="D106" s="275"/>
      <c r="E106" s="275"/>
      <c r="F106" s="275"/>
      <c r="G106" s="275"/>
      <c r="H106" s="275"/>
      <c r="I106" s="275"/>
      <c r="J106" s="275"/>
      <c r="K106" s="275"/>
      <c r="L106" s="275"/>
      <c r="M106" s="275"/>
      <c r="N106" s="275"/>
    </row>
    <row r="107">
      <c r="B107" s="275"/>
      <c r="C107" s="275"/>
      <c r="D107" s="275"/>
      <c r="E107" s="275"/>
      <c r="F107" s="275"/>
      <c r="G107" s="275"/>
      <c r="H107" s="275"/>
      <c r="I107" s="275"/>
      <c r="J107" s="275"/>
      <c r="K107" s="275"/>
      <c r="L107" s="275"/>
      <c r="M107" s="275"/>
      <c r="N107" s="275"/>
    </row>
    <row r="108">
      <c r="B108" s="275"/>
      <c r="C108" s="275"/>
      <c r="D108" s="275"/>
      <c r="E108" s="275"/>
      <c r="F108" s="275"/>
      <c r="G108" s="275"/>
      <c r="H108" s="275"/>
      <c r="I108" s="275"/>
      <c r="J108" s="275"/>
      <c r="K108" s="275"/>
      <c r="L108" s="275"/>
      <c r="M108" s="275"/>
      <c r="N108" s="275"/>
    </row>
    <row r="109">
      <c r="B109" s="275"/>
      <c r="C109" s="275"/>
      <c r="D109" s="275"/>
      <c r="E109" s="275"/>
      <c r="F109" s="275"/>
      <c r="G109" s="275"/>
      <c r="H109" s="275"/>
      <c r="I109" s="275"/>
      <c r="J109" s="275"/>
      <c r="K109" s="275"/>
      <c r="L109" s="275"/>
      <c r="M109" s="275"/>
      <c r="N109" s="275"/>
    </row>
    <row r="110">
      <c r="B110" s="275"/>
      <c r="C110" s="275"/>
      <c r="D110" s="275"/>
      <c r="E110" s="275"/>
      <c r="F110" s="275"/>
      <c r="G110" s="275"/>
      <c r="H110" s="275"/>
      <c r="I110" s="275"/>
      <c r="J110" s="275"/>
      <c r="K110" s="275"/>
      <c r="L110" s="275"/>
      <c r="M110" s="275"/>
      <c r="N110" s="275"/>
    </row>
    <row r="111">
      <c r="B111" s="275"/>
      <c r="C111" s="275"/>
      <c r="D111" s="275"/>
      <c r="E111" s="275"/>
      <c r="F111" s="275"/>
      <c r="G111" s="275"/>
      <c r="H111" s="275"/>
      <c r="I111" s="275"/>
      <c r="J111" s="275"/>
      <c r="K111" s="275"/>
      <c r="L111" s="275"/>
      <c r="M111" s="275"/>
      <c r="N111" s="275"/>
    </row>
    <row r="112">
      <c r="B112" s="275"/>
      <c r="C112" s="275"/>
      <c r="D112" s="275"/>
      <c r="E112" s="275"/>
      <c r="F112" s="275"/>
      <c r="G112" s="275"/>
      <c r="H112" s="275"/>
      <c r="I112" s="275"/>
      <c r="J112" s="275"/>
      <c r="K112" s="275"/>
      <c r="L112" s="275"/>
      <c r="M112" s="275"/>
      <c r="N112" s="275"/>
    </row>
    <row r="113">
      <c r="B113" s="275"/>
      <c r="C113" s="275"/>
      <c r="D113" s="275"/>
      <c r="E113" s="275"/>
      <c r="F113" s="275"/>
      <c r="G113" s="275"/>
      <c r="H113" s="275"/>
      <c r="I113" s="275"/>
      <c r="J113" s="275"/>
      <c r="K113" s="275"/>
      <c r="L113" s="275"/>
      <c r="M113" s="275"/>
      <c r="N113" s="275"/>
    </row>
    <row r="114">
      <c r="B114" s="275"/>
      <c r="C114" s="275"/>
      <c r="D114" s="275"/>
      <c r="E114" s="275"/>
      <c r="F114" s="275"/>
      <c r="G114" s="275"/>
      <c r="H114" s="275"/>
      <c r="I114" s="275"/>
      <c r="J114" s="275"/>
      <c r="K114" s="275"/>
      <c r="L114" s="275"/>
      <c r="M114" s="275"/>
      <c r="N114" s="275"/>
    </row>
    <row r="115">
      <c r="B115" s="275"/>
      <c r="C115" s="275"/>
      <c r="D115" s="275"/>
      <c r="E115" s="275"/>
      <c r="F115" s="275"/>
      <c r="G115" s="275"/>
      <c r="H115" s="275"/>
      <c r="I115" s="275"/>
      <c r="J115" s="275"/>
      <c r="K115" s="275"/>
      <c r="L115" s="275"/>
      <c r="M115" s="275"/>
      <c r="N115" s="275"/>
    </row>
    <row r="116">
      <c r="B116" s="275"/>
      <c r="C116" s="275"/>
      <c r="D116" s="275"/>
      <c r="E116" s="275"/>
      <c r="F116" s="275"/>
      <c r="G116" s="275"/>
      <c r="H116" s="275"/>
      <c r="I116" s="275"/>
      <c r="J116" s="275"/>
      <c r="K116" s="275"/>
      <c r="L116" s="275"/>
      <c r="M116" s="275"/>
      <c r="N116" s="275"/>
    </row>
    <row r="117">
      <c r="B117" s="275"/>
      <c r="C117" s="275"/>
      <c r="D117" s="275"/>
      <c r="E117" s="275"/>
      <c r="F117" s="275"/>
      <c r="G117" s="275"/>
      <c r="H117" s="275"/>
      <c r="I117" s="275"/>
      <c r="J117" s="275"/>
      <c r="K117" s="275"/>
      <c r="L117" s="275"/>
      <c r="M117" s="275"/>
      <c r="N117" s="275"/>
    </row>
    <row r="118">
      <c r="B118" s="275"/>
      <c r="C118" s="275"/>
      <c r="D118" s="275"/>
      <c r="E118" s="275"/>
      <c r="F118" s="275"/>
      <c r="G118" s="275"/>
      <c r="H118" s="275"/>
      <c r="I118" s="275"/>
      <c r="J118" s="275"/>
      <c r="K118" s="275"/>
      <c r="L118" s="275"/>
      <c r="M118" s="275"/>
      <c r="N118" s="275"/>
    </row>
    <row r="119">
      <c r="B119" s="275"/>
      <c r="C119" s="275"/>
      <c r="D119" s="275"/>
      <c r="E119" s="275"/>
      <c r="F119" s="275"/>
      <c r="G119" s="275"/>
      <c r="H119" s="275"/>
      <c r="I119" s="275"/>
      <c r="J119" s="275"/>
      <c r="K119" s="275"/>
      <c r="L119" s="275"/>
      <c r="M119" s="275"/>
      <c r="N119" s="275"/>
    </row>
    <row r="120">
      <c r="B120" s="275"/>
      <c r="C120" s="275"/>
      <c r="D120" s="275"/>
      <c r="E120" s="275"/>
      <c r="F120" s="275"/>
      <c r="G120" s="275"/>
      <c r="H120" s="275"/>
      <c r="I120" s="275"/>
      <c r="J120" s="275"/>
      <c r="K120" s="275"/>
      <c r="L120" s="275"/>
      <c r="M120" s="275"/>
      <c r="N120" s="275"/>
    </row>
    <row r="121">
      <c r="B121" s="275"/>
      <c r="C121" s="275"/>
      <c r="D121" s="275"/>
      <c r="E121" s="275"/>
      <c r="F121" s="275"/>
      <c r="G121" s="275"/>
      <c r="H121" s="275"/>
      <c r="I121" s="275"/>
      <c r="J121" s="275"/>
      <c r="K121" s="275"/>
      <c r="L121" s="275"/>
      <c r="M121" s="275"/>
      <c r="N121" s="275"/>
    </row>
    <row r="122">
      <c r="B122" s="275"/>
      <c r="C122" s="275"/>
      <c r="D122" s="275"/>
      <c r="E122" s="275"/>
      <c r="F122" s="275"/>
      <c r="G122" s="275"/>
      <c r="H122" s="275"/>
      <c r="I122" s="275"/>
      <c r="J122" s="275"/>
      <c r="K122" s="275"/>
      <c r="L122" s="275"/>
      <c r="M122" s="275"/>
      <c r="N122" s="275"/>
    </row>
    <row r="123">
      <c r="B123" s="275"/>
      <c r="C123" s="275"/>
      <c r="D123" s="275"/>
      <c r="E123" s="275"/>
      <c r="F123" s="275"/>
      <c r="G123" s="275"/>
      <c r="H123" s="275"/>
      <c r="I123" s="275"/>
      <c r="J123" s="275"/>
      <c r="K123" s="275"/>
      <c r="L123" s="275"/>
      <c r="M123" s="275"/>
      <c r="N123" s="275"/>
    </row>
    <row r="124">
      <c r="B124" s="275"/>
      <c r="C124" s="275"/>
      <c r="D124" s="275"/>
      <c r="E124" s="275"/>
      <c r="F124" s="275"/>
      <c r="G124" s="275"/>
      <c r="H124" s="275"/>
      <c r="I124" s="275"/>
      <c r="J124" s="275"/>
      <c r="K124" s="275"/>
      <c r="L124" s="275"/>
      <c r="M124" s="275"/>
      <c r="N124" s="275"/>
    </row>
    <row r="125">
      <c r="B125" s="275"/>
      <c r="C125" s="275"/>
      <c r="D125" s="275"/>
      <c r="E125" s="275"/>
      <c r="F125" s="275"/>
      <c r="G125" s="275"/>
      <c r="H125" s="275"/>
      <c r="I125" s="275"/>
      <c r="J125" s="275"/>
      <c r="K125" s="275"/>
      <c r="L125" s="275"/>
      <c r="M125" s="275"/>
      <c r="N125" s="275"/>
    </row>
    <row r="126">
      <c r="B126" s="275"/>
      <c r="C126" s="275"/>
      <c r="D126" s="275"/>
      <c r="E126" s="275"/>
      <c r="F126" s="275"/>
      <c r="G126" s="275"/>
      <c r="H126" s="275"/>
      <c r="I126" s="275"/>
      <c r="J126" s="275"/>
      <c r="K126" s="275"/>
      <c r="L126" s="275"/>
      <c r="M126" s="275"/>
      <c r="N126" s="275"/>
    </row>
    <row r="127">
      <c r="B127" s="275"/>
      <c r="C127" s="275"/>
      <c r="D127" s="275"/>
      <c r="E127" s="275"/>
      <c r="F127" s="275"/>
      <c r="G127" s="275"/>
      <c r="H127" s="275"/>
      <c r="I127" s="275"/>
      <c r="J127" s="275"/>
      <c r="K127" s="275"/>
      <c r="L127" s="275"/>
      <c r="M127" s="275"/>
      <c r="N127" s="275"/>
    </row>
    <row r="128">
      <c r="B128" s="275"/>
      <c r="C128" s="275"/>
      <c r="D128" s="275"/>
      <c r="E128" s="275"/>
      <c r="F128" s="275"/>
      <c r="G128" s="275"/>
      <c r="H128" s="275"/>
      <c r="I128" s="275"/>
      <c r="J128" s="275"/>
      <c r="K128" s="275"/>
      <c r="L128" s="275"/>
      <c r="M128" s="275"/>
      <c r="N128" s="275"/>
    </row>
    <row r="129">
      <c r="B129" s="275"/>
      <c r="C129" s="275"/>
      <c r="D129" s="275"/>
      <c r="E129" s="275"/>
      <c r="F129" s="275"/>
      <c r="G129" s="275"/>
      <c r="H129" s="275"/>
      <c r="I129" s="275"/>
      <c r="J129" s="275"/>
      <c r="K129" s="275"/>
      <c r="L129" s="275"/>
      <c r="M129" s="275"/>
      <c r="N129" s="275"/>
    </row>
    <row r="130">
      <c r="B130" s="275"/>
      <c r="C130" s="275"/>
      <c r="D130" s="275"/>
      <c r="E130" s="275"/>
      <c r="F130" s="275"/>
      <c r="G130" s="275"/>
      <c r="H130" s="275"/>
      <c r="I130" s="275"/>
      <c r="J130" s="275"/>
      <c r="K130" s="275"/>
      <c r="L130" s="275"/>
      <c r="M130" s="275"/>
      <c r="N130" s="275"/>
    </row>
    <row r="131">
      <c r="B131" s="275"/>
      <c r="C131" s="275"/>
      <c r="D131" s="275"/>
      <c r="E131" s="275"/>
      <c r="F131" s="275"/>
      <c r="G131" s="275"/>
      <c r="H131" s="275"/>
      <c r="I131" s="275"/>
      <c r="J131" s="275"/>
      <c r="K131" s="275"/>
      <c r="L131" s="275"/>
      <c r="M131" s="275"/>
      <c r="N131" s="275"/>
    </row>
    <row r="132">
      <c r="B132" s="275"/>
      <c r="C132" s="275"/>
      <c r="D132" s="275"/>
      <c r="E132" s="275"/>
      <c r="F132" s="275"/>
      <c r="G132" s="275"/>
      <c r="H132" s="275"/>
      <c r="I132" s="275"/>
      <c r="J132" s="275"/>
      <c r="K132" s="275"/>
      <c r="L132" s="275"/>
      <c r="M132" s="275"/>
      <c r="N132" s="275"/>
    </row>
    <row r="133">
      <c r="B133" s="275"/>
      <c r="C133" s="275"/>
      <c r="D133" s="275"/>
      <c r="E133" s="275"/>
      <c r="F133" s="275"/>
      <c r="G133" s="275"/>
      <c r="H133" s="275"/>
      <c r="I133" s="275"/>
      <c r="J133" s="275"/>
      <c r="K133" s="275"/>
      <c r="L133" s="275"/>
      <c r="M133" s="275"/>
      <c r="N133" s="275"/>
    </row>
    <row r="134">
      <c r="B134" s="275"/>
      <c r="C134" s="275"/>
      <c r="D134" s="275"/>
      <c r="E134" s="275"/>
      <c r="F134" s="275"/>
      <c r="G134" s="275"/>
      <c r="H134" s="275"/>
      <c r="I134" s="275"/>
      <c r="J134" s="275"/>
      <c r="K134" s="275"/>
      <c r="L134" s="275"/>
      <c r="M134" s="275"/>
      <c r="N134" s="275"/>
    </row>
    <row r="135">
      <c r="B135" s="275"/>
      <c r="C135" s="275"/>
      <c r="D135" s="275"/>
      <c r="E135" s="275"/>
      <c r="F135" s="275"/>
      <c r="G135" s="275"/>
      <c r="H135" s="275"/>
      <c r="I135" s="275"/>
      <c r="J135" s="275"/>
      <c r="K135" s="275"/>
      <c r="L135" s="275"/>
      <c r="M135" s="275"/>
      <c r="N135" s="275"/>
    </row>
    <row r="136">
      <c r="B136" s="275"/>
      <c r="C136" s="275"/>
      <c r="D136" s="275"/>
      <c r="E136" s="275"/>
      <c r="F136" s="275"/>
      <c r="G136" s="275"/>
      <c r="H136" s="275"/>
      <c r="I136" s="275"/>
      <c r="J136" s="275"/>
      <c r="K136" s="275"/>
      <c r="L136" s="275"/>
      <c r="M136" s="275"/>
      <c r="N136" s="275"/>
    </row>
    <row r="137">
      <c r="B137" s="275"/>
      <c r="C137" s="275"/>
      <c r="D137" s="275"/>
      <c r="E137" s="275"/>
      <c r="F137" s="275"/>
      <c r="G137" s="275"/>
      <c r="H137" s="275"/>
      <c r="I137" s="275"/>
      <c r="J137" s="275"/>
      <c r="K137" s="275"/>
      <c r="L137" s="275"/>
      <c r="M137" s="275"/>
      <c r="N137" s="275"/>
    </row>
    <row r="138">
      <c r="B138" s="275"/>
      <c r="C138" s="275"/>
      <c r="D138" s="275"/>
      <c r="E138" s="275"/>
      <c r="F138" s="275"/>
      <c r="G138" s="275"/>
      <c r="H138" s="275"/>
      <c r="I138" s="275"/>
      <c r="J138" s="275"/>
      <c r="K138" s="275"/>
      <c r="L138" s="275"/>
      <c r="M138" s="275"/>
      <c r="N138" s="275"/>
    </row>
    <row r="139">
      <c r="B139" s="275"/>
      <c r="C139" s="275"/>
      <c r="D139" s="275"/>
      <c r="E139" s="275"/>
      <c r="F139" s="275"/>
      <c r="G139" s="275"/>
      <c r="H139" s="275"/>
      <c r="I139" s="275"/>
      <c r="J139" s="275"/>
      <c r="K139" s="275"/>
      <c r="L139" s="275"/>
      <c r="M139" s="275"/>
      <c r="N139" s="275"/>
    </row>
    <row r="140">
      <c r="B140" s="275"/>
      <c r="C140" s="275"/>
      <c r="D140" s="275"/>
      <c r="E140" s="275"/>
      <c r="F140" s="275"/>
      <c r="G140" s="275"/>
      <c r="H140" s="275"/>
      <c r="I140" s="275"/>
      <c r="J140" s="275"/>
      <c r="K140" s="275"/>
      <c r="L140" s="275"/>
      <c r="M140" s="275"/>
      <c r="N140" s="275"/>
    </row>
    <row r="141">
      <c r="B141" s="275"/>
      <c r="C141" s="275"/>
      <c r="D141" s="275"/>
      <c r="E141" s="275"/>
      <c r="F141" s="275"/>
      <c r="G141" s="275"/>
      <c r="H141" s="275"/>
      <c r="I141" s="275"/>
      <c r="J141" s="275"/>
      <c r="K141" s="275"/>
      <c r="L141" s="275"/>
      <c r="M141" s="275"/>
      <c r="N141" s="275"/>
    </row>
    <row r="142">
      <c r="B142" s="275"/>
      <c r="C142" s="275"/>
      <c r="D142" s="275"/>
      <c r="E142" s="275"/>
      <c r="F142" s="275"/>
      <c r="G142" s="275"/>
      <c r="H142" s="275"/>
      <c r="I142" s="275"/>
      <c r="J142" s="275"/>
      <c r="K142" s="275"/>
      <c r="L142" s="275"/>
      <c r="M142" s="275"/>
      <c r="N142" s="275"/>
    </row>
    <row r="143">
      <c r="B143" s="275"/>
      <c r="C143" s="275"/>
      <c r="D143" s="275"/>
      <c r="E143" s="275"/>
      <c r="F143" s="275"/>
      <c r="G143" s="275"/>
      <c r="H143" s="275"/>
      <c r="I143" s="275"/>
      <c r="J143" s="275"/>
      <c r="K143" s="275"/>
      <c r="L143" s="275"/>
      <c r="M143" s="275"/>
      <c r="N143" s="275"/>
    </row>
    <row r="144">
      <c r="B144" s="275"/>
      <c r="C144" s="275"/>
      <c r="D144" s="275"/>
      <c r="E144" s="275"/>
      <c r="F144" s="275"/>
      <c r="G144" s="275"/>
      <c r="H144" s="275"/>
      <c r="I144" s="275"/>
      <c r="J144" s="275"/>
      <c r="K144" s="275"/>
      <c r="L144" s="275"/>
      <c r="M144" s="275"/>
      <c r="N144" s="275"/>
    </row>
    <row r="145">
      <c r="B145" s="275"/>
      <c r="C145" s="275"/>
      <c r="D145" s="275"/>
      <c r="E145" s="275"/>
      <c r="F145" s="275"/>
      <c r="G145" s="275"/>
      <c r="H145" s="275"/>
      <c r="I145" s="275"/>
      <c r="J145" s="275"/>
      <c r="K145" s="275"/>
      <c r="L145" s="275"/>
      <c r="M145" s="275"/>
      <c r="N145" s="275"/>
    </row>
    <row r="146">
      <c r="B146" s="275"/>
      <c r="C146" s="275"/>
      <c r="D146" s="275"/>
      <c r="E146" s="275"/>
      <c r="F146" s="275"/>
      <c r="G146" s="275"/>
      <c r="H146" s="275"/>
      <c r="I146" s="275"/>
      <c r="J146" s="275"/>
      <c r="K146" s="275"/>
      <c r="L146" s="275"/>
      <c r="M146" s="275"/>
      <c r="N146" s="275"/>
    </row>
    <row r="147">
      <c r="B147" s="275"/>
      <c r="C147" s="275"/>
      <c r="D147" s="275"/>
      <c r="E147" s="275"/>
      <c r="F147" s="275"/>
      <c r="G147" s="275"/>
      <c r="H147" s="275"/>
      <c r="I147" s="275"/>
      <c r="J147" s="275"/>
      <c r="K147" s="275"/>
      <c r="L147" s="275"/>
      <c r="M147" s="275"/>
      <c r="N147" s="275"/>
    </row>
    <row r="148">
      <c r="B148" s="275"/>
      <c r="C148" s="275"/>
      <c r="D148" s="275"/>
      <c r="E148" s="275"/>
      <c r="F148" s="275"/>
      <c r="G148" s="275"/>
      <c r="H148" s="275"/>
      <c r="I148" s="275"/>
      <c r="J148" s="275"/>
      <c r="K148" s="275"/>
      <c r="L148" s="275"/>
      <c r="M148" s="275"/>
      <c r="N148" s="275"/>
    </row>
    <row r="149">
      <c r="B149" s="275"/>
      <c r="C149" s="275"/>
      <c r="D149" s="275"/>
      <c r="E149" s="275"/>
      <c r="F149" s="275"/>
      <c r="G149" s="275"/>
      <c r="H149" s="275"/>
      <c r="I149" s="275"/>
      <c r="J149" s="275"/>
      <c r="K149" s="275"/>
      <c r="L149" s="275"/>
      <c r="M149" s="275"/>
      <c r="N149" s="275"/>
    </row>
    <row r="150">
      <c r="B150" s="275"/>
      <c r="C150" s="275"/>
      <c r="D150" s="275"/>
      <c r="E150" s="275"/>
      <c r="F150" s="275"/>
      <c r="G150" s="275"/>
      <c r="H150" s="275"/>
      <c r="I150" s="275"/>
      <c r="J150" s="275"/>
      <c r="K150" s="275"/>
      <c r="L150" s="275"/>
      <c r="M150" s="275"/>
      <c r="N150" s="275"/>
    </row>
    <row r="151">
      <c r="B151" s="275"/>
      <c r="C151" s="275"/>
      <c r="D151" s="275"/>
      <c r="E151" s="275"/>
      <c r="F151" s="275"/>
      <c r="G151" s="275"/>
      <c r="H151" s="275"/>
      <c r="I151" s="275"/>
      <c r="J151" s="275"/>
      <c r="K151" s="275"/>
      <c r="L151" s="275"/>
      <c r="M151" s="275"/>
      <c r="N151" s="275"/>
    </row>
    <row r="152">
      <c r="B152" s="275"/>
      <c r="C152" s="275"/>
      <c r="D152" s="275"/>
      <c r="E152" s="275"/>
      <c r="F152" s="275"/>
      <c r="G152" s="275"/>
      <c r="H152" s="275"/>
      <c r="I152" s="275"/>
      <c r="J152" s="275"/>
      <c r="K152" s="275"/>
      <c r="L152" s="275"/>
      <c r="M152" s="275"/>
      <c r="N152" s="275"/>
    </row>
    <row r="153">
      <c r="B153" s="275"/>
      <c r="C153" s="275"/>
      <c r="D153" s="275"/>
      <c r="E153" s="275"/>
      <c r="F153" s="275"/>
      <c r="G153" s="275"/>
      <c r="H153" s="275"/>
      <c r="I153" s="275"/>
      <c r="J153" s="275"/>
      <c r="K153" s="275"/>
      <c r="L153" s="275"/>
      <c r="M153" s="275"/>
      <c r="N153" s="275"/>
    </row>
    <row r="154">
      <c r="B154" s="275"/>
      <c r="C154" s="275"/>
      <c r="D154" s="275"/>
      <c r="E154" s="275"/>
      <c r="F154" s="275"/>
      <c r="G154" s="275"/>
      <c r="H154" s="275"/>
      <c r="I154" s="275"/>
      <c r="J154" s="275"/>
      <c r="K154" s="275"/>
      <c r="L154" s="275"/>
      <c r="M154" s="275"/>
      <c r="N154" s="275"/>
    </row>
    <row r="155">
      <c r="B155" s="275"/>
      <c r="C155" s="275"/>
      <c r="D155" s="275"/>
      <c r="E155" s="275"/>
      <c r="F155" s="275"/>
      <c r="G155" s="275"/>
      <c r="H155" s="275"/>
      <c r="I155" s="275"/>
      <c r="J155" s="275"/>
      <c r="K155" s="275"/>
      <c r="L155" s="275"/>
      <c r="M155" s="275"/>
      <c r="N155" s="275"/>
    </row>
    <row r="156">
      <c r="B156" s="275"/>
      <c r="C156" s="275"/>
      <c r="D156" s="275"/>
      <c r="E156" s="275"/>
      <c r="F156" s="275"/>
      <c r="G156" s="275"/>
      <c r="H156" s="275"/>
      <c r="I156" s="275"/>
      <c r="J156" s="275"/>
      <c r="K156" s="275"/>
      <c r="L156" s="275"/>
      <c r="M156" s="275"/>
      <c r="N156" s="275"/>
    </row>
    <row r="157">
      <c r="B157" s="275"/>
      <c r="C157" s="275"/>
      <c r="D157" s="275"/>
      <c r="E157" s="275"/>
      <c r="F157" s="275"/>
      <c r="G157" s="275"/>
      <c r="H157" s="275"/>
      <c r="I157" s="275"/>
      <c r="J157" s="275"/>
      <c r="K157" s="275"/>
      <c r="L157" s="275"/>
      <c r="M157" s="275"/>
      <c r="N157" s="275"/>
    </row>
    <row r="158">
      <c r="B158" s="275"/>
      <c r="C158" s="275"/>
      <c r="D158" s="275"/>
      <c r="E158" s="275"/>
      <c r="F158" s="275"/>
      <c r="G158" s="275"/>
      <c r="H158" s="275"/>
      <c r="I158" s="275"/>
      <c r="J158" s="275"/>
      <c r="K158" s="275"/>
      <c r="L158" s="275"/>
      <c r="M158" s="275"/>
      <c r="N158" s="275"/>
    </row>
    <row r="159">
      <c r="B159" s="275"/>
      <c r="C159" s="275"/>
      <c r="D159" s="275"/>
      <c r="E159" s="275"/>
      <c r="F159" s="275"/>
      <c r="G159" s="275"/>
      <c r="H159" s="275"/>
      <c r="I159" s="275"/>
      <c r="J159" s="275"/>
      <c r="K159" s="275"/>
      <c r="L159" s="275"/>
      <c r="M159" s="275"/>
      <c r="N159" s="275"/>
    </row>
    <row r="160">
      <c r="B160" s="275"/>
      <c r="C160" s="275"/>
      <c r="D160" s="275"/>
      <c r="E160" s="275"/>
      <c r="F160" s="275"/>
      <c r="G160" s="275"/>
      <c r="H160" s="275"/>
      <c r="I160" s="275"/>
      <c r="J160" s="275"/>
      <c r="K160" s="275"/>
      <c r="L160" s="275"/>
      <c r="M160" s="275"/>
      <c r="N160" s="275"/>
    </row>
    <row r="161">
      <c r="B161" s="275"/>
      <c r="C161" s="275"/>
      <c r="D161" s="275"/>
      <c r="E161" s="275"/>
      <c r="F161" s="275"/>
      <c r="G161" s="275"/>
      <c r="H161" s="275"/>
      <c r="I161" s="275"/>
      <c r="J161" s="275"/>
      <c r="K161" s="275"/>
      <c r="L161" s="275"/>
      <c r="M161" s="275"/>
      <c r="N161" s="275"/>
    </row>
    <row r="162">
      <c r="B162" s="275"/>
      <c r="C162" s="275"/>
      <c r="D162" s="275"/>
      <c r="E162" s="275"/>
      <c r="F162" s="275"/>
      <c r="G162" s="275"/>
      <c r="H162" s="275"/>
      <c r="I162" s="275"/>
      <c r="J162" s="275"/>
      <c r="K162" s="275"/>
      <c r="L162" s="275"/>
      <c r="M162" s="275"/>
      <c r="N162" s="275"/>
    </row>
    <row r="163">
      <c r="B163" s="275"/>
      <c r="C163" s="275"/>
      <c r="D163" s="275"/>
      <c r="E163" s="275"/>
      <c r="F163" s="275"/>
      <c r="G163" s="275"/>
      <c r="H163" s="275"/>
      <c r="I163" s="275"/>
      <c r="J163" s="275"/>
      <c r="K163" s="275"/>
      <c r="L163" s="275"/>
      <c r="M163" s="275"/>
      <c r="N163" s="275"/>
    </row>
    <row r="164">
      <c r="B164" s="275"/>
      <c r="C164" s="275"/>
      <c r="D164" s="275"/>
      <c r="E164" s="275"/>
      <c r="F164" s="275"/>
      <c r="G164" s="275"/>
      <c r="H164" s="275"/>
      <c r="I164" s="275"/>
      <c r="J164" s="275"/>
      <c r="K164" s="275"/>
      <c r="L164" s="275"/>
      <c r="M164" s="275"/>
      <c r="N164" s="275"/>
    </row>
    <row r="165">
      <c r="B165" s="275"/>
      <c r="C165" s="275"/>
      <c r="D165" s="275"/>
      <c r="E165" s="275"/>
      <c r="F165" s="275"/>
      <c r="G165" s="275"/>
      <c r="H165" s="275"/>
      <c r="I165" s="275"/>
      <c r="J165" s="275"/>
      <c r="K165" s="275"/>
      <c r="L165" s="275"/>
      <c r="M165" s="275"/>
      <c r="N165" s="275"/>
    </row>
    <row r="166">
      <c r="B166" s="275"/>
      <c r="C166" s="275"/>
      <c r="D166" s="275"/>
      <c r="E166" s="275"/>
      <c r="F166" s="275"/>
      <c r="G166" s="275"/>
      <c r="H166" s="275"/>
      <c r="I166" s="275"/>
      <c r="J166" s="275"/>
      <c r="K166" s="275"/>
      <c r="L166" s="275"/>
      <c r="M166" s="275"/>
      <c r="N166" s="275"/>
    </row>
    <row r="167">
      <c r="B167" s="275"/>
      <c r="C167" s="275"/>
      <c r="D167" s="275"/>
      <c r="E167" s="275"/>
      <c r="F167" s="275"/>
      <c r="G167" s="275"/>
      <c r="H167" s="275"/>
      <c r="I167" s="275"/>
      <c r="J167" s="275"/>
      <c r="K167" s="275"/>
      <c r="L167" s="275"/>
      <c r="M167" s="275"/>
      <c r="N167" s="275"/>
    </row>
    <row r="168">
      <c r="B168" s="275"/>
      <c r="C168" s="275"/>
      <c r="D168" s="275"/>
      <c r="E168" s="275"/>
      <c r="F168" s="275"/>
      <c r="G168" s="275"/>
      <c r="H168" s="275"/>
      <c r="I168" s="275"/>
      <c r="J168" s="275"/>
      <c r="K168" s="275"/>
      <c r="L168" s="275"/>
      <c r="M168" s="275"/>
      <c r="N168" s="275"/>
    </row>
    <row r="169">
      <c r="B169" s="275"/>
      <c r="C169" s="275"/>
      <c r="D169" s="275"/>
      <c r="E169" s="275"/>
      <c r="F169" s="275"/>
      <c r="G169" s="275"/>
      <c r="H169" s="275"/>
      <c r="I169" s="275"/>
      <c r="J169" s="275"/>
      <c r="K169" s="275"/>
      <c r="L169" s="275"/>
      <c r="M169" s="275"/>
      <c r="N169" s="275"/>
    </row>
    <row r="170">
      <c r="B170" s="275"/>
      <c r="C170" s="275"/>
      <c r="D170" s="275"/>
      <c r="E170" s="275"/>
      <c r="F170" s="275"/>
      <c r="G170" s="275"/>
      <c r="H170" s="275"/>
      <c r="I170" s="275"/>
      <c r="J170" s="275"/>
      <c r="K170" s="275"/>
      <c r="L170" s="275"/>
      <c r="M170" s="275"/>
      <c r="N170" s="275"/>
    </row>
    <row r="171">
      <c r="B171" s="275"/>
      <c r="C171" s="275"/>
      <c r="D171" s="275"/>
      <c r="E171" s="275"/>
      <c r="F171" s="275"/>
      <c r="G171" s="275"/>
      <c r="H171" s="275"/>
      <c r="I171" s="275"/>
      <c r="J171" s="275"/>
      <c r="K171" s="275"/>
      <c r="L171" s="275"/>
      <c r="M171" s="275"/>
      <c r="N171" s="275"/>
    </row>
    <row r="172">
      <c r="B172" s="275"/>
      <c r="C172" s="275"/>
      <c r="D172" s="275"/>
      <c r="E172" s="275"/>
      <c r="F172" s="275"/>
      <c r="G172" s="275"/>
      <c r="H172" s="275"/>
      <c r="I172" s="275"/>
      <c r="J172" s="275"/>
      <c r="K172" s="275"/>
      <c r="L172" s="275"/>
      <c r="M172" s="275"/>
      <c r="N172" s="275"/>
    </row>
    <row r="173">
      <c r="B173" s="275"/>
      <c r="C173" s="275"/>
      <c r="D173" s="275"/>
      <c r="E173" s="275"/>
      <c r="F173" s="275"/>
      <c r="G173" s="275"/>
      <c r="H173" s="275"/>
      <c r="I173" s="275"/>
      <c r="J173" s="275"/>
      <c r="K173" s="275"/>
      <c r="L173" s="275"/>
      <c r="M173" s="275"/>
      <c r="N173" s="275"/>
    </row>
    <row r="174">
      <c r="B174" s="275"/>
      <c r="C174" s="275"/>
      <c r="D174" s="275"/>
      <c r="E174" s="275"/>
      <c r="F174" s="275"/>
      <c r="G174" s="275"/>
      <c r="H174" s="275"/>
      <c r="I174" s="275"/>
      <c r="J174" s="275"/>
      <c r="K174" s="275"/>
      <c r="L174" s="275"/>
      <c r="M174" s="275"/>
      <c r="N174" s="275"/>
    </row>
    <row r="175">
      <c r="B175" s="275"/>
      <c r="C175" s="275"/>
      <c r="D175" s="275"/>
      <c r="E175" s="275"/>
      <c r="F175" s="275"/>
      <c r="G175" s="275"/>
      <c r="H175" s="275"/>
      <c r="I175" s="275"/>
      <c r="J175" s="275"/>
      <c r="K175" s="275"/>
      <c r="L175" s="275"/>
      <c r="M175" s="275"/>
      <c r="N175" s="275"/>
    </row>
    <row r="176">
      <c r="B176" s="275"/>
      <c r="C176" s="275"/>
      <c r="D176" s="275"/>
      <c r="E176" s="275"/>
      <c r="F176" s="275"/>
      <c r="G176" s="275"/>
      <c r="H176" s="275"/>
      <c r="I176" s="275"/>
      <c r="J176" s="275"/>
      <c r="K176" s="275"/>
      <c r="L176" s="275"/>
      <c r="M176" s="275"/>
      <c r="N176" s="275"/>
    </row>
    <row r="177">
      <c r="B177" s="275"/>
      <c r="C177" s="275"/>
      <c r="D177" s="275"/>
      <c r="E177" s="275"/>
      <c r="F177" s="275"/>
      <c r="G177" s="275"/>
      <c r="H177" s="275"/>
      <c r="I177" s="275"/>
      <c r="J177" s="275"/>
      <c r="K177" s="275"/>
      <c r="L177" s="275"/>
      <c r="M177" s="275"/>
      <c r="N177" s="275"/>
    </row>
    <row r="178">
      <c r="B178" s="275"/>
      <c r="C178" s="275"/>
      <c r="D178" s="275"/>
      <c r="E178" s="275"/>
      <c r="F178" s="275"/>
      <c r="G178" s="275"/>
      <c r="H178" s="275"/>
      <c r="I178" s="275"/>
      <c r="J178" s="275"/>
      <c r="K178" s="275"/>
      <c r="L178" s="275"/>
      <c r="M178" s="275"/>
      <c r="N178" s="275"/>
    </row>
    <row r="179">
      <c r="B179" s="275"/>
      <c r="C179" s="275"/>
      <c r="D179" s="275"/>
      <c r="E179" s="275"/>
      <c r="F179" s="275"/>
      <c r="G179" s="275"/>
      <c r="H179" s="275"/>
      <c r="I179" s="275"/>
      <c r="J179" s="275"/>
      <c r="K179" s="275"/>
      <c r="L179" s="275"/>
      <c r="M179" s="275"/>
      <c r="N179" s="275"/>
    </row>
    <row r="180">
      <c r="B180" s="275"/>
      <c r="C180" s="275"/>
      <c r="D180" s="275"/>
      <c r="E180" s="275"/>
      <c r="F180" s="275"/>
      <c r="G180" s="275"/>
      <c r="H180" s="275"/>
      <c r="I180" s="275"/>
      <c r="J180" s="275"/>
      <c r="K180" s="275"/>
      <c r="L180" s="275"/>
      <c r="M180" s="275"/>
      <c r="N180" s="275"/>
    </row>
    <row r="181">
      <c r="B181" s="275"/>
      <c r="C181" s="275"/>
      <c r="D181" s="275"/>
      <c r="E181" s="275"/>
      <c r="F181" s="275"/>
      <c r="G181" s="275"/>
      <c r="H181" s="275"/>
      <c r="I181" s="275"/>
      <c r="J181" s="275"/>
      <c r="K181" s="275"/>
      <c r="L181" s="275"/>
      <c r="M181" s="275"/>
      <c r="N181" s="275"/>
    </row>
    <row r="182">
      <c r="B182" s="275"/>
      <c r="C182" s="275"/>
      <c r="D182" s="275"/>
      <c r="E182" s="275"/>
      <c r="F182" s="275"/>
      <c r="G182" s="275"/>
      <c r="H182" s="275"/>
      <c r="I182" s="275"/>
      <c r="J182" s="275"/>
      <c r="K182" s="275"/>
      <c r="L182" s="275"/>
      <c r="M182" s="275"/>
      <c r="N182" s="275"/>
    </row>
    <row r="183">
      <c r="B183" s="275"/>
      <c r="C183" s="275"/>
      <c r="D183" s="275"/>
      <c r="E183" s="275"/>
      <c r="F183" s="275"/>
      <c r="G183" s="275"/>
      <c r="H183" s="275"/>
      <c r="I183" s="275"/>
      <c r="J183" s="275"/>
      <c r="K183" s="275"/>
      <c r="L183" s="275"/>
      <c r="M183" s="275"/>
      <c r="N183" s="275"/>
    </row>
    <row r="184">
      <c r="B184" s="275"/>
      <c r="C184" s="275"/>
      <c r="D184" s="275"/>
      <c r="E184" s="275"/>
      <c r="F184" s="275"/>
      <c r="G184" s="275"/>
      <c r="H184" s="275"/>
      <c r="I184" s="275"/>
      <c r="J184" s="275"/>
      <c r="K184" s="275"/>
      <c r="L184" s="275"/>
      <c r="M184" s="275"/>
      <c r="N184" s="275"/>
    </row>
    <row r="185">
      <c r="B185" s="275"/>
      <c r="C185" s="275"/>
      <c r="D185" s="275"/>
      <c r="E185" s="275"/>
      <c r="F185" s="275"/>
      <c r="G185" s="275"/>
      <c r="H185" s="275"/>
      <c r="I185" s="275"/>
      <c r="J185" s="275"/>
      <c r="K185" s="275"/>
      <c r="L185" s="275"/>
      <c r="M185" s="275"/>
      <c r="N185" s="275"/>
    </row>
    <row r="186">
      <c r="B186" s="275"/>
      <c r="C186" s="275"/>
      <c r="D186" s="275"/>
      <c r="E186" s="275"/>
      <c r="F186" s="275"/>
      <c r="G186" s="275"/>
      <c r="H186" s="275"/>
      <c r="I186" s="275"/>
      <c r="J186" s="275"/>
      <c r="K186" s="275"/>
      <c r="L186" s="275"/>
      <c r="M186" s="275"/>
      <c r="N186" s="275"/>
    </row>
    <row r="187">
      <c r="B187" s="275"/>
      <c r="C187" s="275"/>
      <c r="D187" s="275"/>
      <c r="E187" s="275"/>
      <c r="F187" s="275"/>
      <c r="G187" s="275"/>
      <c r="H187" s="275"/>
      <c r="I187" s="275"/>
      <c r="J187" s="275"/>
      <c r="K187" s="275"/>
      <c r="L187" s="275"/>
      <c r="M187" s="275"/>
      <c r="N187" s="275"/>
    </row>
    <row r="188">
      <c r="B188" s="275"/>
      <c r="C188" s="275"/>
      <c r="D188" s="275"/>
      <c r="E188" s="275"/>
      <c r="F188" s="275"/>
      <c r="G188" s="275"/>
      <c r="H188" s="275"/>
      <c r="I188" s="275"/>
      <c r="J188" s="275"/>
      <c r="K188" s="275"/>
      <c r="L188" s="275"/>
      <c r="M188" s="275"/>
      <c r="N188" s="275"/>
    </row>
    <row r="189">
      <c r="B189" s="275"/>
      <c r="C189" s="275"/>
      <c r="D189" s="275"/>
      <c r="E189" s="275"/>
      <c r="F189" s="275"/>
      <c r="G189" s="275"/>
      <c r="H189" s="275"/>
      <c r="I189" s="275"/>
      <c r="J189" s="275"/>
      <c r="K189" s="275"/>
      <c r="L189" s="275"/>
      <c r="M189" s="275"/>
      <c r="N189" s="275"/>
    </row>
    <row r="190">
      <c r="B190" s="275"/>
      <c r="C190" s="275"/>
      <c r="D190" s="275"/>
      <c r="E190" s="275"/>
      <c r="F190" s="275"/>
      <c r="G190" s="275"/>
      <c r="H190" s="275"/>
      <c r="I190" s="275"/>
      <c r="J190" s="275"/>
      <c r="K190" s="275"/>
      <c r="L190" s="275"/>
      <c r="M190" s="275"/>
      <c r="N190" s="275"/>
    </row>
    <row r="191">
      <c r="B191" s="275"/>
      <c r="C191" s="275"/>
      <c r="D191" s="275"/>
      <c r="E191" s="275"/>
      <c r="F191" s="275"/>
      <c r="G191" s="275"/>
      <c r="H191" s="275"/>
      <c r="I191" s="275"/>
      <c r="J191" s="275"/>
      <c r="K191" s="275"/>
      <c r="L191" s="275"/>
      <c r="M191" s="275"/>
      <c r="N191" s="275"/>
    </row>
    <row r="192">
      <c r="B192" s="275"/>
      <c r="C192" s="275"/>
      <c r="D192" s="275"/>
      <c r="E192" s="275"/>
      <c r="F192" s="275"/>
      <c r="G192" s="275"/>
      <c r="H192" s="275"/>
      <c r="I192" s="275"/>
      <c r="J192" s="275"/>
      <c r="K192" s="275"/>
      <c r="L192" s="275"/>
      <c r="M192" s="275"/>
      <c r="N192" s="275"/>
    </row>
    <row r="193">
      <c r="B193" s="275"/>
      <c r="C193" s="275"/>
      <c r="D193" s="275"/>
      <c r="E193" s="275"/>
      <c r="F193" s="275"/>
      <c r="G193" s="275"/>
      <c r="H193" s="275"/>
      <c r="I193" s="275"/>
      <c r="J193" s="275"/>
      <c r="K193" s="275"/>
      <c r="L193" s="275"/>
      <c r="M193" s="275"/>
      <c r="N193" s="275"/>
    </row>
    <row r="194">
      <c r="B194" s="275"/>
      <c r="C194" s="275"/>
      <c r="D194" s="275"/>
      <c r="E194" s="275"/>
      <c r="F194" s="275"/>
      <c r="G194" s="275"/>
      <c r="H194" s="275"/>
      <c r="I194" s="275"/>
      <c r="J194" s="275"/>
      <c r="K194" s="275"/>
      <c r="L194" s="275"/>
      <c r="M194" s="275"/>
      <c r="N194" s="275"/>
    </row>
    <row r="195">
      <c r="B195" s="275"/>
      <c r="C195" s="275"/>
      <c r="D195" s="275"/>
      <c r="E195" s="275"/>
      <c r="F195" s="275"/>
      <c r="G195" s="275"/>
      <c r="H195" s="275"/>
      <c r="I195" s="275"/>
      <c r="J195" s="275"/>
      <c r="K195" s="275"/>
      <c r="L195" s="275"/>
      <c r="M195" s="275"/>
      <c r="N195" s="275"/>
    </row>
    <row r="196">
      <c r="B196" s="275"/>
      <c r="C196" s="275"/>
      <c r="D196" s="275"/>
      <c r="E196" s="275"/>
      <c r="F196" s="275"/>
      <c r="G196" s="275"/>
      <c r="H196" s="275"/>
      <c r="I196" s="275"/>
      <c r="J196" s="275"/>
      <c r="K196" s="275"/>
      <c r="L196" s="275"/>
      <c r="M196" s="275"/>
      <c r="N196" s="275"/>
    </row>
    <row r="197">
      <c r="B197" s="275"/>
      <c r="C197" s="275"/>
      <c r="D197" s="275"/>
      <c r="E197" s="275"/>
      <c r="F197" s="275"/>
      <c r="G197" s="275"/>
      <c r="H197" s="275"/>
      <c r="I197" s="275"/>
      <c r="J197" s="275"/>
      <c r="K197" s="275"/>
      <c r="L197" s="275"/>
      <c r="M197" s="275"/>
      <c r="N197" s="275"/>
    </row>
    <row r="198">
      <c r="B198" s="275"/>
      <c r="C198" s="275"/>
      <c r="D198" s="275"/>
      <c r="E198" s="275"/>
      <c r="F198" s="275"/>
      <c r="G198" s="275"/>
      <c r="H198" s="275"/>
      <c r="I198" s="275"/>
      <c r="J198" s="275"/>
      <c r="K198" s="275"/>
      <c r="L198" s="275"/>
      <c r="M198" s="275"/>
      <c r="N198" s="275"/>
    </row>
    <row r="199">
      <c r="B199" s="275"/>
      <c r="C199" s="275"/>
      <c r="D199" s="275"/>
      <c r="E199" s="275"/>
      <c r="F199" s="275"/>
      <c r="G199" s="275"/>
      <c r="H199" s="275"/>
      <c r="I199" s="275"/>
      <c r="J199" s="275"/>
      <c r="K199" s="275"/>
      <c r="L199" s="275"/>
      <c r="M199" s="275"/>
      <c r="N199" s="275"/>
    </row>
    <row r="200">
      <c r="B200" s="275"/>
      <c r="C200" s="275"/>
      <c r="D200" s="275"/>
      <c r="E200" s="275"/>
      <c r="F200" s="275"/>
      <c r="G200" s="275"/>
      <c r="H200" s="275"/>
      <c r="I200" s="275"/>
      <c r="J200" s="275"/>
      <c r="K200" s="275"/>
      <c r="L200" s="275"/>
      <c r="M200" s="275"/>
      <c r="N200" s="275"/>
    </row>
    <row r="201">
      <c r="B201" s="275"/>
      <c r="C201" s="275"/>
      <c r="D201" s="275"/>
      <c r="E201" s="275"/>
      <c r="F201" s="275"/>
      <c r="G201" s="275"/>
      <c r="H201" s="275"/>
      <c r="I201" s="275"/>
      <c r="J201" s="275"/>
      <c r="K201" s="275"/>
      <c r="L201" s="275"/>
      <c r="M201" s="275"/>
      <c r="N201" s="275"/>
    </row>
    <row r="202">
      <c r="B202" s="275"/>
      <c r="C202" s="275"/>
      <c r="D202" s="275"/>
      <c r="E202" s="275"/>
      <c r="F202" s="275"/>
      <c r="G202" s="275"/>
      <c r="H202" s="275"/>
      <c r="I202" s="275"/>
      <c r="J202" s="275"/>
      <c r="K202" s="275"/>
      <c r="L202" s="275"/>
      <c r="M202" s="275"/>
      <c r="N202" s="275"/>
    </row>
    <row r="203">
      <c r="B203" s="275"/>
      <c r="C203" s="275"/>
      <c r="D203" s="275"/>
      <c r="E203" s="275"/>
      <c r="F203" s="275"/>
      <c r="G203" s="275"/>
      <c r="H203" s="275"/>
      <c r="I203" s="275"/>
      <c r="J203" s="275"/>
      <c r="K203" s="275"/>
      <c r="L203" s="275"/>
      <c r="M203" s="275"/>
      <c r="N203" s="275"/>
    </row>
    <row r="204">
      <c r="B204" s="275"/>
      <c r="C204" s="275"/>
      <c r="D204" s="275"/>
      <c r="E204" s="275"/>
      <c r="F204" s="275"/>
      <c r="G204" s="275"/>
      <c r="H204" s="275"/>
      <c r="I204" s="275"/>
      <c r="J204" s="275"/>
      <c r="K204" s="275"/>
      <c r="L204" s="275"/>
      <c r="M204" s="275"/>
      <c r="N204" s="275"/>
    </row>
    <row r="205">
      <c r="B205" s="275"/>
      <c r="C205" s="275"/>
      <c r="D205" s="275"/>
      <c r="E205" s="275"/>
      <c r="F205" s="275"/>
      <c r="G205" s="275"/>
      <c r="H205" s="275"/>
      <c r="I205" s="275"/>
      <c r="J205" s="275"/>
      <c r="K205" s="275"/>
      <c r="L205" s="275"/>
      <c r="M205" s="275"/>
      <c r="N205" s="275"/>
    </row>
    <row r="206">
      <c r="B206" s="275"/>
      <c r="C206" s="275"/>
      <c r="D206" s="275"/>
      <c r="E206" s="275"/>
      <c r="F206" s="275"/>
      <c r="G206" s="275"/>
      <c r="H206" s="275"/>
      <c r="I206" s="275"/>
      <c r="J206" s="275"/>
      <c r="K206" s="275"/>
      <c r="L206" s="275"/>
      <c r="M206" s="275"/>
      <c r="N206" s="275"/>
    </row>
    <row r="207">
      <c r="B207" s="275"/>
      <c r="C207" s="275"/>
      <c r="D207" s="275"/>
      <c r="E207" s="275"/>
      <c r="F207" s="275"/>
      <c r="G207" s="275"/>
      <c r="H207" s="275"/>
      <c r="I207" s="275"/>
      <c r="J207" s="275"/>
      <c r="K207" s="275"/>
      <c r="L207" s="275"/>
      <c r="M207" s="275"/>
      <c r="N207" s="275"/>
    </row>
    <row r="208">
      <c r="B208" s="275"/>
      <c r="C208" s="275"/>
      <c r="D208" s="275"/>
      <c r="E208" s="275"/>
      <c r="F208" s="275"/>
      <c r="G208" s="275"/>
      <c r="H208" s="275"/>
      <c r="I208" s="275"/>
      <c r="J208" s="275"/>
      <c r="K208" s="275"/>
      <c r="L208" s="275"/>
      <c r="M208" s="275"/>
      <c r="N208" s="275"/>
    </row>
    <row r="209">
      <c r="B209" s="275"/>
      <c r="C209" s="275"/>
      <c r="D209" s="275"/>
      <c r="E209" s="275"/>
      <c r="F209" s="275"/>
      <c r="G209" s="275"/>
      <c r="H209" s="275"/>
      <c r="I209" s="275"/>
      <c r="J209" s="275"/>
      <c r="K209" s="275"/>
      <c r="L209" s="275"/>
      <c r="M209" s="275"/>
      <c r="N209" s="275"/>
    </row>
    <row r="210">
      <c r="B210" s="275"/>
      <c r="C210" s="275"/>
      <c r="D210" s="275"/>
      <c r="E210" s="275"/>
      <c r="F210" s="275"/>
      <c r="G210" s="275"/>
      <c r="H210" s="275"/>
      <c r="I210" s="275"/>
      <c r="J210" s="275"/>
      <c r="K210" s="275"/>
      <c r="L210" s="275"/>
      <c r="M210" s="275"/>
      <c r="N210" s="275"/>
    </row>
    <row r="211">
      <c r="B211" s="275"/>
      <c r="C211" s="275"/>
      <c r="D211" s="275"/>
      <c r="E211" s="275"/>
      <c r="F211" s="275"/>
      <c r="G211" s="275"/>
      <c r="H211" s="275"/>
      <c r="I211" s="275"/>
      <c r="J211" s="275"/>
      <c r="K211" s="275"/>
      <c r="L211" s="275"/>
      <c r="M211" s="275"/>
      <c r="N211" s="275"/>
    </row>
    <row r="212">
      <c r="B212" s="275"/>
      <c r="C212" s="275"/>
      <c r="D212" s="275"/>
      <c r="E212" s="275"/>
      <c r="F212" s="275"/>
      <c r="G212" s="275"/>
      <c r="H212" s="275"/>
      <c r="I212" s="275"/>
      <c r="J212" s="275"/>
      <c r="K212" s="275"/>
      <c r="L212" s="275"/>
      <c r="M212" s="275"/>
      <c r="N212" s="275"/>
    </row>
    <row r="213">
      <c r="B213" s="275"/>
      <c r="C213" s="275"/>
      <c r="D213" s="275"/>
      <c r="E213" s="275"/>
      <c r="F213" s="275"/>
      <c r="G213" s="275"/>
      <c r="H213" s="275"/>
      <c r="I213" s="275"/>
      <c r="J213" s="275"/>
      <c r="K213" s="275"/>
      <c r="L213" s="275"/>
      <c r="M213" s="275"/>
      <c r="N213" s="275"/>
    </row>
    <row r="214">
      <c r="B214" s="275"/>
      <c r="C214" s="275"/>
      <c r="D214" s="275"/>
      <c r="E214" s="275"/>
      <c r="F214" s="275"/>
      <c r="G214" s="275"/>
      <c r="H214" s="275"/>
      <c r="I214" s="275"/>
      <c r="J214" s="275"/>
      <c r="K214" s="275"/>
      <c r="L214" s="275"/>
      <c r="M214" s="275"/>
      <c r="N214" s="275"/>
    </row>
    <row r="215">
      <c r="B215" s="275"/>
      <c r="C215" s="275"/>
      <c r="D215" s="275"/>
      <c r="E215" s="275"/>
      <c r="F215" s="275"/>
      <c r="G215" s="275"/>
      <c r="H215" s="275"/>
      <c r="I215" s="275"/>
      <c r="J215" s="275"/>
      <c r="K215" s="275"/>
      <c r="L215" s="275"/>
      <c r="M215" s="275"/>
      <c r="N215" s="275"/>
    </row>
    <row r="216">
      <c r="B216" s="275"/>
      <c r="C216" s="275"/>
      <c r="D216" s="275"/>
      <c r="E216" s="275"/>
      <c r="F216" s="275"/>
      <c r="G216" s="275"/>
      <c r="H216" s="275"/>
      <c r="I216" s="275"/>
      <c r="J216" s="275"/>
      <c r="K216" s="275"/>
      <c r="L216" s="275"/>
      <c r="M216" s="275"/>
      <c r="N216" s="275"/>
    </row>
    <row r="217">
      <c r="B217" s="275"/>
      <c r="C217" s="275"/>
      <c r="D217" s="275"/>
      <c r="E217" s="275"/>
      <c r="F217" s="275"/>
      <c r="G217" s="275"/>
      <c r="H217" s="275"/>
      <c r="I217" s="275"/>
      <c r="J217" s="275"/>
      <c r="K217" s="275"/>
      <c r="L217" s="275"/>
      <c r="M217" s="275"/>
      <c r="N217" s="275"/>
    </row>
    <row r="218">
      <c r="B218" s="275"/>
      <c r="C218" s="275"/>
      <c r="D218" s="275"/>
      <c r="E218" s="275"/>
      <c r="F218" s="275"/>
      <c r="G218" s="275"/>
      <c r="H218" s="275"/>
      <c r="I218" s="275"/>
      <c r="J218" s="275"/>
      <c r="K218" s="275"/>
      <c r="L218" s="275"/>
      <c r="M218" s="275"/>
      <c r="N218" s="275"/>
    </row>
    <row r="219">
      <c r="B219" s="275"/>
      <c r="C219" s="275"/>
      <c r="D219" s="275"/>
      <c r="E219" s="275"/>
      <c r="F219" s="275"/>
      <c r="G219" s="275"/>
      <c r="H219" s="275"/>
      <c r="I219" s="275"/>
      <c r="J219" s="275"/>
      <c r="K219" s="275"/>
      <c r="L219" s="275"/>
      <c r="M219" s="275"/>
      <c r="N219" s="275"/>
    </row>
    <row r="220">
      <c r="B220" s="275"/>
      <c r="C220" s="275"/>
      <c r="D220" s="275"/>
      <c r="E220" s="275"/>
      <c r="F220" s="275"/>
      <c r="G220" s="275"/>
      <c r="H220" s="275"/>
      <c r="I220" s="275"/>
      <c r="J220" s="275"/>
      <c r="K220" s="275"/>
      <c r="L220" s="275"/>
      <c r="M220" s="275"/>
      <c r="N220" s="275"/>
    </row>
    <row r="221">
      <c r="B221" s="275"/>
      <c r="C221" s="275"/>
      <c r="D221" s="275"/>
      <c r="E221" s="275"/>
      <c r="F221" s="275"/>
      <c r="G221" s="275"/>
      <c r="H221" s="275"/>
      <c r="I221" s="275"/>
      <c r="J221" s="275"/>
      <c r="K221" s="275"/>
      <c r="L221" s="275"/>
      <c r="M221" s="275"/>
      <c r="N221" s="275"/>
    </row>
    <row r="222">
      <c r="B222" s="275"/>
      <c r="C222" s="275"/>
      <c r="D222" s="275"/>
      <c r="E222" s="275"/>
      <c r="F222" s="275"/>
      <c r="G222" s="275"/>
      <c r="H222" s="275"/>
      <c r="I222" s="275"/>
      <c r="J222" s="275"/>
      <c r="K222" s="275"/>
      <c r="L222" s="275"/>
      <c r="M222" s="275"/>
      <c r="N222" s="275"/>
    </row>
    <row r="223">
      <c r="B223" s="275"/>
      <c r="C223" s="275"/>
      <c r="D223" s="275"/>
      <c r="E223" s="275"/>
      <c r="F223" s="275"/>
      <c r="G223" s="275"/>
      <c r="H223" s="275"/>
      <c r="I223" s="275"/>
      <c r="J223" s="275"/>
      <c r="K223" s="275"/>
      <c r="L223" s="275"/>
      <c r="M223" s="275"/>
      <c r="N223" s="275"/>
    </row>
    <row r="224">
      <c r="B224" s="275"/>
      <c r="C224" s="275"/>
      <c r="D224" s="275"/>
      <c r="E224" s="275"/>
      <c r="F224" s="275"/>
      <c r="G224" s="275"/>
      <c r="H224" s="275"/>
      <c r="I224" s="275"/>
      <c r="J224" s="275"/>
      <c r="K224" s="275"/>
      <c r="L224" s="275"/>
      <c r="M224" s="275"/>
      <c r="N224" s="275"/>
    </row>
    <row r="225">
      <c r="B225" s="275"/>
      <c r="C225" s="275"/>
      <c r="D225" s="275"/>
      <c r="E225" s="275"/>
      <c r="F225" s="275"/>
      <c r="G225" s="275"/>
      <c r="H225" s="275"/>
      <c r="I225" s="275"/>
      <c r="J225" s="275"/>
      <c r="K225" s="275"/>
      <c r="L225" s="275"/>
      <c r="M225" s="275"/>
      <c r="N225" s="275"/>
    </row>
    <row r="226">
      <c r="B226" s="275"/>
      <c r="C226" s="275"/>
      <c r="D226" s="275"/>
      <c r="E226" s="275"/>
      <c r="F226" s="275"/>
      <c r="G226" s="275"/>
      <c r="H226" s="275"/>
      <c r="I226" s="275"/>
      <c r="J226" s="275"/>
      <c r="K226" s="275"/>
      <c r="L226" s="275"/>
      <c r="M226" s="275"/>
      <c r="N226" s="275"/>
    </row>
    <row r="227">
      <c r="B227" s="275"/>
      <c r="C227" s="275"/>
      <c r="D227" s="275"/>
      <c r="E227" s="275"/>
      <c r="F227" s="275"/>
      <c r="G227" s="275"/>
      <c r="H227" s="275"/>
      <c r="I227" s="275"/>
      <c r="J227" s="275"/>
      <c r="K227" s="275"/>
      <c r="L227" s="275"/>
      <c r="M227" s="275"/>
      <c r="N227" s="275"/>
    </row>
    <row r="228">
      <c r="B228" s="275"/>
      <c r="C228" s="275"/>
      <c r="D228" s="275"/>
      <c r="E228" s="275"/>
      <c r="F228" s="275"/>
      <c r="G228" s="275"/>
      <c r="H228" s="275"/>
      <c r="I228" s="275"/>
      <c r="J228" s="275"/>
      <c r="K228" s="275"/>
      <c r="L228" s="275"/>
      <c r="M228" s="275"/>
      <c r="N228" s="275"/>
    </row>
    <row r="229">
      <c r="B229" s="275"/>
      <c r="C229" s="275"/>
      <c r="D229" s="275"/>
      <c r="E229" s="275"/>
      <c r="F229" s="275"/>
      <c r="G229" s="275"/>
      <c r="H229" s="275"/>
      <c r="I229" s="275"/>
      <c r="J229" s="275"/>
      <c r="K229" s="275"/>
      <c r="L229" s="275"/>
      <c r="M229" s="275"/>
      <c r="N229" s="275"/>
    </row>
    <row r="230">
      <c r="B230" s="275"/>
      <c r="C230" s="275"/>
      <c r="D230" s="275"/>
      <c r="E230" s="275"/>
      <c r="F230" s="275"/>
      <c r="G230" s="275"/>
      <c r="H230" s="275"/>
      <c r="I230" s="275"/>
      <c r="J230" s="275"/>
      <c r="K230" s="275"/>
      <c r="L230" s="275"/>
      <c r="M230" s="275"/>
      <c r="N230" s="275"/>
    </row>
    <row r="231">
      <c r="B231" s="275"/>
      <c r="C231" s="275"/>
      <c r="D231" s="275"/>
      <c r="E231" s="275"/>
      <c r="F231" s="275"/>
      <c r="G231" s="275"/>
      <c r="H231" s="275"/>
      <c r="I231" s="275"/>
      <c r="J231" s="275"/>
      <c r="K231" s="275"/>
      <c r="L231" s="275"/>
      <c r="M231" s="275"/>
      <c r="N231" s="275"/>
    </row>
    <row r="232">
      <c r="B232" s="275"/>
      <c r="C232" s="275"/>
      <c r="D232" s="275"/>
      <c r="E232" s="275"/>
      <c r="F232" s="275"/>
      <c r="G232" s="275"/>
      <c r="H232" s="275"/>
      <c r="I232" s="275"/>
      <c r="J232" s="275"/>
      <c r="K232" s="275"/>
      <c r="L232" s="275"/>
      <c r="M232" s="275"/>
      <c r="N232" s="275"/>
    </row>
    <row r="233">
      <c r="B233" s="275"/>
      <c r="C233" s="275"/>
      <c r="D233" s="275"/>
      <c r="E233" s="275"/>
      <c r="F233" s="275"/>
      <c r="G233" s="275"/>
      <c r="H233" s="275"/>
      <c r="I233" s="275"/>
      <c r="J233" s="275"/>
      <c r="K233" s="275"/>
      <c r="L233" s="275"/>
      <c r="M233" s="275"/>
      <c r="N233" s="275"/>
    </row>
    <row r="234">
      <c r="B234" s="275"/>
      <c r="C234" s="275"/>
      <c r="D234" s="275"/>
      <c r="E234" s="275"/>
      <c r="F234" s="275"/>
      <c r="G234" s="275"/>
      <c r="H234" s="275"/>
      <c r="I234" s="275"/>
      <c r="J234" s="275"/>
      <c r="K234" s="275"/>
      <c r="L234" s="275"/>
      <c r="M234" s="275"/>
      <c r="N234" s="275"/>
    </row>
    <row r="235">
      <c r="B235" s="275"/>
      <c r="C235" s="275"/>
      <c r="D235" s="275"/>
      <c r="E235" s="275"/>
      <c r="F235" s="275"/>
      <c r="G235" s="275"/>
      <c r="H235" s="275"/>
      <c r="I235" s="275"/>
      <c r="J235" s="275"/>
      <c r="K235" s="275"/>
      <c r="L235" s="275"/>
      <c r="M235" s="275"/>
      <c r="N235" s="275"/>
    </row>
    <row r="236">
      <c r="B236" s="275"/>
      <c r="C236" s="275"/>
      <c r="D236" s="275"/>
      <c r="E236" s="275"/>
      <c r="F236" s="275"/>
      <c r="G236" s="275"/>
      <c r="H236" s="275"/>
      <c r="I236" s="275"/>
      <c r="J236" s="275"/>
      <c r="K236" s="275"/>
      <c r="L236" s="275"/>
      <c r="M236" s="275"/>
      <c r="N236" s="275"/>
    </row>
    <row r="237">
      <c r="B237" s="275"/>
      <c r="C237" s="275"/>
      <c r="D237" s="275"/>
      <c r="E237" s="275"/>
      <c r="F237" s="275"/>
      <c r="G237" s="275"/>
      <c r="H237" s="275"/>
      <c r="I237" s="275"/>
      <c r="J237" s="275"/>
      <c r="K237" s="275"/>
      <c r="L237" s="275"/>
      <c r="M237" s="275"/>
      <c r="N237" s="275"/>
    </row>
    <row r="238">
      <c r="B238" s="275"/>
      <c r="C238" s="275"/>
      <c r="D238" s="275"/>
      <c r="E238" s="275"/>
      <c r="F238" s="275"/>
      <c r="G238" s="275"/>
      <c r="H238" s="275"/>
      <c r="I238" s="275"/>
      <c r="J238" s="275"/>
      <c r="K238" s="275"/>
      <c r="L238" s="275"/>
      <c r="M238" s="275"/>
      <c r="N238" s="275"/>
    </row>
    <row r="239">
      <c r="B239" s="275"/>
      <c r="C239" s="275"/>
      <c r="D239" s="275"/>
      <c r="E239" s="275"/>
      <c r="F239" s="275"/>
      <c r="G239" s="275"/>
      <c r="H239" s="275"/>
      <c r="I239" s="275"/>
      <c r="J239" s="275"/>
      <c r="K239" s="275"/>
      <c r="L239" s="275"/>
      <c r="M239" s="275"/>
      <c r="N239" s="275"/>
    </row>
    <row r="240">
      <c r="B240" s="275"/>
      <c r="C240" s="275"/>
      <c r="D240" s="275"/>
      <c r="E240" s="275"/>
      <c r="F240" s="275"/>
      <c r="G240" s="275"/>
      <c r="H240" s="275"/>
      <c r="I240" s="275"/>
      <c r="J240" s="275"/>
      <c r="K240" s="275"/>
      <c r="L240" s="275"/>
      <c r="M240" s="275"/>
      <c r="N240" s="275"/>
    </row>
    <row r="241">
      <c r="B241" s="275"/>
      <c r="C241" s="275"/>
      <c r="D241" s="275"/>
      <c r="E241" s="275"/>
      <c r="F241" s="275"/>
      <c r="G241" s="275"/>
      <c r="H241" s="275"/>
      <c r="I241" s="275"/>
      <c r="J241" s="275"/>
      <c r="K241" s="275"/>
      <c r="L241" s="275"/>
      <c r="M241" s="275"/>
      <c r="N241" s="275"/>
    </row>
    <row r="242">
      <c r="B242" s="275"/>
      <c r="C242" s="275"/>
      <c r="D242" s="275"/>
      <c r="E242" s="275"/>
      <c r="F242" s="275"/>
      <c r="G242" s="275"/>
      <c r="H242" s="275"/>
      <c r="I242" s="275"/>
      <c r="J242" s="275"/>
      <c r="K242" s="275"/>
      <c r="L242" s="275"/>
      <c r="M242" s="275"/>
      <c r="N242" s="275"/>
    </row>
    <row r="243">
      <c r="B243" s="275"/>
      <c r="C243" s="275"/>
      <c r="D243" s="275"/>
      <c r="E243" s="275"/>
      <c r="F243" s="275"/>
      <c r="G243" s="275"/>
      <c r="H243" s="275"/>
      <c r="I243" s="275"/>
      <c r="J243" s="275"/>
      <c r="K243" s="275"/>
      <c r="L243" s="275"/>
      <c r="M243" s="275"/>
      <c r="N243" s="275"/>
    </row>
    <row r="244">
      <c r="B244" s="275"/>
      <c r="C244" s="275"/>
      <c r="D244" s="275"/>
      <c r="E244" s="275"/>
      <c r="F244" s="275"/>
      <c r="G244" s="275"/>
      <c r="H244" s="275"/>
      <c r="I244" s="275"/>
      <c r="J244" s="275"/>
      <c r="K244" s="275"/>
      <c r="L244" s="275"/>
      <c r="M244" s="275"/>
      <c r="N244" s="275"/>
    </row>
    <row r="245">
      <c r="B245" s="275"/>
      <c r="C245" s="275"/>
      <c r="D245" s="275"/>
      <c r="E245" s="275"/>
      <c r="F245" s="275"/>
      <c r="G245" s="275"/>
      <c r="H245" s="275"/>
      <c r="I245" s="275"/>
      <c r="J245" s="275"/>
      <c r="K245" s="275"/>
      <c r="L245" s="275"/>
      <c r="M245" s="275"/>
      <c r="N245" s="275"/>
    </row>
    <row r="246">
      <c r="B246" s="275"/>
      <c r="C246" s="275"/>
      <c r="D246" s="275"/>
      <c r="E246" s="275"/>
      <c r="F246" s="275"/>
      <c r="G246" s="275"/>
      <c r="H246" s="275"/>
      <c r="I246" s="275"/>
      <c r="J246" s="275"/>
      <c r="K246" s="275"/>
      <c r="L246" s="275"/>
      <c r="M246" s="275"/>
      <c r="N246" s="275"/>
    </row>
    <row r="247">
      <c r="B247" s="275"/>
      <c r="C247" s="275"/>
      <c r="D247" s="275"/>
      <c r="E247" s="275"/>
      <c r="F247" s="275"/>
      <c r="G247" s="275"/>
      <c r="H247" s="275"/>
      <c r="I247" s="275"/>
      <c r="J247" s="275"/>
      <c r="K247" s="275"/>
      <c r="L247" s="275"/>
      <c r="M247" s="275"/>
      <c r="N247" s="275"/>
    </row>
    <row r="248">
      <c r="B248" s="275"/>
      <c r="C248" s="275"/>
      <c r="D248" s="275"/>
      <c r="E248" s="275"/>
      <c r="F248" s="275"/>
      <c r="G248" s="275"/>
      <c r="H248" s="275"/>
      <c r="I248" s="275"/>
      <c r="J248" s="275"/>
      <c r="K248" s="275"/>
      <c r="L248" s="275"/>
      <c r="M248" s="275"/>
      <c r="N248" s="275"/>
    </row>
    <row r="249">
      <c r="B249" s="275"/>
      <c r="C249" s="275"/>
      <c r="D249" s="275"/>
      <c r="E249" s="275"/>
      <c r="F249" s="275"/>
      <c r="G249" s="275"/>
      <c r="H249" s="275"/>
      <c r="I249" s="275"/>
      <c r="J249" s="275"/>
      <c r="K249" s="275"/>
      <c r="L249" s="275"/>
      <c r="M249" s="275"/>
      <c r="N249" s="275"/>
    </row>
    <row r="250">
      <c r="B250" s="275"/>
      <c r="C250" s="275"/>
      <c r="D250" s="275"/>
      <c r="E250" s="275"/>
      <c r="F250" s="275"/>
      <c r="G250" s="275"/>
      <c r="H250" s="275"/>
      <c r="I250" s="275"/>
      <c r="J250" s="275"/>
      <c r="K250" s="275"/>
      <c r="L250" s="275"/>
      <c r="M250" s="275"/>
      <c r="N250" s="275"/>
    </row>
    <row r="251">
      <c r="B251" s="275"/>
      <c r="C251" s="275"/>
      <c r="D251" s="275"/>
      <c r="E251" s="275"/>
      <c r="F251" s="275"/>
      <c r="G251" s="275"/>
      <c r="H251" s="275"/>
      <c r="I251" s="275"/>
      <c r="J251" s="275"/>
      <c r="K251" s="275"/>
      <c r="L251" s="275"/>
      <c r="M251" s="275"/>
      <c r="N251" s="275"/>
    </row>
    <row r="252">
      <c r="B252" s="275"/>
      <c r="C252" s="275"/>
      <c r="D252" s="275"/>
      <c r="E252" s="275"/>
      <c r="F252" s="275"/>
      <c r="G252" s="275"/>
      <c r="H252" s="275"/>
      <c r="I252" s="275"/>
      <c r="J252" s="275"/>
      <c r="K252" s="275"/>
      <c r="L252" s="275"/>
      <c r="M252" s="275"/>
      <c r="N252" s="275"/>
    </row>
    <row r="253">
      <c r="B253" s="275"/>
      <c r="C253" s="275"/>
      <c r="D253" s="275"/>
      <c r="E253" s="275"/>
      <c r="F253" s="275"/>
      <c r="G253" s="275"/>
      <c r="H253" s="275"/>
      <c r="I253" s="275"/>
      <c r="J253" s="275"/>
      <c r="K253" s="275"/>
      <c r="L253" s="275"/>
      <c r="M253" s="275"/>
      <c r="N253" s="275"/>
    </row>
    <row r="254">
      <c r="B254" s="275"/>
      <c r="C254" s="275"/>
      <c r="D254" s="275"/>
      <c r="E254" s="275"/>
      <c r="F254" s="275"/>
      <c r="G254" s="275"/>
      <c r="H254" s="275"/>
      <c r="I254" s="275"/>
      <c r="J254" s="275"/>
      <c r="K254" s="275"/>
      <c r="L254" s="275"/>
      <c r="M254" s="275"/>
      <c r="N254" s="275"/>
    </row>
    <row r="255">
      <c r="B255" s="275"/>
      <c r="C255" s="275"/>
      <c r="D255" s="275"/>
      <c r="E255" s="275"/>
      <c r="F255" s="275"/>
      <c r="G255" s="275"/>
      <c r="H255" s="275"/>
      <c r="I255" s="275"/>
      <c r="J255" s="275"/>
      <c r="K255" s="275"/>
      <c r="L255" s="275"/>
      <c r="M255" s="275"/>
      <c r="N255" s="275"/>
    </row>
    <row r="256">
      <c r="B256" s="275"/>
      <c r="C256" s="275"/>
      <c r="D256" s="275"/>
      <c r="E256" s="275"/>
      <c r="F256" s="275"/>
      <c r="G256" s="275"/>
      <c r="H256" s="275"/>
      <c r="I256" s="275"/>
      <c r="J256" s="275"/>
      <c r="K256" s="275"/>
      <c r="L256" s="275"/>
      <c r="M256" s="275"/>
      <c r="N256" s="275"/>
    </row>
    <row r="257">
      <c r="B257" s="275"/>
      <c r="C257" s="275"/>
      <c r="D257" s="275"/>
      <c r="E257" s="275"/>
      <c r="F257" s="275"/>
      <c r="G257" s="275"/>
      <c r="H257" s="275"/>
      <c r="I257" s="275"/>
      <c r="J257" s="275"/>
      <c r="K257" s="275"/>
      <c r="L257" s="275"/>
      <c r="M257" s="275"/>
      <c r="N257" s="275"/>
    </row>
    <row r="258">
      <c r="B258" s="275"/>
      <c r="C258" s="275"/>
      <c r="D258" s="275"/>
      <c r="E258" s="275"/>
      <c r="F258" s="275"/>
      <c r="G258" s="275"/>
      <c r="H258" s="275"/>
      <c r="I258" s="275"/>
      <c r="J258" s="275"/>
      <c r="K258" s="275"/>
      <c r="L258" s="275"/>
      <c r="M258" s="275"/>
      <c r="N258" s="275"/>
    </row>
    <row r="259">
      <c r="B259" s="275"/>
      <c r="C259" s="275"/>
      <c r="D259" s="275"/>
      <c r="E259" s="275"/>
      <c r="F259" s="275"/>
      <c r="G259" s="275"/>
      <c r="H259" s="275"/>
      <c r="I259" s="275"/>
      <c r="J259" s="275"/>
      <c r="K259" s="275"/>
      <c r="L259" s="275"/>
      <c r="M259" s="275"/>
      <c r="N259" s="275"/>
    </row>
    <row r="260">
      <c r="B260" s="275"/>
      <c r="C260" s="275"/>
      <c r="D260" s="275"/>
      <c r="E260" s="275"/>
      <c r="F260" s="275"/>
      <c r="G260" s="275"/>
      <c r="H260" s="275"/>
      <c r="I260" s="275"/>
      <c r="J260" s="275"/>
      <c r="K260" s="275"/>
      <c r="L260" s="275"/>
      <c r="M260" s="275"/>
      <c r="N260" s="275"/>
    </row>
    <row r="261">
      <c r="B261" s="275"/>
      <c r="C261" s="275"/>
      <c r="D261" s="275"/>
      <c r="E261" s="275"/>
      <c r="F261" s="275"/>
      <c r="G261" s="275"/>
      <c r="H261" s="275"/>
      <c r="I261" s="275"/>
      <c r="J261" s="275"/>
      <c r="K261" s="275"/>
      <c r="L261" s="275"/>
      <c r="M261" s="275"/>
      <c r="N261" s="275"/>
    </row>
    <row r="262">
      <c r="B262" s="275"/>
      <c r="C262" s="275"/>
      <c r="D262" s="275"/>
      <c r="E262" s="275"/>
      <c r="F262" s="275"/>
      <c r="G262" s="275"/>
      <c r="H262" s="275"/>
      <c r="I262" s="275"/>
      <c r="J262" s="275"/>
      <c r="K262" s="275"/>
      <c r="L262" s="275"/>
      <c r="M262" s="275"/>
      <c r="N262" s="275"/>
    </row>
    <row r="263">
      <c r="B263" s="275"/>
      <c r="C263" s="275"/>
      <c r="D263" s="275"/>
      <c r="E263" s="275"/>
      <c r="F263" s="275"/>
      <c r="G263" s="275"/>
      <c r="H263" s="275"/>
      <c r="I263" s="275"/>
      <c r="J263" s="275"/>
      <c r="K263" s="275"/>
      <c r="L263" s="275"/>
      <c r="M263" s="275"/>
      <c r="N263" s="275"/>
    </row>
    <row r="264">
      <c r="B264" s="275"/>
      <c r="C264" s="275"/>
      <c r="D264" s="275"/>
      <c r="E264" s="275"/>
      <c r="F264" s="275"/>
      <c r="G264" s="275"/>
      <c r="H264" s="275"/>
      <c r="I264" s="275"/>
      <c r="J264" s="275"/>
      <c r="K264" s="275"/>
      <c r="L264" s="275"/>
      <c r="M264" s="275"/>
      <c r="N264" s="275"/>
    </row>
    <row r="265">
      <c r="B265" s="275"/>
      <c r="C265" s="275"/>
      <c r="D265" s="275"/>
      <c r="E265" s="275"/>
      <c r="F265" s="275"/>
      <c r="G265" s="275"/>
      <c r="H265" s="275"/>
      <c r="I265" s="275"/>
      <c r="J265" s="275"/>
      <c r="K265" s="275"/>
      <c r="L265" s="275"/>
      <c r="M265" s="275"/>
      <c r="N265" s="275"/>
    </row>
    <row r="266">
      <c r="B266" s="275"/>
      <c r="C266" s="275"/>
      <c r="D266" s="275"/>
      <c r="E266" s="275"/>
      <c r="F266" s="275"/>
      <c r="G266" s="275"/>
      <c r="H266" s="275"/>
      <c r="I266" s="275"/>
      <c r="J266" s="275"/>
      <c r="K266" s="275"/>
      <c r="L266" s="275"/>
      <c r="M266" s="275"/>
      <c r="N266" s="275"/>
    </row>
    <row r="267">
      <c r="B267" s="275"/>
      <c r="C267" s="275"/>
      <c r="D267" s="275"/>
      <c r="E267" s="275"/>
      <c r="F267" s="275"/>
      <c r="G267" s="275"/>
      <c r="H267" s="275"/>
      <c r="I267" s="275"/>
      <c r="J267" s="275"/>
      <c r="K267" s="275"/>
      <c r="L267" s="275"/>
      <c r="M267" s="275"/>
      <c r="N267" s="275"/>
    </row>
    <row r="268">
      <c r="B268" s="275"/>
      <c r="C268" s="275"/>
      <c r="D268" s="275"/>
      <c r="E268" s="275"/>
      <c r="F268" s="275"/>
      <c r="G268" s="275"/>
      <c r="H268" s="275"/>
      <c r="I268" s="275"/>
      <c r="J268" s="275"/>
      <c r="K268" s="275"/>
      <c r="L268" s="275"/>
      <c r="M268" s="275"/>
      <c r="N268" s="275"/>
    </row>
    <row r="269">
      <c r="B269" s="275"/>
      <c r="C269" s="275"/>
      <c r="D269" s="275"/>
      <c r="E269" s="275"/>
      <c r="F269" s="275"/>
      <c r="G269" s="275"/>
      <c r="H269" s="275"/>
      <c r="I269" s="275"/>
      <c r="J269" s="275"/>
      <c r="K269" s="275"/>
      <c r="L269" s="275"/>
      <c r="M269" s="275"/>
      <c r="N269" s="275"/>
    </row>
    <row r="270">
      <c r="B270" s="275"/>
      <c r="C270" s="275"/>
      <c r="D270" s="275"/>
      <c r="E270" s="275"/>
      <c r="F270" s="275"/>
      <c r="G270" s="275"/>
      <c r="H270" s="275"/>
      <c r="I270" s="275"/>
      <c r="J270" s="275"/>
      <c r="K270" s="275"/>
      <c r="L270" s="275"/>
      <c r="M270" s="275"/>
      <c r="N270" s="275"/>
    </row>
    <row r="271">
      <c r="B271" s="275"/>
      <c r="C271" s="275"/>
      <c r="D271" s="275"/>
      <c r="E271" s="275"/>
      <c r="F271" s="275"/>
      <c r="G271" s="275"/>
      <c r="H271" s="275"/>
      <c r="I271" s="275"/>
      <c r="J271" s="275"/>
      <c r="K271" s="275"/>
      <c r="L271" s="275"/>
      <c r="M271" s="275"/>
      <c r="N271" s="275"/>
    </row>
    <row r="272">
      <c r="B272" s="275"/>
      <c r="C272" s="275"/>
      <c r="D272" s="275"/>
      <c r="E272" s="275"/>
      <c r="F272" s="275"/>
      <c r="G272" s="275"/>
      <c r="H272" s="275"/>
      <c r="I272" s="275"/>
      <c r="J272" s="275"/>
      <c r="K272" s="275"/>
      <c r="L272" s="275"/>
      <c r="M272" s="275"/>
      <c r="N272" s="275"/>
    </row>
    <row r="273">
      <c r="B273" s="275"/>
      <c r="C273" s="275"/>
      <c r="D273" s="275"/>
      <c r="E273" s="275"/>
      <c r="F273" s="275"/>
      <c r="G273" s="275"/>
      <c r="H273" s="275"/>
      <c r="I273" s="275"/>
      <c r="J273" s="275"/>
      <c r="K273" s="275"/>
      <c r="L273" s="275"/>
      <c r="M273" s="275"/>
      <c r="N273" s="275"/>
    </row>
    <row r="274">
      <c r="B274" s="275"/>
      <c r="C274" s="275"/>
      <c r="D274" s="275"/>
      <c r="E274" s="275"/>
      <c r="F274" s="275"/>
      <c r="G274" s="275"/>
      <c r="H274" s="275"/>
      <c r="I274" s="275"/>
      <c r="J274" s="275"/>
      <c r="K274" s="275"/>
      <c r="L274" s="275"/>
      <c r="M274" s="275"/>
      <c r="N274" s="275"/>
    </row>
    <row r="275">
      <c r="B275" s="275"/>
      <c r="C275" s="275"/>
      <c r="D275" s="275"/>
      <c r="E275" s="275"/>
      <c r="F275" s="275"/>
      <c r="G275" s="275"/>
      <c r="H275" s="275"/>
      <c r="I275" s="275"/>
      <c r="J275" s="275"/>
      <c r="K275" s="275"/>
      <c r="L275" s="275"/>
      <c r="M275" s="275"/>
      <c r="N275" s="275"/>
    </row>
    <row r="276">
      <c r="B276" s="275"/>
      <c r="C276" s="275"/>
      <c r="D276" s="275"/>
      <c r="E276" s="275"/>
      <c r="F276" s="275"/>
      <c r="G276" s="275"/>
      <c r="H276" s="275"/>
      <c r="I276" s="275"/>
      <c r="J276" s="275"/>
      <c r="K276" s="275"/>
      <c r="L276" s="275"/>
      <c r="M276" s="275"/>
      <c r="N276" s="275"/>
    </row>
    <row r="277">
      <c r="B277" s="275"/>
      <c r="C277" s="275"/>
      <c r="D277" s="275"/>
      <c r="E277" s="275"/>
      <c r="F277" s="275"/>
      <c r="G277" s="275"/>
      <c r="H277" s="275"/>
      <c r="I277" s="275"/>
      <c r="J277" s="275"/>
      <c r="K277" s="275"/>
      <c r="L277" s="275"/>
      <c r="M277" s="275"/>
      <c r="N277" s="275"/>
    </row>
    <row r="278">
      <c r="B278" s="275"/>
      <c r="C278" s="275"/>
      <c r="D278" s="275"/>
      <c r="E278" s="275"/>
      <c r="F278" s="275"/>
      <c r="G278" s="275"/>
      <c r="H278" s="275"/>
      <c r="I278" s="275"/>
      <c r="J278" s="275"/>
      <c r="K278" s="275"/>
      <c r="L278" s="275"/>
      <c r="M278" s="275"/>
      <c r="N278" s="275"/>
    </row>
    <row r="279">
      <c r="B279" s="275"/>
      <c r="C279" s="275"/>
      <c r="D279" s="275"/>
      <c r="E279" s="275"/>
      <c r="F279" s="275"/>
      <c r="G279" s="275"/>
      <c r="H279" s="275"/>
      <c r="I279" s="275"/>
      <c r="J279" s="275"/>
      <c r="K279" s="275"/>
      <c r="L279" s="275"/>
      <c r="M279" s="275"/>
      <c r="N279" s="275"/>
    </row>
    <row r="280">
      <c r="B280" s="275"/>
      <c r="C280" s="275"/>
      <c r="D280" s="275"/>
      <c r="E280" s="275"/>
      <c r="F280" s="275"/>
      <c r="G280" s="275"/>
      <c r="H280" s="275"/>
      <c r="I280" s="275"/>
      <c r="J280" s="275"/>
      <c r="K280" s="275"/>
      <c r="L280" s="275"/>
      <c r="M280" s="275"/>
      <c r="N280" s="275"/>
    </row>
    <row r="281">
      <c r="B281" s="275"/>
      <c r="C281" s="275"/>
      <c r="D281" s="275"/>
      <c r="E281" s="275"/>
      <c r="F281" s="275"/>
      <c r="G281" s="275"/>
      <c r="H281" s="275"/>
      <c r="I281" s="275"/>
      <c r="J281" s="275"/>
      <c r="K281" s="275"/>
      <c r="L281" s="275"/>
      <c r="M281" s="275"/>
      <c r="N281" s="275"/>
    </row>
    <row r="282">
      <c r="B282" s="275"/>
      <c r="C282" s="275"/>
      <c r="D282" s="275"/>
      <c r="E282" s="275"/>
      <c r="F282" s="275"/>
      <c r="G282" s="275"/>
      <c r="H282" s="275"/>
      <c r="I282" s="275"/>
      <c r="J282" s="275"/>
      <c r="K282" s="275"/>
      <c r="L282" s="275"/>
      <c r="M282" s="275"/>
      <c r="N282" s="275"/>
    </row>
    <row r="283">
      <c r="B283" s="275"/>
      <c r="C283" s="275"/>
      <c r="D283" s="275"/>
      <c r="E283" s="275"/>
      <c r="F283" s="275"/>
      <c r="G283" s="275"/>
      <c r="H283" s="275"/>
      <c r="I283" s="275"/>
      <c r="J283" s="275"/>
      <c r="K283" s="275"/>
      <c r="L283" s="275"/>
      <c r="M283" s="275"/>
      <c r="N283" s="275"/>
    </row>
    <row r="284">
      <c r="B284" s="275"/>
      <c r="C284" s="275"/>
      <c r="D284" s="275"/>
      <c r="E284" s="275"/>
      <c r="F284" s="275"/>
      <c r="G284" s="275"/>
      <c r="H284" s="275"/>
      <c r="I284" s="275"/>
      <c r="J284" s="275"/>
      <c r="K284" s="275"/>
      <c r="L284" s="275"/>
      <c r="M284" s="275"/>
      <c r="N284" s="275"/>
    </row>
    <row r="285">
      <c r="B285" s="275"/>
      <c r="C285" s="275"/>
      <c r="D285" s="275"/>
      <c r="E285" s="275"/>
      <c r="F285" s="275"/>
      <c r="G285" s="275"/>
      <c r="H285" s="275"/>
      <c r="I285" s="275"/>
      <c r="J285" s="275"/>
      <c r="K285" s="275"/>
      <c r="L285" s="275"/>
      <c r="M285" s="275"/>
      <c r="N285" s="275"/>
    </row>
    <row r="286">
      <c r="B286" s="275"/>
      <c r="C286" s="275"/>
      <c r="D286" s="275"/>
      <c r="E286" s="275"/>
      <c r="F286" s="275"/>
      <c r="G286" s="275"/>
      <c r="H286" s="275"/>
      <c r="I286" s="275"/>
      <c r="J286" s="275"/>
      <c r="K286" s="275"/>
      <c r="L286" s="275"/>
      <c r="M286" s="275"/>
      <c r="N286" s="275"/>
    </row>
    <row r="287">
      <c r="B287" s="275"/>
      <c r="C287" s="275"/>
      <c r="D287" s="275"/>
      <c r="E287" s="275"/>
      <c r="F287" s="275"/>
      <c r="G287" s="275"/>
      <c r="H287" s="275"/>
      <c r="I287" s="275"/>
      <c r="J287" s="275"/>
      <c r="K287" s="275"/>
      <c r="L287" s="275"/>
      <c r="M287" s="275"/>
      <c r="N287" s="275"/>
    </row>
    <row r="288">
      <c r="B288" s="275"/>
      <c r="C288" s="275"/>
      <c r="D288" s="275"/>
      <c r="E288" s="275"/>
      <c r="F288" s="275"/>
      <c r="G288" s="275"/>
      <c r="H288" s="275"/>
      <c r="I288" s="275"/>
      <c r="J288" s="275"/>
      <c r="K288" s="275"/>
      <c r="L288" s="275"/>
      <c r="M288" s="275"/>
      <c r="N288" s="275"/>
    </row>
    <row r="289">
      <c r="B289" s="275"/>
      <c r="C289" s="275"/>
      <c r="D289" s="275"/>
      <c r="E289" s="275"/>
      <c r="F289" s="275"/>
      <c r="G289" s="275"/>
      <c r="H289" s="275"/>
      <c r="I289" s="275"/>
      <c r="J289" s="275"/>
      <c r="K289" s="275"/>
      <c r="L289" s="275"/>
      <c r="M289" s="275"/>
      <c r="N289" s="275"/>
    </row>
    <row r="290">
      <c r="B290" s="275"/>
      <c r="C290" s="275"/>
      <c r="D290" s="275"/>
      <c r="E290" s="275"/>
      <c r="F290" s="275"/>
      <c r="G290" s="275"/>
      <c r="H290" s="275"/>
      <c r="I290" s="275"/>
      <c r="J290" s="275"/>
      <c r="K290" s="275"/>
      <c r="L290" s="275"/>
      <c r="M290" s="275"/>
      <c r="N290" s="275"/>
    </row>
    <row r="291">
      <c r="B291" s="275"/>
      <c r="C291" s="275"/>
      <c r="D291" s="275"/>
      <c r="E291" s="275"/>
      <c r="F291" s="275"/>
      <c r="G291" s="275"/>
      <c r="H291" s="275"/>
      <c r="I291" s="275"/>
      <c r="J291" s="275"/>
      <c r="K291" s="275"/>
      <c r="L291" s="275"/>
      <c r="M291" s="275"/>
      <c r="N291" s="275"/>
    </row>
    <row r="292">
      <c r="B292" s="275"/>
      <c r="C292" s="275"/>
      <c r="D292" s="275"/>
      <c r="E292" s="275"/>
      <c r="F292" s="275"/>
      <c r="G292" s="275"/>
      <c r="H292" s="275"/>
      <c r="I292" s="275"/>
      <c r="J292" s="275"/>
      <c r="K292" s="275"/>
      <c r="L292" s="275"/>
      <c r="M292" s="275"/>
      <c r="N292" s="275"/>
    </row>
    <row r="293">
      <c r="B293" s="275"/>
      <c r="C293" s="275"/>
      <c r="D293" s="275"/>
      <c r="E293" s="275"/>
      <c r="F293" s="275"/>
      <c r="G293" s="275"/>
      <c r="H293" s="275"/>
      <c r="I293" s="275"/>
      <c r="J293" s="275"/>
      <c r="K293" s="275"/>
      <c r="L293" s="275"/>
      <c r="M293" s="275"/>
      <c r="N293" s="275"/>
    </row>
    <row r="294">
      <c r="B294" s="275"/>
      <c r="C294" s="275"/>
      <c r="D294" s="275"/>
      <c r="E294" s="275"/>
      <c r="F294" s="275"/>
      <c r="G294" s="275"/>
      <c r="H294" s="275"/>
      <c r="I294" s="275"/>
      <c r="J294" s="275"/>
      <c r="K294" s="275"/>
      <c r="L294" s="275"/>
      <c r="M294" s="275"/>
      <c r="N294" s="275"/>
    </row>
    <row r="295">
      <c r="B295" s="275"/>
      <c r="C295" s="275"/>
      <c r="D295" s="275"/>
      <c r="E295" s="275"/>
      <c r="F295" s="275"/>
      <c r="G295" s="275"/>
      <c r="H295" s="275"/>
      <c r="I295" s="275"/>
      <c r="J295" s="275"/>
      <c r="K295" s="275"/>
      <c r="L295" s="275"/>
      <c r="M295" s="275"/>
      <c r="N295" s="275"/>
    </row>
    <row r="296">
      <c r="B296" s="275"/>
      <c r="C296" s="275"/>
      <c r="D296" s="275"/>
      <c r="E296" s="275"/>
      <c r="F296" s="275"/>
      <c r="G296" s="275"/>
      <c r="H296" s="275"/>
      <c r="I296" s="275"/>
      <c r="J296" s="275"/>
      <c r="K296" s="275"/>
      <c r="L296" s="275"/>
      <c r="M296" s="275"/>
      <c r="N296" s="275"/>
    </row>
    <row r="297">
      <c r="B297" s="275"/>
      <c r="C297" s="275"/>
      <c r="D297" s="275"/>
      <c r="E297" s="275"/>
      <c r="F297" s="275"/>
      <c r="G297" s="275"/>
      <c r="H297" s="275"/>
      <c r="I297" s="275"/>
      <c r="J297" s="275"/>
      <c r="K297" s="275"/>
      <c r="L297" s="275"/>
      <c r="M297" s="275"/>
      <c r="N297" s="275"/>
    </row>
    <row r="298">
      <c r="B298" s="275"/>
      <c r="C298" s="275"/>
      <c r="D298" s="275"/>
      <c r="E298" s="275"/>
      <c r="F298" s="275"/>
      <c r="G298" s="275"/>
      <c r="H298" s="275"/>
      <c r="I298" s="275"/>
      <c r="J298" s="275"/>
      <c r="K298" s="275"/>
      <c r="L298" s="275"/>
      <c r="M298" s="275"/>
      <c r="N298" s="275"/>
    </row>
    <row r="299">
      <c r="B299" s="275"/>
      <c r="C299" s="275"/>
      <c r="D299" s="275"/>
      <c r="E299" s="275"/>
      <c r="F299" s="275"/>
      <c r="G299" s="275"/>
      <c r="H299" s="275"/>
      <c r="I299" s="275"/>
      <c r="J299" s="275"/>
      <c r="K299" s="275"/>
      <c r="L299" s="275"/>
      <c r="M299" s="275"/>
      <c r="N299" s="275"/>
    </row>
    <row r="300">
      <c r="B300" s="275"/>
      <c r="C300" s="275"/>
      <c r="D300" s="275"/>
      <c r="E300" s="275"/>
      <c r="F300" s="275"/>
      <c r="G300" s="275"/>
      <c r="H300" s="275"/>
      <c r="I300" s="275"/>
      <c r="J300" s="275"/>
      <c r="K300" s="275"/>
      <c r="L300" s="275"/>
      <c r="M300" s="275"/>
      <c r="N300" s="275"/>
    </row>
    <row r="301">
      <c r="B301" s="275"/>
      <c r="C301" s="275"/>
      <c r="D301" s="275"/>
      <c r="E301" s="275"/>
      <c r="F301" s="275"/>
      <c r="G301" s="275"/>
      <c r="H301" s="275"/>
      <c r="I301" s="275"/>
      <c r="J301" s="275"/>
      <c r="K301" s="275"/>
      <c r="L301" s="275"/>
      <c r="M301" s="275"/>
      <c r="N301" s="275"/>
    </row>
    <row r="302">
      <c r="B302" s="275"/>
      <c r="C302" s="275"/>
      <c r="D302" s="275"/>
      <c r="E302" s="275"/>
      <c r="F302" s="275"/>
      <c r="G302" s="275"/>
      <c r="H302" s="275"/>
      <c r="I302" s="275"/>
      <c r="J302" s="275"/>
      <c r="K302" s="275"/>
      <c r="L302" s="275"/>
      <c r="M302" s="275"/>
      <c r="N302" s="275"/>
    </row>
    <row r="303">
      <c r="B303" s="275"/>
      <c r="C303" s="275"/>
      <c r="D303" s="275"/>
      <c r="E303" s="275"/>
      <c r="F303" s="275"/>
      <c r="G303" s="275"/>
      <c r="H303" s="275"/>
      <c r="I303" s="275"/>
      <c r="J303" s="275"/>
      <c r="K303" s="275"/>
      <c r="L303" s="275"/>
      <c r="M303" s="275"/>
      <c r="N303" s="275"/>
    </row>
    <row r="304">
      <c r="B304" s="275"/>
      <c r="C304" s="275"/>
      <c r="D304" s="275"/>
      <c r="E304" s="275"/>
      <c r="F304" s="275"/>
      <c r="G304" s="275"/>
      <c r="H304" s="275"/>
      <c r="I304" s="275"/>
      <c r="J304" s="275"/>
      <c r="K304" s="275"/>
      <c r="L304" s="275"/>
      <c r="M304" s="275"/>
      <c r="N304" s="275"/>
    </row>
    <row r="305">
      <c r="B305" s="275"/>
      <c r="C305" s="275"/>
      <c r="D305" s="275"/>
      <c r="E305" s="275"/>
      <c r="F305" s="275"/>
      <c r="G305" s="275"/>
      <c r="H305" s="275"/>
      <c r="I305" s="275"/>
      <c r="J305" s="275"/>
      <c r="K305" s="275"/>
      <c r="L305" s="275"/>
      <c r="M305" s="275"/>
      <c r="N305" s="275"/>
    </row>
    <row r="306">
      <c r="B306" s="275"/>
      <c r="C306" s="275"/>
      <c r="D306" s="275"/>
      <c r="E306" s="275"/>
      <c r="F306" s="275"/>
      <c r="G306" s="275"/>
      <c r="H306" s="275"/>
      <c r="I306" s="275"/>
      <c r="J306" s="275"/>
      <c r="K306" s="275"/>
      <c r="L306" s="275"/>
      <c r="M306" s="275"/>
      <c r="N306" s="275"/>
    </row>
    <row r="307">
      <c r="B307" s="275"/>
      <c r="C307" s="275"/>
      <c r="D307" s="275"/>
      <c r="E307" s="275"/>
      <c r="F307" s="275"/>
      <c r="G307" s="275"/>
      <c r="H307" s="275"/>
      <c r="I307" s="275"/>
      <c r="J307" s="275"/>
      <c r="K307" s="275"/>
      <c r="L307" s="275"/>
      <c r="M307" s="275"/>
      <c r="N307" s="275"/>
    </row>
    <row r="308">
      <c r="B308" s="275"/>
      <c r="C308" s="275"/>
      <c r="D308" s="275"/>
      <c r="E308" s="275"/>
      <c r="F308" s="275"/>
      <c r="G308" s="275"/>
      <c r="H308" s="275"/>
      <c r="I308" s="275"/>
      <c r="J308" s="275"/>
      <c r="K308" s="275"/>
      <c r="L308" s="275"/>
      <c r="M308" s="275"/>
      <c r="N308" s="275"/>
    </row>
    <row r="309">
      <c r="B309" s="275"/>
      <c r="C309" s="275"/>
      <c r="D309" s="275"/>
      <c r="E309" s="275"/>
      <c r="F309" s="275"/>
      <c r="G309" s="275"/>
      <c r="H309" s="275"/>
      <c r="I309" s="275"/>
      <c r="J309" s="275"/>
      <c r="K309" s="275"/>
      <c r="L309" s="275"/>
      <c r="M309" s="275"/>
      <c r="N309" s="275"/>
    </row>
    <row r="310">
      <c r="B310" s="275"/>
      <c r="C310" s="275"/>
      <c r="D310" s="275"/>
      <c r="E310" s="275"/>
      <c r="F310" s="275"/>
      <c r="G310" s="275"/>
      <c r="H310" s="275"/>
      <c r="I310" s="275"/>
      <c r="J310" s="275"/>
      <c r="K310" s="275"/>
      <c r="L310" s="275"/>
      <c r="M310" s="275"/>
      <c r="N310" s="275"/>
    </row>
    <row r="311">
      <c r="B311" s="275"/>
      <c r="C311" s="275"/>
      <c r="D311" s="275"/>
      <c r="E311" s="275"/>
      <c r="F311" s="275"/>
      <c r="G311" s="275"/>
      <c r="H311" s="275"/>
      <c r="I311" s="275"/>
      <c r="J311" s="275"/>
      <c r="K311" s="275"/>
      <c r="L311" s="275"/>
      <c r="M311" s="275"/>
      <c r="N311" s="275"/>
    </row>
    <row r="312">
      <c r="B312" s="275"/>
      <c r="C312" s="275"/>
      <c r="D312" s="275"/>
      <c r="E312" s="275"/>
      <c r="F312" s="275"/>
      <c r="G312" s="275"/>
      <c r="H312" s="275"/>
      <c r="I312" s="275"/>
      <c r="J312" s="275"/>
      <c r="K312" s="275"/>
      <c r="L312" s="275"/>
      <c r="M312" s="275"/>
      <c r="N312" s="275"/>
    </row>
    <row r="313">
      <c r="B313" s="275"/>
      <c r="C313" s="275"/>
      <c r="D313" s="275"/>
      <c r="E313" s="275"/>
      <c r="F313" s="275"/>
      <c r="G313" s="275"/>
      <c r="H313" s="275"/>
      <c r="I313" s="275"/>
      <c r="J313" s="275"/>
      <c r="K313" s="275"/>
      <c r="L313" s="275"/>
      <c r="M313" s="275"/>
      <c r="N313" s="275"/>
    </row>
    <row r="314">
      <c r="B314" s="275"/>
      <c r="C314" s="275"/>
      <c r="D314" s="275"/>
      <c r="E314" s="275"/>
      <c r="F314" s="275"/>
      <c r="G314" s="275"/>
      <c r="H314" s="275"/>
      <c r="I314" s="275"/>
      <c r="J314" s="275"/>
      <c r="K314" s="275"/>
      <c r="L314" s="275"/>
      <c r="M314" s="275"/>
      <c r="N314" s="275"/>
    </row>
    <row r="315">
      <c r="B315" s="275"/>
      <c r="C315" s="275"/>
      <c r="D315" s="275"/>
      <c r="E315" s="275"/>
      <c r="F315" s="275"/>
      <c r="G315" s="275"/>
      <c r="H315" s="275"/>
      <c r="I315" s="275"/>
      <c r="J315" s="275"/>
      <c r="K315" s="275"/>
      <c r="L315" s="275"/>
      <c r="M315" s="275"/>
      <c r="N315" s="275"/>
    </row>
    <row r="316">
      <c r="B316" s="275"/>
      <c r="C316" s="275"/>
      <c r="D316" s="275"/>
      <c r="E316" s="275"/>
      <c r="F316" s="275"/>
      <c r="G316" s="275"/>
      <c r="H316" s="275"/>
      <c r="I316" s="275"/>
      <c r="J316" s="275"/>
      <c r="K316" s="275"/>
      <c r="L316" s="275"/>
      <c r="M316" s="275"/>
      <c r="N316" s="275"/>
    </row>
    <row r="317">
      <c r="B317" s="275"/>
      <c r="C317" s="275"/>
      <c r="D317" s="275"/>
      <c r="E317" s="275"/>
      <c r="F317" s="275"/>
      <c r="G317" s="275"/>
      <c r="H317" s="275"/>
      <c r="I317" s="275"/>
      <c r="J317" s="275"/>
      <c r="K317" s="275"/>
      <c r="L317" s="275"/>
      <c r="M317" s="275"/>
      <c r="N317" s="275"/>
    </row>
    <row r="318">
      <c r="B318" s="275"/>
      <c r="C318" s="275"/>
      <c r="D318" s="275"/>
      <c r="E318" s="275"/>
      <c r="F318" s="275"/>
      <c r="G318" s="275"/>
      <c r="H318" s="275"/>
      <c r="I318" s="275"/>
      <c r="J318" s="275"/>
      <c r="K318" s="275"/>
      <c r="L318" s="275"/>
      <c r="M318" s="275"/>
      <c r="N318" s="275"/>
    </row>
    <row r="319">
      <c r="B319" s="275"/>
      <c r="C319" s="275"/>
      <c r="D319" s="275"/>
      <c r="E319" s="275"/>
      <c r="F319" s="275"/>
      <c r="G319" s="275"/>
      <c r="H319" s="275"/>
      <c r="I319" s="275"/>
      <c r="J319" s="275"/>
      <c r="K319" s="275"/>
      <c r="L319" s="275"/>
      <c r="M319" s="275"/>
      <c r="N319" s="275"/>
    </row>
    <row r="320">
      <c r="B320" s="275"/>
      <c r="C320" s="275"/>
      <c r="D320" s="275"/>
      <c r="E320" s="275"/>
      <c r="F320" s="275"/>
      <c r="G320" s="275"/>
      <c r="H320" s="275"/>
      <c r="I320" s="275"/>
      <c r="J320" s="275"/>
      <c r="K320" s="275"/>
      <c r="L320" s="275"/>
      <c r="M320" s="275"/>
      <c r="N320" s="275"/>
    </row>
    <row r="321">
      <c r="B321" s="275"/>
      <c r="C321" s="275"/>
      <c r="D321" s="275"/>
      <c r="E321" s="275"/>
      <c r="F321" s="275"/>
      <c r="G321" s="275"/>
      <c r="H321" s="275"/>
      <c r="I321" s="275"/>
      <c r="J321" s="275"/>
      <c r="K321" s="275"/>
      <c r="L321" s="275"/>
      <c r="M321" s="275"/>
      <c r="N321" s="275"/>
    </row>
    <row r="322">
      <c r="B322" s="275"/>
      <c r="C322" s="275"/>
      <c r="D322" s="275"/>
      <c r="E322" s="275"/>
      <c r="F322" s="275"/>
      <c r="G322" s="275"/>
      <c r="H322" s="275"/>
      <c r="I322" s="275"/>
      <c r="J322" s="275"/>
      <c r="K322" s="275"/>
      <c r="L322" s="275"/>
      <c r="M322" s="275"/>
      <c r="N322" s="275"/>
    </row>
    <row r="323">
      <c r="B323" s="275"/>
      <c r="C323" s="275"/>
      <c r="D323" s="275"/>
      <c r="E323" s="275"/>
      <c r="F323" s="275"/>
      <c r="G323" s="275"/>
      <c r="H323" s="275"/>
      <c r="I323" s="275"/>
      <c r="J323" s="275"/>
      <c r="K323" s="275"/>
      <c r="L323" s="275"/>
      <c r="M323" s="275"/>
      <c r="N323" s="275"/>
    </row>
    <row r="324">
      <c r="B324" s="275"/>
      <c r="C324" s="275"/>
      <c r="D324" s="275"/>
      <c r="E324" s="275"/>
      <c r="F324" s="275"/>
      <c r="G324" s="275"/>
      <c r="H324" s="275"/>
      <c r="I324" s="275"/>
      <c r="J324" s="275"/>
      <c r="K324" s="275"/>
      <c r="L324" s="275"/>
      <c r="M324" s="275"/>
      <c r="N324" s="275"/>
    </row>
    <row r="325">
      <c r="B325" s="275"/>
      <c r="C325" s="275"/>
      <c r="D325" s="275"/>
      <c r="E325" s="275"/>
      <c r="F325" s="275"/>
      <c r="G325" s="275"/>
      <c r="H325" s="275"/>
      <c r="I325" s="275"/>
      <c r="J325" s="275"/>
      <c r="K325" s="275"/>
      <c r="L325" s="275"/>
      <c r="M325" s="275"/>
      <c r="N325" s="275"/>
    </row>
    <row r="326">
      <c r="B326" s="275"/>
      <c r="C326" s="275"/>
      <c r="D326" s="275"/>
      <c r="E326" s="275"/>
      <c r="F326" s="275"/>
      <c r="G326" s="275"/>
      <c r="H326" s="275"/>
      <c r="I326" s="275"/>
      <c r="J326" s="275"/>
      <c r="K326" s="275"/>
      <c r="L326" s="275"/>
      <c r="M326" s="275"/>
      <c r="N326" s="275"/>
    </row>
    <row r="327">
      <c r="B327" s="275"/>
      <c r="C327" s="275"/>
      <c r="D327" s="275"/>
      <c r="E327" s="275"/>
      <c r="F327" s="275"/>
      <c r="G327" s="275"/>
      <c r="H327" s="275"/>
      <c r="I327" s="275"/>
      <c r="J327" s="275"/>
      <c r="K327" s="275"/>
      <c r="L327" s="275"/>
      <c r="M327" s="275"/>
      <c r="N327" s="275"/>
    </row>
    <row r="328">
      <c r="B328" s="275"/>
      <c r="C328" s="275"/>
      <c r="D328" s="275"/>
      <c r="E328" s="275"/>
      <c r="F328" s="275"/>
      <c r="G328" s="275"/>
      <c r="H328" s="275"/>
      <c r="I328" s="275"/>
      <c r="J328" s="275"/>
      <c r="K328" s="275"/>
      <c r="L328" s="275"/>
      <c r="M328" s="275"/>
      <c r="N328" s="275"/>
    </row>
    <row r="329">
      <c r="B329" s="275"/>
      <c r="C329" s="275"/>
      <c r="D329" s="275"/>
      <c r="E329" s="275"/>
      <c r="F329" s="275"/>
      <c r="G329" s="275"/>
      <c r="H329" s="275"/>
      <c r="I329" s="275"/>
      <c r="J329" s="275"/>
      <c r="K329" s="275"/>
      <c r="L329" s="275"/>
      <c r="M329" s="275"/>
      <c r="N329" s="275"/>
    </row>
    <row r="330">
      <c r="B330" s="275"/>
      <c r="C330" s="275"/>
      <c r="D330" s="275"/>
      <c r="E330" s="275"/>
      <c r="F330" s="275"/>
      <c r="G330" s="275"/>
      <c r="H330" s="275"/>
      <c r="I330" s="275"/>
      <c r="J330" s="275"/>
      <c r="K330" s="275"/>
      <c r="L330" s="275"/>
      <c r="M330" s="275"/>
      <c r="N330" s="275"/>
    </row>
    <row r="331">
      <c r="B331" s="275"/>
      <c r="C331" s="275"/>
      <c r="D331" s="275"/>
      <c r="E331" s="275"/>
      <c r="F331" s="275"/>
      <c r="G331" s="275"/>
      <c r="H331" s="275"/>
      <c r="I331" s="275"/>
      <c r="J331" s="275"/>
      <c r="K331" s="275"/>
      <c r="L331" s="275"/>
      <c r="M331" s="275"/>
      <c r="N331" s="275"/>
    </row>
    <row r="332">
      <c r="B332" s="275"/>
      <c r="C332" s="275"/>
      <c r="D332" s="275"/>
      <c r="E332" s="275"/>
      <c r="F332" s="275"/>
      <c r="G332" s="275"/>
      <c r="H332" s="275"/>
      <c r="I332" s="275"/>
      <c r="J332" s="275"/>
      <c r="K332" s="275"/>
      <c r="L332" s="275"/>
      <c r="M332" s="275"/>
      <c r="N332" s="275"/>
    </row>
    <row r="333">
      <c r="B333" s="275"/>
      <c r="C333" s="275"/>
      <c r="D333" s="275"/>
      <c r="E333" s="275"/>
      <c r="F333" s="275"/>
      <c r="G333" s="275"/>
      <c r="H333" s="275"/>
      <c r="I333" s="275"/>
      <c r="J333" s="275"/>
      <c r="K333" s="275"/>
      <c r="L333" s="275"/>
      <c r="M333" s="275"/>
      <c r="N333" s="275"/>
    </row>
    <row r="334">
      <c r="B334" s="275"/>
      <c r="C334" s="275"/>
      <c r="D334" s="275"/>
      <c r="E334" s="275"/>
      <c r="F334" s="275"/>
      <c r="G334" s="275"/>
      <c r="H334" s="275"/>
      <c r="I334" s="275"/>
      <c r="J334" s="275"/>
      <c r="K334" s="275"/>
      <c r="L334" s="275"/>
      <c r="M334" s="275"/>
      <c r="N334" s="275"/>
    </row>
    <row r="335">
      <c r="B335" s="275"/>
      <c r="C335" s="275"/>
      <c r="D335" s="275"/>
      <c r="E335" s="275"/>
      <c r="F335" s="275"/>
      <c r="G335" s="275"/>
      <c r="H335" s="275"/>
      <c r="I335" s="275"/>
      <c r="J335" s="275"/>
      <c r="K335" s="275"/>
      <c r="L335" s="275"/>
      <c r="M335" s="275"/>
      <c r="N335" s="275"/>
    </row>
    <row r="336">
      <c r="B336" s="275"/>
      <c r="C336" s="275"/>
      <c r="D336" s="275"/>
      <c r="E336" s="275"/>
      <c r="F336" s="275"/>
      <c r="G336" s="275"/>
      <c r="H336" s="275"/>
      <c r="I336" s="275"/>
      <c r="J336" s="275"/>
      <c r="K336" s="275"/>
      <c r="L336" s="275"/>
      <c r="M336" s="275"/>
      <c r="N336" s="275"/>
    </row>
    <row r="337">
      <c r="B337" s="275"/>
      <c r="C337" s="275"/>
      <c r="D337" s="275"/>
      <c r="E337" s="275"/>
      <c r="F337" s="275"/>
      <c r="G337" s="275"/>
      <c r="H337" s="275"/>
      <c r="I337" s="275"/>
      <c r="J337" s="275"/>
      <c r="K337" s="275"/>
      <c r="L337" s="275"/>
      <c r="M337" s="275"/>
      <c r="N337" s="275"/>
    </row>
    <row r="338">
      <c r="B338" s="275"/>
      <c r="C338" s="275"/>
      <c r="D338" s="275"/>
      <c r="E338" s="275"/>
      <c r="F338" s="275"/>
      <c r="G338" s="275"/>
      <c r="H338" s="275"/>
      <c r="I338" s="275"/>
      <c r="J338" s="275"/>
      <c r="K338" s="275"/>
      <c r="L338" s="275"/>
      <c r="M338" s="275"/>
      <c r="N338" s="275"/>
    </row>
    <row r="339">
      <c r="B339" s="275"/>
      <c r="C339" s="275"/>
      <c r="D339" s="275"/>
      <c r="E339" s="275"/>
      <c r="F339" s="275"/>
      <c r="G339" s="275"/>
      <c r="H339" s="275"/>
      <c r="I339" s="275"/>
      <c r="J339" s="275"/>
      <c r="K339" s="275"/>
      <c r="L339" s="275"/>
      <c r="M339" s="275"/>
      <c r="N339" s="275"/>
    </row>
    <row r="340">
      <c r="B340" s="275"/>
      <c r="C340" s="275"/>
      <c r="D340" s="275"/>
      <c r="E340" s="275"/>
      <c r="F340" s="275"/>
      <c r="G340" s="275"/>
      <c r="H340" s="275"/>
      <c r="I340" s="275"/>
      <c r="J340" s="275"/>
      <c r="K340" s="275"/>
      <c r="L340" s="275"/>
      <c r="M340" s="275"/>
      <c r="N340" s="275"/>
    </row>
    <row r="341">
      <c r="B341" s="275"/>
      <c r="C341" s="275"/>
      <c r="D341" s="275"/>
      <c r="E341" s="275"/>
      <c r="F341" s="275"/>
      <c r="G341" s="275"/>
      <c r="H341" s="275"/>
      <c r="I341" s="275"/>
      <c r="J341" s="275"/>
      <c r="K341" s="275"/>
      <c r="L341" s="275"/>
      <c r="M341" s="275"/>
      <c r="N341" s="275"/>
    </row>
    <row r="342">
      <c r="B342" s="275"/>
      <c r="C342" s="275"/>
      <c r="D342" s="275"/>
      <c r="E342" s="275"/>
      <c r="F342" s="275"/>
      <c r="G342" s="275"/>
      <c r="H342" s="275"/>
      <c r="I342" s="275"/>
      <c r="J342" s="275"/>
      <c r="K342" s="275"/>
      <c r="L342" s="275"/>
      <c r="M342" s="275"/>
      <c r="N342" s="275"/>
    </row>
    <row r="343">
      <c r="B343" s="275"/>
      <c r="C343" s="275"/>
      <c r="D343" s="275"/>
      <c r="E343" s="275"/>
      <c r="F343" s="275"/>
      <c r="G343" s="275"/>
      <c r="H343" s="275"/>
      <c r="I343" s="275"/>
      <c r="J343" s="275"/>
      <c r="K343" s="275"/>
      <c r="L343" s="275"/>
      <c r="M343" s="275"/>
      <c r="N343" s="275"/>
    </row>
    <row r="344">
      <c r="B344" s="275"/>
      <c r="C344" s="275"/>
      <c r="D344" s="275"/>
      <c r="E344" s="275"/>
      <c r="F344" s="275"/>
      <c r="G344" s="275"/>
      <c r="H344" s="275"/>
      <c r="I344" s="275"/>
      <c r="J344" s="275"/>
      <c r="K344" s="275"/>
      <c r="L344" s="275"/>
      <c r="M344" s="275"/>
      <c r="N344" s="275"/>
    </row>
    <row r="345">
      <c r="B345" s="275"/>
      <c r="C345" s="275"/>
      <c r="D345" s="275"/>
      <c r="E345" s="275"/>
      <c r="F345" s="275"/>
      <c r="G345" s="275"/>
      <c r="H345" s="275"/>
      <c r="I345" s="275"/>
      <c r="J345" s="275"/>
      <c r="K345" s="275"/>
      <c r="L345" s="275"/>
      <c r="M345" s="275"/>
      <c r="N345" s="275"/>
    </row>
    <row r="346">
      <c r="B346" s="275"/>
      <c r="C346" s="275"/>
      <c r="D346" s="275"/>
      <c r="E346" s="275"/>
      <c r="F346" s="275"/>
      <c r="G346" s="275"/>
      <c r="H346" s="275"/>
      <c r="I346" s="275"/>
      <c r="J346" s="275"/>
      <c r="K346" s="275"/>
      <c r="L346" s="275"/>
      <c r="M346" s="275"/>
      <c r="N346" s="275"/>
    </row>
    <row r="347">
      <c r="B347" s="275"/>
      <c r="C347" s="275"/>
      <c r="D347" s="275"/>
      <c r="E347" s="275"/>
      <c r="F347" s="275"/>
      <c r="G347" s="275"/>
      <c r="H347" s="275"/>
      <c r="I347" s="275"/>
      <c r="J347" s="275"/>
      <c r="K347" s="275"/>
      <c r="L347" s="275"/>
      <c r="M347" s="275"/>
      <c r="N347" s="275"/>
    </row>
    <row r="348">
      <c r="B348" s="275"/>
      <c r="C348" s="275"/>
      <c r="D348" s="275"/>
      <c r="E348" s="275"/>
      <c r="F348" s="275"/>
      <c r="G348" s="275"/>
      <c r="H348" s="275"/>
      <c r="I348" s="275"/>
      <c r="J348" s="275"/>
      <c r="K348" s="275"/>
      <c r="L348" s="275"/>
      <c r="M348" s="275"/>
      <c r="N348" s="275"/>
    </row>
    <row r="349">
      <c r="B349" s="275"/>
      <c r="C349" s="275"/>
      <c r="D349" s="275"/>
      <c r="E349" s="275"/>
      <c r="F349" s="275"/>
      <c r="G349" s="275"/>
      <c r="H349" s="275"/>
      <c r="I349" s="275"/>
      <c r="J349" s="275"/>
      <c r="K349" s="275"/>
      <c r="L349" s="275"/>
      <c r="M349" s="275"/>
      <c r="N349" s="275"/>
    </row>
    <row r="350">
      <c r="B350" s="275"/>
      <c r="C350" s="275"/>
      <c r="D350" s="275"/>
      <c r="E350" s="275"/>
      <c r="F350" s="275"/>
      <c r="G350" s="275"/>
      <c r="H350" s="275"/>
      <c r="I350" s="275"/>
      <c r="J350" s="275"/>
      <c r="K350" s="275"/>
      <c r="L350" s="275"/>
      <c r="M350" s="275"/>
      <c r="N350" s="275"/>
    </row>
    <row r="351">
      <c r="B351" s="275"/>
      <c r="C351" s="275"/>
      <c r="D351" s="275"/>
      <c r="E351" s="275"/>
      <c r="F351" s="275"/>
      <c r="G351" s="275"/>
      <c r="H351" s="275"/>
      <c r="I351" s="275"/>
      <c r="J351" s="275"/>
      <c r="K351" s="275"/>
      <c r="L351" s="275"/>
      <c r="M351" s="275"/>
      <c r="N351" s="275"/>
    </row>
    <row r="352">
      <c r="B352" s="275"/>
      <c r="C352" s="275"/>
      <c r="D352" s="275"/>
      <c r="E352" s="275"/>
      <c r="F352" s="275"/>
      <c r="G352" s="275"/>
      <c r="H352" s="275"/>
      <c r="I352" s="275"/>
      <c r="J352" s="275"/>
      <c r="K352" s="275"/>
      <c r="L352" s="275"/>
      <c r="M352" s="275"/>
      <c r="N352" s="275"/>
    </row>
    <row r="353">
      <c r="B353" s="275"/>
      <c r="C353" s="275"/>
      <c r="D353" s="275"/>
      <c r="E353" s="275"/>
      <c r="F353" s="275"/>
      <c r="G353" s="275"/>
      <c r="H353" s="275"/>
      <c r="I353" s="275"/>
      <c r="J353" s="275"/>
      <c r="K353" s="275"/>
      <c r="L353" s="275"/>
      <c r="M353" s="275"/>
      <c r="N353" s="275"/>
    </row>
    <row r="354">
      <c r="B354" s="275"/>
      <c r="C354" s="275"/>
      <c r="D354" s="275"/>
      <c r="E354" s="275"/>
      <c r="F354" s="275"/>
      <c r="G354" s="275"/>
      <c r="H354" s="275"/>
      <c r="I354" s="275"/>
      <c r="J354" s="275"/>
      <c r="K354" s="275"/>
      <c r="L354" s="275"/>
      <c r="M354" s="275"/>
      <c r="N354" s="275"/>
    </row>
    <row r="355">
      <c r="B355" s="275"/>
      <c r="C355" s="275"/>
      <c r="D355" s="275"/>
      <c r="E355" s="275"/>
      <c r="F355" s="275"/>
      <c r="G355" s="275"/>
      <c r="H355" s="275"/>
      <c r="I355" s="275"/>
      <c r="J355" s="275"/>
      <c r="K355" s="275"/>
      <c r="L355" s="275"/>
      <c r="M355" s="275"/>
      <c r="N355" s="275"/>
    </row>
    <row r="356">
      <c r="B356" s="275"/>
      <c r="C356" s="275"/>
      <c r="D356" s="275"/>
      <c r="E356" s="275"/>
      <c r="F356" s="275"/>
      <c r="G356" s="275"/>
      <c r="H356" s="275"/>
      <c r="I356" s="275"/>
      <c r="J356" s="275"/>
      <c r="K356" s="275"/>
      <c r="L356" s="275"/>
      <c r="M356" s="275"/>
      <c r="N356" s="275"/>
    </row>
    <row r="357">
      <c r="B357" s="275"/>
      <c r="C357" s="275"/>
      <c r="D357" s="275"/>
      <c r="E357" s="275"/>
      <c r="F357" s="275"/>
      <c r="G357" s="275"/>
      <c r="H357" s="275"/>
      <c r="I357" s="275"/>
      <c r="J357" s="275"/>
      <c r="K357" s="275"/>
      <c r="L357" s="275"/>
      <c r="M357" s="275"/>
      <c r="N357" s="275"/>
    </row>
    <row r="358">
      <c r="B358" s="275"/>
      <c r="C358" s="275"/>
      <c r="D358" s="275"/>
      <c r="E358" s="275"/>
      <c r="F358" s="275"/>
      <c r="G358" s="275"/>
      <c r="H358" s="275"/>
      <c r="I358" s="275"/>
      <c r="J358" s="275"/>
      <c r="K358" s="275"/>
      <c r="L358" s="275"/>
      <c r="M358" s="275"/>
      <c r="N358" s="275"/>
    </row>
    <row r="359">
      <c r="B359" s="275"/>
      <c r="C359" s="275"/>
      <c r="D359" s="275"/>
      <c r="E359" s="275"/>
      <c r="F359" s="275"/>
      <c r="G359" s="275"/>
      <c r="H359" s="275"/>
      <c r="I359" s="275"/>
      <c r="J359" s="275"/>
      <c r="K359" s="275"/>
      <c r="L359" s="275"/>
      <c r="M359" s="275"/>
      <c r="N359" s="275"/>
    </row>
    <row r="360">
      <c r="B360" s="275"/>
      <c r="C360" s="275"/>
      <c r="D360" s="275"/>
      <c r="E360" s="275"/>
      <c r="F360" s="275"/>
      <c r="G360" s="275"/>
      <c r="H360" s="275"/>
      <c r="I360" s="275"/>
      <c r="J360" s="275"/>
      <c r="K360" s="275"/>
      <c r="L360" s="275"/>
      <c r="M360" s="275"/>
      <c r="N360" s="275"/>
    </row>
    <row r="361">
      <c r="B361" s="275"/>
      <c r="C361" s="275"/>
      <c r="D361" s="275"/>
      <c r="E361" s="275"/>
      <c r="F361" s="275"/>
      <c r="G361" s="275"/>
      <c r="H361" s="275"/>
      <c r="I361" s="275"/>
      <c r="J361" s="275"/>
      <c r="K361" s="275"/>
      <c r="L361" s="275"/>
      <c r="M361" s="275"/>
      <c r="N361" s="275"/>
    </row>
    <row r="362">
      <c r="B362" s="275"/>
      <c r="C362" s="275"/>
      <c r="D362" s="275"/>
      <c r="E362" s="275"/>
      <c r="F362" s="275"/>
      <c r="G362" s="275"/>
      <c r="H362" s="275"/>
      <c r="I362" s="275"/>
      <c r="J362" s="275"/>
      <c r="K362" s="275"/>
      <c r="L362" s="275"/>
      <c r="M362" s="275"/>
      <c r="N362" s="275"/>
    </row>
    <row r="363">
      <c r="B363" s="275"/>
      <c r="C363" s="275"/>
      <c r="D363" s="275"/>
      <c r="E363" s="275"/>
      <c r="F363" s="275"/>
      <c r="G363" s="275"/>
      <c r="H363" s="275"/>
      <c r="I363" s="275"/>
      <c r="J363" s="275"/>
      <c r="K363" s="275"/>
      <c r="L363" s="275"/>
      <c r="M363" s="275"/>
      <c r="N363" s="275"/>
    </row>
    <row r="364">
      <c r="B364" s="275"/>
      <c r="C364" s="275"/>
      <c r="D364" s="275"/>
      <c r="E364" s="275"/>
      <c r="F364" s="275"/>
      <c r="G364" s="275"/>
      <c r="H364" s="275"/>
      <c r="I364" s="275"/>
      <c r="J364" s="275"/>
      <c r="K364" s="275"/>
      <c r="L364" s="275"/>
      <c r="M364" s="275"/>
      <c r="N364" s="275"/>
    </row>
    <row r="365">
      <c r="B365" s="275"/>
      <c r="C365" s="275"/>
      <c r="D365" s="275"/>
      <c r="E365" s="275"/>
      <c r="F365" s="275"/>
      <c r="G365" s="275"/>
      <c r="H365" s="275"/>
      <c r="I365" s="275"/>
      <c r="J365" s="275"/>
      <c r="K365" s="275"/>
      <c r="L365" s="275"/>
      <c r="M365" s="275"/>
      <c r="N365" s="275"/>
    </row>
    <row r="366">
      <c r="B366" s="275"/>
      <c r="C366" s="275"/>
      <c r="D366" s="275"/>
      <c r="E366" s="275"/>
      <c r="F366" s="275"/>
      <c r="G366" s="275"/>
      <c r="H366" s="275"/>
      <c r="I366" s="275"/>
      <c r="J366" s="275"/>
      <c r="K366" s="275"/>
      <c r="L366" s="275"/>
      <c r="M366" s="275"/>
      <c r="N366" s="275"/>
    </row>
    <row r="367">
      <c r="B367" s="275"/>
      <c r="C367" s="275"/>
      <c r="D367" s="275"/>
      <c r="E367" s="275"/>
      <c r="F367" s="275"/>
      <c r="G367" s="275"/>
      <c r="H367" s="275"/>
      <c r="I367" s="275"/>
      <c r="J367" s="275"/>
      <c r="K367" s="275"/>
      <c r="L367" s="275"/>
      <c r="M367" s="275"/>
      <c r="N367" s="275"/>
    </row>
    <row r="368">
      <c r="B368" s="275"/>
      <c r="C368" s="275"/>
      <c r="D368" s="275"/>
      <c r="E368" s="275"/>
      <c r="F368" s="275"/>
      <c r="G368" s="275"/>
      <c r="H368" s="275"/>
      <c r="I368" s="275"/>
      <c r="J368" s="275"/>
      <c r="K368" s="275"/>
      <c r="L368" s="275"/>
      <c r="M368" s="275"/>
      <c r="N368" s="275"/>
    </row>
    <row r="369">
      <c r="B369" s="275"/>
      <c r="C369" s="275"/>
      <c r="D369" s="275"/>
      <c r="E369" s="275"/>
      <c r="F369" s="275"/>
      <c r="G369" s="275"/>
      <c r="H369" s="275"/>
      <c r="I369" s="275"/>
      <c r="J369" s="275"/>
      <c r="K369" s="275"/>
      <c r="L369" s="275"/>
      <c r="M369" s="275"/>
      <c r="N369" s="275"/>
    </row>
    <row r="370">
      <c r="B370" s="275"/>
      <c r="C370" s="275"/>
      <c r="D370" s="275"/>
      <c r="E370" s="275"/>
      <c r="F370" s="275"/>
      <c r="G370" s="275"/>
      <c r="H370" s="275"/>
      <c r="I370" s="275"/>
      <c r="J370" s="275"/>
      <c r="K370" s="275"/>
      <c r="L370" s="275"/>
      <c r="M370" s="275"/>
      <c r="N370" s="275"/>
    </row>
    <row r="371">
      <c r="B371" s="275"/>
      <c r="C371" s="275"/>
      <c r="D371" s="275"/>
      <c r="E371" s="275"/>
      <c r="F371" s="275"/>
      <c r="G371" s="275"/>
      <c r="H371" s="275"/>
      <c r="I371" s="275"/>
      <c r="J371" s="275"/>
      <c r="K371" s="275"/>
      <c r="L371" s="275"/>
      <c r="M371" s="275"/>
      <c r="N371" s="275"/>
    </row>
    <row r="372">
      <c r="B372" s="275"/>
      <c r="C372" s="275"/>
      <c r="D372" s="275"/>
      <c r="E372" s="275"/>
      <c r="F372" s="275"/>
      <c r="G372" s="275"/>
      <c r="H372" s="275"/>
      <c r="I372" s="275"/>
      <c r="J372" s="275"/>
      <c r="K372" s="275"/>
      <c r="L372" s="275"/>
      <c r="M372" s="275"/>
      <c r="N372" s="275"/>
    </row>
    <row r="373">
      <c r="B373" s="275"/>
      <c r="C373" s="275"/>
      <c r="D373" s="275"/>
      <c r="E373" s="275"/>
      <c r="F373" s="275"/>
      <c r="G373" s="275"/>
      <c r="H373" s="275"/>
      <c r="I373" s="275"/>
      <c r="J373" s="275"/>
      <c r="K373" s="275"/>
      <c r="L373" s="275"/>
      <c r="M373" s="275"/>
      <c r="N373" s="275"/>
    </row>
    <row r="374">
      <c r="B374" s="275"/>
      <c r="C374" s="275"/>
      <c r="D374" s="275"/>
      <c r="E374" s="275"/>
      <c r="F374" s="275"/>
      <c r="G374" s="275"/>
      <c r="H374" s="275"/>
      <c r="I374" s="275"/>
      <c r="J374" s="275"/>
      <c r="K374" s="275"/>
      <c r="L374" s="275"/>
      <c r="M374" s="275"/>
      <c r="N374" s="275"/>
    </row>
    <row r="375">
      <c r="B375" s="275"/>
      <c r="C375" s="275"/>
      <c r="D375" s="275"/>
      <c r="E375" s="275"/>
      <c r="F375" s="275"/>
      <c r="G375" s="275"/>
      <c r="H375" s="275"/>
      <c r="I375" s="275"/>
      <c r="J375" s="275"/>
      <c r="K375" s="275"/>
      <c r="L375" s="275"/>
      <c r="M375" s="275"/>
      <c r="N375" s="275"/>
    </row>
    <row r="376">
      <c r="B376" s="275"/>
      <c r="C376" s="275"/>
      <c r="D376" s="275"/>
      <c r="E376" s="275"/>
      <c r="F376" s="275"/>
      <c r="G376" s="275"/>
      <c r="H376" s="275"/>
      <c r="I376" s="275"/>
      <c r="J376" s="275"/>
      <c r="K376" s="275"/>
      <c r="L376" s="275"/>
      <c r="M376" s="275"/>
      <c r="N376" s="275"/>
    </row>
    <row r="377">
      <c r="B377" s="275"/>
      <c r="C377" s="275"/>
      <c r="D377" s="275"/>
      <c r="E377" s="275"/>
      <c r="F377" s="275"/>
      <c r="G377" s="275"/>
      <c r="H377" s="275"/>
      <c r="I377" s="275"/>
      <c r="J377" s="275"/>
      <c r="K377" s="275"/>
      <c r="L377" s="275"/>
      <c r="M377" s="275"/>
      <c r="N377" s="275"/>
    </row>
    <row r="378">
      <c r="B378" s="275"/>
      <c r="C378" s="275"/>
      <c r="D378" s="275"/>
      <c r="E378" s="275"/>
      <c r="F378" s="275"/>
      <c r="G378" s="275"/>
      <c r="H378" s="275"/>
      <c r="I378" s="275"/>
      <c r="J378" s="275"/>
      <c r="K378" s="275"/>
      <c r="L378" s="275"/>
      <c r="M378" s="275"/>
      <c r="N378" s="275"/>
    </row>
    <row r="379">
      <c r="B379" s="275"/>
      <c r="C379" s="275"/>
      <c r="D379" s="275"/>
      <c r="E379" s="275"/>
      <c r="F379" s="275"/>
      <c r="G379" s="275"/>
      <c r="H379" s="275"/>
      <c r="I379" s="275"/>
      <c r="J379" s="275"/>
      <c r="K379" s="275"/>
      <c r="L379" s="275"/>
      <c r="M379" s="275"/>
      <c r="N379" s="275"/>
    </row>
    <row r="380">
      <c r="B380" s="275"/>
      <c r="C380" s="275"/>
      <c r="D380" s="275"/>
      <c r="E380" s="275"/>
      <c r="F380" s="275"/>
      <c r="G380" s="275"/>
      <c r="H380" s="275"/>
      <c r="I380" s="275"/>
      <c r="J380" s="275"/>
      <c r="K380" s="275"/>
      <c r="L380" s="275"/>
      <c r="M380" s="275"/>
      <c r="N380" s="275"/>
    </row>
    <row r="381">
      <c r="B381" s="275"/>
      <c r="C381" s="275"/>
      <c r="D381" s="275"/>
      <c r="E381" s="275"/>
      <c r="F381" s="275"/>
      <c r="G381" s="275"/>
      <c r="H381" s="275"/>
      <c r="I381" s="275"/>
      <c r="J381" s="275"/>
      <c r="K381" s="275"/>
      <c r="L381" s="275"/>
      <c r="M381" s="275"/>
      <c r="N381" s="275"/>
    </row>
    <row r="382">
      <c r="B382" s="275"/>
      <c r="C382" s="275"/>
      <c r="D382" s="275"/>
      <c r="E382" s="275"/>
      <c r="F382" s="275"/>
      <c r="G382" s="275"/>
      <c r="H382" s="275"/>
      <c r="I382" s="275"/>
      <c r="J382" s="275"/>
      <c r="K382" s="275"/>
      <c r="L382" s="275"/>
      <c r="M382" s="275"/>
      <c r="N382" s="275"/>
    </row>
    <row r="383">
      <c r="B383" s="275"/>
      <c r="C383" s="275"/>
      <c r="D383" s="275"/>
      <c r="E383" s="275"/>
      <c r="F383" s="275"/>
      <c r="G383" s="275"/>
      <c r="H383" s="275"/>
      <c r="I383" s="275"/>
      <c r="J383" s="275"/>
      <c r="K383" s="275"/>
      <c r="L383" s="275"/>
      <c r="M383" s="275"/>
      <c r="N383" s="275"/>
    </row>
    <row r="384">
      <c r="B384" s="275"/>
      <c r="C384" s="275"/>
      <c r="D384" s="275"/>
      <c r="E384" s="275"/>
      <c r="F384" s="275"/>
      <c r="G384" s="275"/>
      <c r="H384" s="275"/>
      <c r="I384" s="275"/>
      <c r="J384" s="275"/>
      <c r="K384" s="275"/>
      <c r="L384" s="275"/>
      <c r="M384" s="275"/>
      <c r="N384" s="275"/>
    </row>
    <row r="385">
      <c r="B385" s="275"/>
      <c r="C385" s="275"/>
      <c r="D385" s="275"/>
      <c r="E385" s="275"/>
      <c r="F385" s="275"/>
      <c r="G385" s="275"/>
      <c r="H385" s="275"/>
      <c r="I385" s="275"/>
      <c r="J385" s="275"/>
      <c r="K385" s="275"/>
      <c r="L385" s="275"/>
      <c r="M385" s="275"/>
      <c r="N385" s="275"/>
    </row>
    <row r="386">
      <c r="B386" s="275"/>
      <c r="C386" s="275"/>
      <c r="D386" s="275"/>
      <c r="E386" s="275"/>
      <c r="F386" s="275"/>
      <c r="G386" s="275"/>
      <c r="H386" s="275"/>
      <c r="I386" s="275"/>
      <c r="J386" s="275"/>
      <c r="K386" s="275"/>
      <c r="L386" s="275"/>
      <c r="M386" s="275"/>
      <c r="N386" s="275"/>
    </row>
    <row r="387">
      <c r="B387" s="275"/>
      <c r="C387" s="275"/>
      <c r="D387" s="275"/>
      <c r="E387" s="275"/>
      <c r="F387" s="275"/>
      <c r="G387" s="275"/>
      <c r="H387" s="275"/>
      <c r="I387" s="275"/>
      <c r="J387" s="275"/>
      <c r="K387" s="275"/>
      <c r="L387" s="275"/>
      <c r="M387" s="275"/>
      <c r="N387" s="275"/>
    </row>
    <row r="388">
      <c r="B388" s="275"/>
      <c r="C388" s="275"/>
      <c r="D388" s="275"/>
      <c r="E388" s="275"/>
      <c r="F388" s="275"/>
      <c r="G388" s="275"/>
      <c r="H388" s="275"/>
      <c r="I388" s="275"/>
      <c r="J388" s="275"/>
      <c r="K388" s="275"/>
      <c r="L388" s="275"/>
      <c r="M388" s="275"/>
      <c r="N388" s="275"/>
    </row>
    <row r="389">
      <c r="B389" s="275"/>
      <c r="C389" s="275"/>
      <c r="D389" s="275"/>
      <c r="E389" s="275"/>
      <c r="F389" s="275"/>
      <c r="G389" s="275"/>
      <c r="H389" s="275"/>
      <c r="I389" s="275"/>
      <c r="J389" s="275"/>
      <c r="K389" s="275"/>
      <c r="L389" s="275"/>
      <c r="M389" s="275"/>
      <c r="N389" s="275"/>
    </row>
    <row r="390">
      <c r="B390" s="275"/>
      <c r="C390" s="275"/>
      <c r="D390" s="275"/>
      <c r="E390" s="275"/>
      <c r="F390" s="275"/>
      <c r="G390" s="275"/>
      <c r="H390" s="275"/>
      <c r="I390" s="275"/>
      <c r="J390" s="275"/>
      <c r="K390" s="275"/>
      <c r="L390" s="275"/>
      <c r="M390" s="275"/>
      <c r="N390" s="275"/>
    </row>
    <row r="391">
      <c r="B391" s="275"/>
      <c r="C391" s="275"/>
      <c r="D391" s="275"/>
      <c r="E391" s="275"/>
      <c r="F391" s="275"/>
      <c r="G391" s="275"/>
      <c r="H391" s="275"/>
      <c r="I391" s="275"/>
      <c r="J391" s="275"/>
      <c r="K391" s="275"/>
      <c r="L391" s="275"/>
      <c r="M391" s="275"/>
      <c r="N391" s="275"/>
    </row>
    <row r="392">
      <c r="B392" s="275"/>
      <c r="C392" s="275"/>
      <c r="D392" s="275"/>
      <c r="E392" s="275"/>
      <c r="F392" s="275"/>
      <c r="G392" s="275"/>
      <c r="H392" s="275"/>
      <c r="I392" s="275"/>
      <c r="J392" s="275"/>
      <c r="K392" s="275"/>
      <c r="L392" s="275"/>
      <c r="M392" s="275"/>
      <c r="N392" s="275"/>
    </row>
    <row r="393">
      <c r="B393" s="275"/>
      <c r="C393" s="275"/>
      <c r="D393" s="275"/>
      <c r="E393" s="275"/>
      <c r="F393" s="275"/>
      <c r="G393" s="275"/>
      <c r="H393" s="275"/>
      <c r="I393" s="275"/>
      <c r="J393" s="275"/>
      <c r="K393" s="275"/>
      <c r="L393" s="275"/>
      <c r="M393" s="275"/>
      <c r="N393" s="275"/>
    </row>
    <row r="394">
      <c r="B394" s="275"/>
      <c r="C394" s="275"/>
      <c r="D394" s="275"/>
      <c r="E394" s="275"/>
      <c r="F394" s="275"/>
      <c r="G394" s="275"/>
      <c r="H394" s="275"/>
      <c r="I394" s="275"/>
      <c r="J394" s="275"/>
      <c r="K394" s="275"/>
      <c r="L394" s="275"/>
      <c r="M394" s="275"/>
      <c r="N394" s="275"/>
    </row>
    <row r="395">
      <c r="B395" s="275"/>
      <c r="C395" s="275"/>
      <c r="D395" s="275"/>
      <c r="E395" s="275"/>
      <c r="F395" s="275"/>
      <c r="G395" s="275"/>
      <c r="H395" s="275"/>
      <c r="I395" s="275"/>
      <c r="J395" s="275"/>
      <c r="K395" s="275"/>
      <c r="L395" s="275"/>
      <c r="M395" s="275"/>
      <c r="N395" s="275"/>
    </row>
    <row r="396">
      <c r="B396" s="275"/>
      <c r="C396" s="275"/>
      <c r="D396" s="275"/>
      <c r="E396" s="275"/>
      <c r="F396" s="275"/>
      <c r="G396" s="275"/>
      <c r="H396" s="275"/>
      <c r="I396" s="275"/>
      <c r="J396" s="275"/>
      <c r="K396" s="275"/>
      <c r="L396" s="275"/>
      <c r="M396" s="275"/>
      <c r="N396" s="275"/>
    </row>
    <row r="397">
      <c r="B397" s="275"/>
      <c r="C397" s="275"/>
      <c r="D397" s="275"/>
      <c r="E397" s="275"/>
      <c r="F397" s="275"/>
      <c r="G397" s="275"/>
      <c r="H397" s="275"/>
      <c r="I397" s="275"/>
      <c r="J397" s="275"/>
      <c r="K397" s="275"/>
      <c r="L397" s="275"/>
      <c r="M397" s="275"/>
      <c r="N397" s="275"/>
    </row>
    <row r="398">
      <c r="B398" s="275"/>
      <c r="C398" s="275"/>
      <c r="D398" s="275"/>
      <c r="E398" s="275"/>
      <c r="F398" s="275"/>
      <c r="G398" s="275"/>
      <c r="H398" s="275"/>
      <c r="I398" s="275"/>
      <c r="J398" s="275"/>
      <c r="K398" s="275"/>
      <c r="L398" s="275"/>
      <c r="M398" s="275"/>
      <c r="N398" s="275"/>
    </row>
    <row r="399">
      <c r="B399" s="275"/>
      <c r="C399" s="275"/>
      <c r="D399" s="275"/>
      <c r="E399" s="275"/>
      <c r="F399" s="275"/>
      <c r="G399" s="275"/>
      <c r="H399" s="275"/>
      <c r="I399" s="275"/>
      <c r="J399" s="275"/>
      <c r="K399" s="275"/>
      <c r="L399" s="275"/>
      <c r="M399" s="275"/>
      <c r="N399" s="275"/>
    </row>
    <row r="400">
      <c r="B400" s="275"/>
      <c r="C400" s="275"/>
      <c r="D400" s="275"/>
      <c r="E400" s="275"/>
      <c r="F400" s="275"/>
      <c r="G400" s="275"/>
      <c r="H400" s="275"/>
      <c r="I400" s="275"/>
      <c r="J400" s="275"/>
      <c r="K400" s="275"/>
      <c r="L400" s="275"/>
      <c r="M400" s="275"/>
      <c r="N400" s="275"/>
    </row>
    <row r="401">
      <c r="B401" s="275"/>
      <c r="C401" s="275"/>
      <c r="D401" s="275"/>
      <c r="E401" s="275"/>
      <c r="F401" s="275"/>
      <c r="G401" s="275"/>
      <c r="H401" s="275"/>
      <c r="I401" s="275"/>
      <c r="J401" s="275"/>
      <c r="K401" s="275"/>
      <c r="L401" s="275"/>
      <c r="M401" s="275"/>
      <c r="N401" s="275"/>
    </row>
    <row r="402">
      <c r="B402" s="275"/>
      <c r="C402" s="275"/>
      <c r="D402" s="275"/>
      <c r="E402" s="275"/>
      <c r="F402" s="275"/>
      <c r="G402" s="275"/>
      <c r="H402" s="275"/>
      <c r="I402" s="275"/>
      <c r="J402" s="275"/>
      <c r="K402" s="275"/>
      <c r="L402" s="275"/>
      <c r="M402" s="275"/>
      <c r="N402" s="275"/>
    </row>
    <row r="403">
      <c r="B403" s="275"/>
      <c r="C403" s="275"/>
      <c r="D403" s="275"/>
      <c r="E403" s="275"/>
      <c r="F403" s="275"/>
      <c r="G403" s="275"/>
      <c r="H403" s="275"/>
      <c r="I403" s="275"/>
      <c r="J403" s="275"/>
      <c r="K403" s="275"/>
      <c r="L403" s="275"/>
      <c r="M403" s="275"/>
      <c r="N403" s="275"/>
    </row>
    <row r="404">
      <c r="B404" s="275"/>
      <c r="C404" s="275"/>
      <c r="D404" s="275"/>
      <c r="E404" s="275"/>
      <c r="F404" s="275"/>
      <c r="G404" s="275"/>
      <c r="H404" s="275"/>
      <c r="I404" s="275"/>
      <c r="J404" s="275"/>
      <c r="K404" s="275"/>
      <c r="L404" s="275"/>
      <c r="M404" s="275"/>
      <c r="N404" s="275"/>
    </row>
    <row r="405">
      <c r="B405" s="275"/>
      <c r="C405" s="275"/>
      <c r="D405" s="275"/>
      <c r="E405" s="275"/>
      <c r="F405" s="275"/>
      <c r="G405" s="275"/>
      <c r="H405" s="275"/>
      <c r="I405" s="275"/>
      <c r="J405" s="275"/>
      <c r="K405" s="275"/>
      <c r="L405" s="275"/>
      <c r="M405" s="275"/>
      <c r="N405" s="275"/>
    </row>
    <row r="406">
      <c r="B406" s="275"/>
      <c r="C406" s="275"/>
      <c r="D406" s="275"/>
      <c r="E406" s="275"/>
      <c r="F406" s="275"/>
      <c r="G406" s="275"/>
      <c r="H406" s="275"/>
      <c r="I406" s="275"/>
      <c r="J406" s="275"/>
      <c r="K406" s="275"/>
      <c r="L406" s="275"/>
      <c r="M406" s="275"/>
      <c r="N406" s="275"/>
    </row>
    <row r="407">
      <c r="B407" s="275"/>
      <c r="C407" s="275"/>
      <c r="D407" s="275"/>
      <c r="E407" s="275"/>
      <c r="F407" s="275"/>
      <c r="G407" s="275"/>
      <c r="H407" s="275"/>
      <c r="I407" s="275"/>
      <c r="J407" s="275"/>
      <c r="K407" s="275"/>
      <c r="L407" s="275"/>
      <c r="M407" s="275"/>
      <c r="N407" s="275"/>
    </row>
    <row r="408">
      <c r="B408" s="275"/>
      <c r="C408" s="275"/>
      <c r="D408" s="275"/>
      <c r="E408" s="275"/>
      <c r="F408" s="275"/>
      <c r="G408" s="275"/>
      <c r="H408" s="275"/>
      <c r="I408" s="275"/>
      <c r="J408" s="275"/>
      <c r="K408" s="275"/>
      <c r="L408" s="275"/>
      <c r="M408" s="275"/>
      <c r="N408" s="275"/>
    </row>
    <row r="409">
      <c r="B409" s="275"/>
      <c r="C409" s="275"/>
      <c r="D409" s="275"/>
      <c r="E409" s="275"/>
      <c r="F409" s="275"/>
      <c r="G409" s="275"/>
      <c r="H409" s="275"/>
      <c r="I409" s="275"/>
      <c r="J409" s="275"/>
      <c r="K409" s="275"/>
      <c r="L409" s="275"/>
      <c r="M409" s="275"/>
      <c r="N409" s="275"/>
    </row>
    <row r="410">
      <c r="B410" s="275"/>
      <c r="C410" s="275"/>
      <c r="D410" s="275"/>
      <c r="E410" s="275"/>
      <c r="F410" s="275"/>
      <c r="G410" s="275"/>
      <c r="H410" s="275"/>
      <c r="I410" s="275"/>
      <c r="J410" s="275"/>
      <c r="K410" s="275"/>
      <c r="L410" s="275"/>
      <c r="M410" s="275"/>
      <c r="N410" s="275"/>
    </row>
    <row r="411">
      <c r="B411" s="275"/>
      <c r="C411" s="275"/>
      <c r="D411" s="275"/>
      <c r="E411" s="275"/>
      <c r="F411" s="275"/>
      <c r="G411" s="275"/>
      <c r="H411" s="275"/>
      <c r="I411" s="275"/>
      <c r="J411" s="275"/>
      <c r="K411" s="275"/>
      <c r="L411" s="275"/>
      <c r="M411" s="275"/>
      <c r="N411" s="275"/>
    </row>
    <row r="412">
      <c r="B412" s="275"/>
      <c r="C412" s="275"/>
      <c r="D412" s="275"/>
      <c r="E412" s="275"/>
      <c r="F412" s="275"/>
      <c r="G412" s="275"/>
      <c r="H412" s="275"/>
      <c r="I412" s="275"/>
      <c r="J412" s="275"/>
      <c r="K412" s="275"/>
      <c r="L412" s="275"/>
      <c r="M412" s="275"/>
      <c r="N412" s="275"/>
    </row>
    <row r="413">
      <c r="B413" s="275"/>
      <c r="C413" s="275"/>
      <c r="D413" s="275"/>
      <c r="E413" s="275"/>
      <c r="F413" s="275"/>
      <c r="G413" s="275"/>
      <c r="H413" s="275"/>
      <c r="I413" s="275"/>
      <c r="J413" s="275"/>
      <c r="K413" s="275"/>
      <c r="L413" s="275"/>
      <c r="M413" s="275"/>
      <c r="N413" s="275"/>
    </row>
    <row r="414">
      <c r="B414" s="275"/>
      <c r="C414" s="275"/>
      <c r="D414" s="275"/>
      <c r="E414" s="275"/>
      <c r="F414" s="275"/>
      <c r="G414" s="275"/>
      <c r="H414" s="275"/>
      <c r="I414" s="275"/>
      <c r="J414" s="275"/>
      <c r="K414" s="275"/>
      <c r="L414" s="275"/>
      <c r="M414" s="275"/>
      <c r="N414" s="275"/>
    </row>
    <row r="415">
      <c r="B415" s="275"/>
      <c r="C415" s="275"/>
      <c r="D415" s="275"/>
      <c r="E415" s="275"/>
      <c r="F415" s="275"/>
      <c r="G415" s="275"/>
      <c r="H415" s="275"/>
      <c r="I415" s="275"/>
      <c r="J415" s="275"/>
      <c r="K415" s="275"/>
      <c r="L415" s="275"/>
      <c r="M415" s="275"/>
      <c r="N415" s="275"/>
    </row>
    <row r="416">
      <c r="B416" s="275"/>
      <c r="C416" s="275"/>
      <c r="D416" s="275"/>
      <c r="E416" s="275"/>
      <c r="F416" s="275"/>
      <c r="G416" s="275"/>
      <c r="H416" s="275"/>
      <c r="I416" s="275"/>
      <c r="J416" s="275"/>
      <c r="K416" s="275"/>
      <c r="L416" s="275"/>
      <c r="M416" s="275"/>
      <c r="N416" s="275"/>
    </row>
    <row r="417">
      <c r="B417" s="275"/>
      <c r="C417" s="275"/>
      <c r="D417" s="275"/>
      <c r="E417" s="275"/>
      <c r="F417" s="275"/>
      <c r="G417" s="275"/>
      <c r="H417" s="275"/>
      <c r="I417" s="275"/>
      <c r="J417" s="275"/>
      <c r="K417" s="275"/>
      <c r="L417" s="275"/>
      <c r="M417" s="275"/>
      <c r="N417" s="275"/>
    </row>
    <row r="418">
      <c r="B418" s="275"/>
      <c r="C418" s="275"/>
      <c r="D418" s="275"/>
      <c r="E418" s="275"/>
      <c r="F418" s="275"/>
      <c r="G418" s="275"/>
      <c r="H418" s="275"/>
      <c r="I418" s="275"/>
      <c r="J418" s="275"/>
      <c r="K418" s="275"/>
      <c r="L418" s="275"/>
      <c r="M418" s="275"/>
      <c r="N418" s="275"/>
    </row>
    <row r="419">
      <c r="B419" s="275"/>
      <c r="C419" s="275"/>
      <c r="D419" s="275"/>
      <c r="E419" s="275"/>
      <c r="F419" s="275"/>
      <c r="G419" s="275"/>
      <c r="H419" s="275"/>
      <c r="I419" s="275"/>
      <c r="J419" s="275"/>
      <c r="K419" s="275"/>
      <c r="L419" s="275"/>
      <c r="M419" s="275"/>
      <c r="N419" s="275"/>
    </row>
    <row r="420">
      <c r="B420" s="275"/>
      <c r="C420" s="275"/>
      <c r="D420" s="275"/>
      <c r="E420" s="275"/>
      <c r="F420" s="275"/>
      <c r="G420" s="275"/>
      <c r="H420" s="275"/>
      <c r="I420" s="275"/>
      <c r="J420" s="275"/>
      <c r="K420" s="275"/>
      <c r="L420" s="275"/>
      <c r="M420" s="275"/>
      <c r="N420" s="275"/>
    </row>
    <row r="421">
      <c r="B421" s="275"/>
      <c r="C421" s="275"/>
      <c r="D421" s="275"/>
      <c r="E421" s="275"/>
      <c r="F421" s="275"/>
      <c r="G421" s="275"/>
      <c r="H421" s="275"/>
      <c r="I421" s="275"/>
      <c r="J421" s="275"/>
      <c r="K421" s="275"/>
      <c r="L421" s="275"/>
      <c r="M421" s="275"/>
      <c r="N421" s="275"/>
    </row>
    <row r="422">
      <c r="B422" s="275"/>
      <c r="C422" s="275"/>
      <c r="D422" s="275"/>
      <c r="E422" s="275"/>
      <c r="F422" s="275"/>
      <c r="G422" s="275"/>
      <c r="H422" s="275"/>
      <c r="I422" s="275"/>
      <c r="J422" s="275"/>
      <c r="K422" s="275"/>
      <c r="L422" s="275"/>
      <c r="M422" s="275"/>
      <c r="N422" s="275"/>
    </row>
    <row r="423">
      <c r="B423" s="275"/>
      <c r="C423" s="275"/>
      <c r="D423" s="275"/>
      <c r="E423" s="275"/>
      <c r="F423" s="275"/>
      <c r="G423" s="275"/>
      <c r="H423" s="275"/>
      <c r="I423" s="275"/>
      <c r="J423" s="275"/>
      <c r="K423" s="275"/>
      <c r="L423" s="275"/>
      <c r="M423" s="275"/>
      <c r="N423" s="275"/>
    </row>
    <row r="424">
      <c r="B424" s="275"/>
      <c r="C424" s="275"/>
      <c r="D424" s="275"/>
      <c r="E424" s="275"/>
      <c r="F424" s="275"/>
      <c r="G424" s="275"/>
      <c r="H424" s="275"/>
      <c r="I424" s="275"/>
      <c r="J424" s="275"/>
      <c r="K424" s="275"/>
      <c r="L424" s="275"/>
      <c r="M424" s="275"/>
      <c r="N424" s="275"/>
    </row>
    <row r="425">
      <c r="B425" s="275"/>
      <c r="C425" s="275"/>
      <c r="D425" s="275"/>
      <c r="E425" s="275"/>
      <c r="F425" s="275"/>
      <c r="G425" s="275"/>
      <c r="H425" s="275"/>
      <c r="I425" s="275"/>
      <c r="J425" s="275"/>
      <c r="K425" s="275"/>
      <c r="L425" s="275"/>
      <c r="M425" s="275"/>
      <c r="N425" s="275"/>
    </row>
    <row r="426">
      <c r="B426" s="275"/>
      <c r="C426" s="275"/>
      <c r="D426" s="275"/>
      <c r="E426" s="275"/>
      <c r="F426" s="275"/>
      <c r="G426" s="275"/>
      <c r="H426" s="275"/>
      <c r="I426" s="275"/>
      <c r="J426" s="275"/>
      <c r="K426" s="275"/>
      <c r="L426" s="275"/>
      <c r="M426" s="275"/>
      <c r="N426" s="275"/>
    </row>
    <row r="427">
      <c r="B427" s="275"/>
      <c r="C427" s="275"/>
      <c r="D427" s="275"/>
      <c r="E427" s="275"/>
      <c r="F427" s="275"/>
      <c r="G427" s="275"/>
      <c r="H427" s="275"/>
      <c r="I427" s="275"/>
      <c r="J427" s="275"/>
      <c r="K427" s="275"/>
      <c r="L427" s="275"/>
      <c r="M427" s="275"/>
      <c r="N427" s="275"/>
    </row>
    <row r="428">
      <c r="B428" s="275"/>
      <c r="C428" s="275"/>
      <c r="D428" s="275"/>
      <c r="E428" s="275"/>
      <c r="F428" s="275"/>
      <c r="G428" s="275"/>
      <c r="H428" s="275"/>
      <c r="I428" s="275"/>
      <c r="J428" s="275"/>
      <c r="K428" s="275"/>
      <c r="L428" s="275"/>
      <c r="M428" s="275"/>
      <c r="N428" s="275"/>
    </row>
    <row r="429">
      <c r="B429" s="275"/>
      <c r="C429" s="275"/>
      <c r="D429" s="275"/>
      <c r="E429" s="275"/>
      <c r="F429" s="275"/>
      <c r="G429" s="275"/>
      <c r="H429" s="275"/>
      <c r="I429" s="275"/>
      <c r="J429" s="275"/>
      <c r="K429" s="275"/>
      <c r="L429" s="275"/>
      <c r="M429" s="275"/>
      <c r="N429" s="275"/>
    </row>
    <row r="430">
      <c r="B430" s="275"/>
      <c r="C430" s="275"/>
      <c r="D430" s="275"/>
      <c r="E430" s="275"/>
      <c r="F430" s="275"/>
      <c r="G430" s="275"/>
      <c r="H430" s="275"/>
      <c r="I430" s="275"/>
      <c r="J430" s="275"/>
      <c r="K430" s="275"/>
      <c r="L430" s="275"/>
      <c r="M430" s="275"/>
      <c r="N430" s="275"/>
    </row>
    <row r="431">
      <c r="B431" s="275"/>
      <c r="C431" s="275"/>
      <c r="D431" s="275"/>
      <c r="E431" s="275"/>
      <c r="F431" s="275"/>
      <c r="G431" s="275"/>
      <c r="H431" s="275"/>
      <c r="I431" s="275"/>
      <c r="J431" s="275"/>
      <c r="K431" s="275"/>
      <c r="L431" s="275"/>
      <c r="M431" s="275"/>
      <c r="N431" s="275"/>
    </row>
    <row r="432">
      <c r="B432" s="275"/>
      <c r="C432" s="275"/>
      <c r="D432" s="275"/>
      <c r="E432" s="275"/>
      <c r="F432" s="275"/>
      <c r="G432" s="275"/>
      <c r="H432" s="275"/>
      <c r="I432" s="275"/>
      <c r="J432" s="275"/>
      <c r="K432" s="275"/>
      <c r="L432" s="275"/>
      <c r="M432" s="275"/>
      <c r="N432" s="275"/>
    </row>
    <row r="433">
      <c r="B433" s="275"/>
      <c r="C433" s="275"/>
      <c r="D433" s="275"/>
      <c r="E433" s="275"/>
      <c r="F433" s="275"/>
      <c r="G433" s="275"/>
      <c r="H433" s="275"/>
      <c r="I433" s="275"/>
      <c r="J433" s="275"/>
      <c r="K433" s="275"/>
      <c r="L433" s="275"/>
      <c r="M433" s="275"/>
      <c r="N433" s="275"/>
    </row>
    <row r="434">
      <c r="B434" s="275"/>
      <c r="C434" s="275"/>
      <c r="D434" s="275"/>
      <c r="E434" s="275"/>
      <c r="F434" s="275"/>
      <c r="G434" s="275"/>
      <c r="H434" s="275"/>
      <c r="I434" s="275"/>
      <c r="J434" s="275"/>
      <c r="K434" s="275"/>
      <c r="L434" s="275"/>
      <c r="M434" s="275"/>
      <c r="N434" s="275"/>
    </row>
    <row r="435">
      <c r="B435" s="275"/>
      <c r="C435" s="275"/>
      <c r="D435" s="275"/>
      <c r="E435" s="275"/>
      <c r="F435" s="275"/>
      <c r="G435" s="275"/>
      <c r="H435" s="275"/>
      <c r="I435" s="275"/>
      <c r="J435" s="275"/>
      <c r="K435" s="275"/>
      <c r="L435" s="275"/>
      <c r="M435" s="275"/>
      <c r="N435" s="275"/>
    </row>
    <row r="436">
      <c r="B436" s="275"/>
      <c r="C436" s="275"/>
      <c r="D436" s="275"/>
      <c r="E436" s="275"/>
      <c r="F436" s="275"/>
      <c r="G436" s="275"/>
      <c r="H436" s="275"/>
      <c r="I436" s="275"/>
      <c r="J436" s="275"/>
      <c r="K436" s="275"/>
      <c r="L436" s="275"/>
      <c r="M436" s="275"/>
      <c r="N436" s="275"/>
    </row>
    <row r="437">
      <c r="B437" s="275"/>
      <c r="C437" s="275"/>
      <c r="D437" s="275"/>
      <c r="E437" s="275"/>
      <c r="F437" s="275"/>
      <c r="G437" s="275"/>
      <c r="H437" s="275"/>
      <c r="I437" s="275"/>
      <c r="J437" s="275"/>
      <c r="K437" s="275"/>
      <c r="L437" s="275"/>
      <c r="M437" s="275"/>
      <c r="N437" s="275"/>
    </row>
    <row r="438">
      <c r="B438" s="275"/>
      <c r="C438" s="275"/>
      <c r="D438" s="275"/>
      <c r="E438" s="275"/>
      <c r="F438" s="275"/>
      <c r="G438" s="275"/>
      <c r="H438" s="275"/>
      <c r="I438" s="275"/>
      <c r="J438" s="275"/>
      <c r="K438" s="275"/>
      <c r="L438" s="275"/>
      <c r="M438" s="275"/>
      <c r="N438" s="275"/>
    </row>
    <row r="439">
      <c r="B439" s="275"/>
      <c r="C439" s="275"/>
      <c r="D439" s="275"/>
      <c r="E439" s="275"/>
      <c r="F439" s="275"/>
      <c r="G439" s="275"/>
      <c r="H439" s="275"/>
      <c r="I439" s="275"/>
      <c r="J439" s="275"/>
      <c r="K439" s="275"/>
      <c r="L439" s="275"/>
      <c r="M439" s="275"/>
      <c r="N439" s="275"/>
    </row>
    <row r="440">
      <c r="B440" s="275"/>
      <c r="C440" s="275"/>
      <c r="D440" s="275"/>
      <c r="E440" s="275"/>
      <c r="F440" s="275"/>
      <c r="G440" s="275"/>
      <c r="H440" s="275"/>
      <c r="I440" s="275"/>
      <c r="J440" s="275"/>
      <c r="K440" s="275"/>
      <c r="L440" s="275"/>
      <c r="M440" s="275"/>
      <c r="N440" s="275"/>
    </row>
    <row r="441">
      <c r="B441" s="275"/>
      <c r="C441" s="275"/>
      <c r="D441" s="275"/>
      <c r="E441" s="275"/>
      <c r="F441" s="275"/>
      <c r="G441" s="275"/>
      <c r="H441" s="275"/>
      <c r="I441" s="275"/>
      <c r="J441" s="275"/>
      <c r="K441" s="275"/>
      <c r="L441" s="275"/>
      <c r="M441" s="275"/>
      <c r="N441" s="275"/>
    </row>
    <row r="442">
      <c r="B442" s="275"/>
      <c r="C442" s="275"/>
      <c r="D442" s="275"/>
      <c r="E442" s="275"/>
      <c r="F442" s="275"/>
      <c r="G442" s="275"/>
      <c r="H442" s="275"/>
      <c r="I442" s="275"/>
      <c r="J442" s="275"/>
      <c r="K442" s="275"/>
      <c r="L442" s="275"/>
      <c r="M442" s="275"/>
      <c r="N442" s="275"/>
    </row>
    <row r="443">
      <c r="B443" s="275"/>
      <c r="C443" s="275"/>
      <c r="D443" s="275"/>
      <c r="E443" s="275"/>
      <c r="F443" s="275"/>
      <c r="G443" s="275"/>
      <c r="H443" s="275"/>
      <c r="I443" s="275"/>
      <c r="J443" s="275"/>
      <c r="K443" s="275"/>
      <c r="L443" s="275"/>
      <c r="M443" s="275"/>
      <c r="N443" s="275"/>
    </row>
    <row r="444">
      <c r="B444" s="275"/>
      <c r="C444" s="275"/>
      <c r="D444" s="275"/>
      <c r="E444" s="275"/>
      <c r="F444" s="275"/>
      <c r="G444" s="275"/>
      <c r="H444" s="275"/>
      <c r="I444" s="275"/>
      <c r="J444" s="275"/>
      <c r="K444" s="275"/>
      <c r="L444" s="275"/>
      <c r="M444" s="275"/>
      <c r="N444" s="275"/>
    </row>
    <row r="445">
      <c r="B445" s="275"/>
      <c r="C445" s="275"/>
      <c r="D445" s="275"/>
      <c r="E445" s="275"/>
      <c r="F445" s="275"/>
      <c r="G445" s="275"/>
      <c r="H445" s="275"/>
      <c r="I445" s="275"/>
      <c r="J445" s="275"/>
      <c r="K445" s="275"/>
      <c r="L445" s="275"/>
      <c r="M445" s="275"/>
      <c r="N445" s="275"/>
    </row>
    <row r="446">
      <c r="B446" s="275"/>
      <c r="C446" s="275"/>
      <c r="D446" s="275"/>
      <c r="E446" s="275"/>
      <c r="F446" s="275"/>
      <c r="G446" s="275"/>
      <c r="H446" s="275"/>
      <c r="I446" s="275"/>
      <c r="J446" s="275"/>
      <c r="K446" s="275"/>
      <c r="L446" s="275"/>
      <c r="M446" s="275"/>
      <c r="N446" s="275"/>
    </row>
    <row r="447">
      <c r="B447" s="275"/>
      <c r="C447" s="275"/>
      <c r="D447" s="275"/>
      <c r="E447" s="275"/>
      <c r="F447" s="275"/>
      <c r="G447" s="275"/>
      <c r="H447" s="275"/>
      <c r="I447" s="275"/>
      <c r="J447" s="275"/>
      <c r="K447" s="275"/>
      <c r="L447" s="275"/>
      <c r="M447" s="275"/>
      <c r="N447" s="275"/>
    </row>
    <row r="448">
      <c r="B448" s="275"/>
      <c r="C448" s="275"/>
      <c r="D448" s="275"/>
      <c r="E448" s="275"/>
      <c r="F448" s="275"/>
      <c r="G448" s="275"/>
      <c r="H448" s="275"/>
      <c r="I448" s="275"/>
      <c r="J448" s="275"/>
      <c r="K448" s="275"/>
      <c r="L448" s="275"/>
      <c r="M448" s="275"/>
      <c r="N448" s="275"/>
    </row>
    <row r="449">
      <c r="B449" s="275"/>
      <c r="C449" s="275"/>
      <c r="D449" s="275"/>
      <c r="E449" s="275"/>
      <c r="F449" s="275"/>
      <c r="G449" s="275"/>
      <c r="H449" s="275"/>
      <c r="I449" s="275"/>
      <c r="J449" s="275"/>
      <c r="K449" s="275"/>
      <c r="L449" s="275"/>
      <c r="M449" s="275"/>
      <c r="N449" s="275"/>
    </row>
    <row r="450">
      <c r="B450" s="275"/>
      <c r="C450" s="275"/>
      <c r="D450" s="275"/>
      <c r="E450" s="275"/>
      <c r="F450" s="275"/>
      <c r="G450" s="275"/>
      <c r="H450" s="275"/>
      <c r="I450" s="275"/>
      <c r="J450" s="275"/>
      <c r="K450" s="275"/>
      <c r="L450" s="275"/>
      <c r="M450" s="275"/>
      <c r="N450" s="275"/>
    </row>
    <row r="451">
      <c r="B451" s="275"/>
      <c r="C451" s="275"/>
      <c r="D451" s="275"/>
      <c r="E451" s="275"/>
      <c r="F451" s="275"/>
      <c r="G451" s="275"/>
      <c r="H451" s="275"/>
      <c r="I451" s="275"/>
      <c r="J451" s="275"/>
      <c r="K451" s="275"/>
      <c r="L451" s="275"/>
      <c r="M451" s="275"/>
      <c r="N451" s="275"/>
    </row>
    <row r="452">
      <c r="B452" s="275"/>
      <c r="C452" s="275"/>
      <c r="D452" s="275"/>
      <c r="E452" s="275"/>
      <c r="F452" s="275"/>
      <c r="G452" s="275"/>
      <c r="H452" s="275"/>
      <c r="I452" s="275"/>
      <c r="J452" s="275"/>
      <c r="K452" s="275"/>
      <c r="L452" s="275"/>
      <c r="M452" s="275"/>
      <c r="N452" s="275"/>
    </row>
    <row r="453">
      <c r="B453" s="275"/>
      <c r="C453" s="275"/>
      <c r="D453" s="275"/>
      <c r="E453" s="275"/>
      <c r="F453" s="275"/>
      <c r="G453" s="275"/>
      <c r="H453" s="275"/>
      <c r="I453" s="275"/>
      <c r="J453" s="275"/>
      <c r="K453" s="275"/>
      <c r="L453" s="275"/>
      <c r="M453" s="275"/>
      <c r="N453" s="275"/>
    </row>
    <row r="454">
      <c r="B454" s="275"/>
      <c r="C454" s="275"/>
      <c r="D454" s="275"/>
      <c r="E454" s="275"/>
      <c r="F454" s="275"/>
      <c r="G454" s="275"/>
      <c r="H454" s="275"/>
      <c r="I454" s="275"/>
      <c r="J454" s="275"/>
      <c r="K454" s="275"/>
      <c r="L454" s="275"/>
      <c r="M454" s="275"/>
      <c r="N454" s="275"/>
    </row>
    <row r="455">
      <c r="B455" s="275"/>
      <c r="C455" s="275"/>
      <c r="D455" s="275"/>
      <c r="E455" s="275"/>
      <c r="F455" s="275"/>
      <c r="G455" s="275"/>
      <c r="H455" s="275"/>
      <c r="I455" s="275"/>
      <c r="J455" s="275"/>
      <c r="K455" s="275"/>
      <c r="L455" s="275"/>
      <c r="M455" s="275"/>
      <c r="N455" s="275"/>
    </row>
    <row r="456">
      <c r="B456" s="275"/>
      <c r="C456" s="275"/>
      <c r="D456" s="275"/>
      <c r="E456" s="275"/>
      <c r="F456" s="275"/>
      <c r="G456" s="275"/>
      <c r="H456" s="275"/>
      <c r="I456" s="275"/>
      <c r="J456" s="275"/>
      <c r="K456" s="275"/>
      <c r="L456" s="275"/>
      <c r="M456" s="275"/>
      <c r="N456" s="275"/>
    </row>
    <row r="457">
      <c r="B457" s="275"/>
      <c r="C457" s="275"/>
      <c r="D457" s="275"/>
      <c r="E457" s="275"/>
      <c r="F457" s="275"/>
      <c r="G457" s="275"/>
      <c r="H457" s="275"/>
      <c r="I457" s="275"/>
      <c r="J457" s="275"/>
      <c r="K457" s="275"/>
      <c r="L457" s="275"/>
      <c r="M457" s="275"/>
      <c r="N457" s="275"/>
    </row>
    <row r="458">
      <c r="B458" s="275"/>
      <c r="C458" s="275"/>
      <c r="D458" s="275"/>
      <c r="E458" s="275"/>
      <c r="F458" s="275"/>
      <c r="G458" s="275"/>
      <c r="H458" s="275"/>
      <c r="I458" s="275"/>
      <c r="J458" s="275"/>
      <c r="K458" s="275"/>
      <c r="L458" s="275"/>
      <c r="M458" s="275"/>
      <c r="N458" s="275"/>
    </row>
    <row r="459">
      <c r="B459" s="275"/>
      <c r="C459" s="275"/>
      <c r="D459" s="275"/>
      <c r="E459" s="275"/>
      <c r="F459" s="275"/>
      <c r="G459" s="275"/>
      <c r="H459" s="275"/>
      <c r="I459" s="275"/>
      <c r="J459" s="275"/>
      <c r="K459" s="275"/>
      <c r="L459" s="275"/>
      <c r="M459" s="275"/>
      <c r="N459" s="275"/>
    </row>
    <row r="460">
      <c r="B460" s="275"/>
      <c r="C460" s="275"/>
      <c r="D460" s="275"/>
      <c r="E460" s="275"/>
      <c r="F460" s="275"/>
      <c r="G460" s="275"/>
      <c r="H460" s="275"/>
      <c r="I460" s="275"/>
      <c r="J460" s="275"/>
      <c r="K460" s="275"/>
      <c r="L460" s="275"/>
      <c r="M460" s="275"/>
      <c r="N460" s="275"/>
    </row>
    <row r="461">
      <c r="B461" s="275"/>
      <c r="C461" s="275"/>
      <c r="D461" s="275"/>
      <c r="E461" s="275"/>
      <c r="F461" s="275"/>
      <c r="G461" s="275"/>
      <c r="H461" s="275"/>
      <c r="I461" s="275"/>
      <c r="J461" s="275"/>
      <c r="K461" s="275"/>
      <c r="L461" s="275"/>
      <c r="M461" s="275"/>
      <c r="N461" s="275"/>
    </row>
    <row r="462">
      <c r="B462" s="275"/>
      <c r="C462" s="275"/>
      <c r="D462" s="275"/>
      <c r="E462" s="275"/>
      <c r="F462" s="275"/>
      <c r="G462" s="275"/>
      <c r="H462" s="275"/>
      <c r="I462" s="275"/>
      <c r="J462" s="275"/>
      <c r="K462" s="275"/>
      <c r="L462" s="275"/>
      <c r="M462" s="275"/>
      <c r="N462" s="275"/>
    </row>
    <row r="463">
      <c r="B463" s="275"/>
      <c r="C463" s="275"/>
      <c r="D463" s="275"/>
      <c r="E463" s="275"/>
      <c r="F463" s="275"/>
      <c r="G463" s="275"/>
      <c r="H463" s="275"/>
      <c r="I463" s="275"/>
      <c r="J463" s="275"/>
      <c r="K463" s="275"/>
      <c r="L463" s="275"/>
      <c r="M463" s="275"/>
      <c r="N463" s="275"/>
    </row>
    <row r="464">
      <c r="B464" s="275"/>
      <c r="C464" s="275"/>
      <c r="D464" s="275"/>
      <c r="E464" s="275"/>
      <c r="F464" s="275"/>
      <c r="G464" s="275"/>
      <c r="H464" s="275"/>
      <c r="I464" s="275"/>
      <c r="J464" s="275"/>
      <c r="K464" s="275"/>
      <c r="L464" s="275"/>
      <c r="M464" s="275"/>
      <c r="N464" s="275"/>
    </row>
    <row r="465">
      <c r="B465" s="275"/>
      <c r="C465" s="275"/>
      <c r="D465" s="275"/>
      <c r="E465" s="275"/>
      <c r="F465" s="275"/>
      <c r="G465" s="275"/>
      <c r="H465" s="275"/>
      <c r="I465" s="275"/>
      <c r="J465" s="275"/>
      <c r="K465" s="275"/>
      <c r="L465" s="275"/>
      <c r="M465" s="275"/>
      <c r="N465" s="275"/>
    </row>
    <row r="466">
      <c r="B466" s="275"/>
      <c r="C466" s="275"/>
      <c r="D466" s="275"/>
      <c r="E466" s="275"/>
      <c r="F466" s="275"/>
      <c r="G466" s="275"/>
      <c r="H466" s="275"/>
      <c r="I466" s="275"/>
      <c r="J466" s="275"/>
      <c r="K466" s="275"/>
      <c r="L466" s="275"/>
      <c r="M466" s="275"/>
      <c r="N466" s="275"/>
    </row>
    <row r="467">
      <c r="B467" s="275"/>
      <c r="C467" s="275"/>
      <c r="D467" s="275"/>
      <c r="E467" s="275"/>
      <c r="F467" s="275"/>
      <c r="G467" s="275"/>
      <c r="H467" s="275"/>
      <c r="I467" s="275"/>
      <c r="J467" s="275"/>
      <c r="K467" s="275"/>
      <c r="L467" s="275"/>
      <c r="M467" s="275"/>
      <c r="N467" s="275"/>
    </row>
    <row r="468">
      <c r="B468" s="275"/>
      <c r="C468" s="275"/>
      <c r="D468" s="275"/>
      <c r="E468" s="275"/>
      <c r="F468" s="275"/>
      <c r="G468" s="275"/>
      <c r="H468" s="275"/>
      <c r="I468" s="275"/>
      <c r="J468" s="275"/>
      <c r="K468" s="275"/>
      <c r="L468" s="275"/>
      <c r="M468" s="275"/>
      <c r="N468" s="275"/>
    </row>
    <row r="469">
      <c r="B469" s="275"/>
      <c r="C469" s="275"/>
      <c r="D469" s="275"/>
      <c r="E469" s="275"/>
      <c r="F469" s="275"/>
      <c r="G469" s="275"/>
      <c r="H469" s="275"/>
      <c r="I469" s="275"/>
      <c r="J469" s="275"/>
      <c r="K469" s="275"/>
      <c r="L469" s="275"/>
      <c r="M469" s="275"/>
      <c r="N469" s="275"/>
    </row>
    <row r="470">
      <c r="B470" s="275"/>
      <c r="C470" s="275"/>
      <c r="D470" s="275"/>
      <c r="E470" s="275"/>
      <c r="F470" s="275"/>
      <c r="G470" s="275"/>
      <c r="H470" s="275"/>
      <c r="I470" s="275"/>
      <c r="J470" s="275"/>
      <c r="K470" s="275"/>
      <c r="L470" s="275"/>
      <c r="M470" s="275"/>
      <c r="N470" s="275"/>
    </row>
    <row r="471">
      <c r="B471" s="275"/>
      <c r="C471" s="275"/>
      <c r="D471" s="275"/>
      <c r="E471" s="275"/>
      <c r="F471" s="275"/>
      <c r="G471" s="275"/>
      <c r="H471" s="275"/>
      <c r="I471" s="275"/>
      <c r="J471" s="275"/>
      <c r="K471" s="275"/>
      <c r="L471" s="275"/>
      <c r="M471" s="275"/>
      <c r="N471" s="275"/>
    </row>
    <row r="472">
      <c r="B472" s="275"/>
      <c r="C472" s="275"/>
      <c r="D472" s="275"/>
      <c r="E472" s="275"/>
      <c r="F472" s="275"/>
      <c r="G472" s="275"/>
      <c r="H472" s="275"/>
      <c r="I472" s="275"/>
      <c r="J472" s="275"/>
      <c r="K472" s="275"/>
      <c r="L472" s="275"/>
      <c r="M472" s="275"/>
      <c r="N472" s="275"/>
    </row>
    <row r="473">
      <c r="B473" s="275"/>
      <c r="C473" s="275"/>
      <c r="D473" s="275"/>
      <c r="E473" s="275"/>
      <c r="F473" s="275"/>
      <c r="G473" s="275"/>
      <c r="H473" s="275"/>
      <c r="I473" s="275"/>
      <c r="J473" s="275"/>
      <c r="K473" s="275"/>
      <c r="L473" s="275"/>
      <c r="M473" s="275"/>
      <c r="N473" s="275"/>
    </row>
    <row r="474">
      <c r="B474" s="275"/>
      <c r="C474" s="275"/>
      <c r="D474" s="275"/>
      <c r="E474" s="275"/>
      <c r="F474" s="275"/>
      <c r="G474" s="275"/>
      <c r="H474" s="275"/>
      <c r="I474" s="275"/>
      <c r="J474" s="275"/>
      <c r="K474" s="275"/>
      <c r="L474" s="275"/>
      <c r="M474" s="275"/>
      <c r="N474" s="275"/>
    </row>
    <row r="475">
      <c r="B475" s="275"/>
      <c r="C475" s="275"/>
      <c r="D475" s="275"/>
      <c r="E475" s="275"/>
      <c r="F475" s="275"/>
      <c r="G475" s="275"/>
      <c r="H475" s="275"/>
      <c r="I475" s="275"/>
      <c r="J475" s="275"/>
      <c r="K475" s="275"/>
      <c r="L475" s="275"/>
      <c r="M475" s="275"/>
      <c r="N475" s="275"/>
    </row>
    <row r="476">
      <c r="B476" s="275"/>
      <c r="C476" s="275"/>
      <c r="D476" s="275"/>
      <c r="E476" s="275"/>
      <c r="F476" s="275"/>
      <c r="G476" s="275"/>
      <c r="H476" s="275"/>
      <c r="I476" s="275"/>
      <c r="J476" s="275"/>
      <c r="K476" s="275"/>
      <c r="L476" s="275"/>
      <c r="M476" s="275"/>
      <c r="N476" s="275"/>
    </row>
    <row r="477">
      <c r="B477" s="275"/>
      <c r="C477" s="275"/>
      <c r="D477" s="275"/>
      <c r="E477" s="275"/>
      <c r="F477" s="275"/>
      <c r="G477" s="275"/>
      <c r="H477" s="275"/>
      <c r="I477" s="275"/>
      <c r="J477" s="275"/>
      <c r="K477" s="275"/>
      <c r="L477" s="275"/>
      <c r="M477" s="275"/>
      <c r="N477" s="275"/>
    </row>
    <row r="478">
      <c r="B478" s="275"/>
      <c r="C478" s="275"/>
      <c r="D478" s="275"/>
      <c r="E478" s="275"/>
      <c r="F478" s="275"/>
      <c r="G478" s="275"/>
      <c r="H478" s="275"/>
      <c r="I478" s="275"/>
      <c r="J478" s="275"/>
      <c r="K478" s="275"/>
      <c r="L478" s="275"/>
      <c r="M478" s="275"/>
      <c r="N478" s="275"/>
    </row>
    <row r="479">
      <c r="B479" s="275"/>
      <c r="C479" s="275"/>
      <c r="D479" s="275"/>
      <c r="E479" s="275"/>
      <c r="F479" s="275"/>
      <c r="G479" s="275"/>
      <c r="H479" s="275"/>
      <c r="I479" s="275"/>
      <c r="J479" s="275"/>
      <c r="K479" s="275"/>
      <c r="L479" s="275"/>
      <c r="M479" s="275"/>
      <c r="N479" s="275"/>
    </row>
    <row r="480">
      <c r="B480" s="275"/>
      <c r="C480" s="275"/>
      <c r="D480" s="275"/>
      <c r="E480" s="275"/>
      <c r="F480" s="275"/>
      <c r="G480" s="275"/>
      <c r="H480" s="275"/>
      <c r="I480" s="275"/>
      <c r="J480" s="275"/>
      <c r="K480" s="275"/>
      <c r="L480" s="275"/>
      <c r="M480" s="275"/>
      <c r="N480" s="275"/>
    </row>
    <row r="481">
      <c r="B481" s="275"/>
      <c r="C481" s="275"/>
      <c r="D481" s="275"/>
      <c r="E481" s="275"/>
      <c r="F481" s="275"/>
      <c r="G481" s="275"/>
      <c r="H481" s="275"/>
      <c r="I481" s="275"/>
      <c r="J481" s="275"/>
      <c r="K481" s="275"/>
      <c r="L481" s="275"/>
      <c r="M481" s="275"/>
      <c r="N481" s="275"/>
    </row>
    <row r="482">
      <c r="B482" s="275"/>
      <c r="C482" s="275"/>
      <c r="D482" s="275"/>
      <c r="E482" s="275"/>
      <c r="F482" s="275"/>
      <c r="G482" s="275"/>
      <c r="H482" s="275"/>
      <c r="I482" s="275"/>
      <c r="J482" s="275"/>
      <c r="K482" s="275"/>
      <c r="L482" s="275"/>
      <c r="M482" s="275"/>
      <c r="N482" s="275"/>
    </row>
    <row r="483">
      <c r="B483" s="275"/>
      <c r="C483" s="275"/>
      <c r="D483" s="275"/>
      <c r="E483" s="275"/>
      <c r="F483" s="275"/>
      <c r="G483" s="275"/>
      <c r="H483" s="275"/>
      <c r="I483" s="275"/>
      <c r="J483" s="275"/>
      <c r="K483" s="275"/>
      <c r="L483" s="275"/>
      <c r="M483" s="275"/>
      <c r="N483" s="275"/>
    </row>
    <row r="484">
      <c r="B484" s="275"/>
      <c r="C484" s="275"/>
      <c r="D484" s="275"/>
      <c r="E484" s="275"/>
      <c r="F484" s="275"/>
      <c r="G484" s="275"/>
      <c r="H484" s="275"/>
      <c r="I484" s="275"/>
      <c r="J484" s="275"/>
      <c r="K484" s="275"/>
      <c r="L484" s="275"/>
      <c r="M484" s="275"/>
      <c r="N484" s="275"/>
    </row>
    <row r="485">
      <c r="B485" s="275"/>
      <c r="C485" s="275"/>
      <c r="D485" s="275"/>
      <c r="E485" s="275"/>
      <c r="F485" s="275"/>
      <c r="G485" s="275"/>
      <c r="H485" s="275"/>
      <c r="I485" s="275"/>
      <c r="J485" s="275"/>
      <c r="K485" s="275"/>
      <c r="L485" s="275"/>
      <c r="M485" s="275"/>
      <c r="N485" s="275"/>
    </row>
    <row r="486">
      <c r="B486" s="275"/>
      <c r="C486" s="275"/>
      <c r="D486" s="275"/>
      <c r="E486" s="275"/>
      <c r="F486" s="275"/>
      <c r="G486" s="275"/>
      <c r="H486" s="275"/>
      <c r="I486" s="275"/>
      <c r="J486" s="275"/>
      <c r="K486" s="275"/>
      <c r="L486" s="275"/>
      <c r="M486" s="275"/>
      <c r="N486" s="275"/>
    </row>
    <row r="487">
      <c r="B487" s="275"/>
      <c r="C487" s="275"/>
      <c r="D487" s="275"/>
      <c r="E487" s="275"/>
      <c r="F487" s="275"/>
      <c r="G487" s="275"/>
      <c r="H487" s="275"/>
      <c r="I487" s="275"/>
      <c r="J487" s="275"/>
      <c r="K487" s="275"/>
      <c r="L487" s="275"/>
      <c r="M487" s="275"/>
      <c r="N487" s="275"/>
    </row>
    <row r="488">
      <c r="B488" s="275"/>
      <c r="C488" s="275"/>
      <c r="D488" s="275"/>
      <c r="E488" s="275"/>
      <c r="F488" s="275"/>
      <c r="G488" s="275"/>
      <c r="H488" s="275"/>
      <c r="I488" s="275"/>
      <c r="J488" s="275"/>
      <c r="K488" s="275"/>
      <c r="L488" s="275"/>
      <c r="M488" s="275"/>
      <c r="N488" s="275"/>
    </row>
    <row r="489">
      <c r="B489" s="275"/>
      <c r="C489" s="275"/>
      <c r="D489" s="275"/>
      <c r="E489" s="275"/>
      <c r="F489" s="275"/>
      <c r="G489" s="275"/>
      <c r="H489" s="275"/>
      <c r="I489" s="275"/>
      <c r="J489" s="275"/>
      <c r="K489" s="275"/>
      <c r="L489" s="275"/>
      <c r="M489" s="275"/>
      <c r="N489" s="275"/>
    </row>
    <row r="490">
      <c r="B490" s="275"/>
      <c r="C490" s="275"/>
      <c r="D490" s="275"/>
      <c r="E490" s="275"/>
      <c r="F490" s="275"/>
      <c r="G490" s="275"/>
      <c r="H490" s="275"/>
      <c r="I490" s="275"/>
      <c r="J490" s="275"/>
      <c r="K490" s="275"/>
      <c r="L490" s="275"/>
      <c r="M490" s="275"/>
      <c r="N490" s="275"/>
    </row>
    <row r="491">
      <c r="B491" s="275"/>
      <c r="C491" s="275"/>
      <c r="D491" s="275"/>
      <c r="E491" s="275"/>
      <c r="F491" s="275"/>
      <c r="G491" s="275"/>
      <c r="H491" s="275"/>
      <c r="I491" s="275"/>
      <c r="J491" s="275"/>
      <c r="K491" s="275"/>
      <c r="L491" s="275"/>
      <c r="M491" s="275"/>
      <c r="N491" s="275"/>
    </row>
    <row r="492">
      <c r="B492" s="275"/>
      <c r="C492" s="275"/>
      <c r="D492" s="275"/>
      <c r="E492" s="275"/>
      <c r="F492" s="275"/>
      <c r="G492" s="275"/>
      <c r="H492" s="275"/>
      <c r="I492" s="275"/>
      <c r="J492" s="275"/>
      <c r="K492" s="275"/>
      <c r="L492" s="275"/>
      <c r="M492" s="275"/>
      <c r="N492" s="275"/>
    </row>
    <row r="493">
      <c r="B493" s="275"/>
      <c r="C493" s="275"/>
      <c r="D493" s="275"/>
      <c r="E493" s="275"/>
      <c r="F493" s="275"/>
      <c r="G493" s="275"/>
      <c r="H493" s="275"/>
      <c r="I493" s="275"/>
      <c r="J493" s="275"/>
      <c r="K493" s="275"/>
      <c r="L493" s="275"/>
      <c r="M493" s="275"/>
      <c r="N493" s="275"/>
    </row>
    <row r="494">
      <c r="B494" s="275"/>
      <c r="C494" s="275"/>
      <c r="D494" s="275"/>
      <c r="E494" s="275"/>
      <c r="F494" s="275"/>
      <c r="G494" s="275"/>
      <c r="H494" s="275"/>
      <c r="I494" s="275"/>
      <c r="J494" s="275"/>
      <c r="K494" s="275"/>
      <c r="L494" s="275"/>
      <c r="M494" s="275"/>
      <c r="N494" s="275"/>
    </row>
    <row r="495">
      <c r="B495" s="275"/>
      <c r="C495" s="275"/>
      <c r="D495" s="275"/>
      <c r="E495" s="275"/>
      <c r="F495" s="275"/>
      <c r="G495" s="275"/>
      <c r="H495" s="275"/>
      <c r="I495" s="275"/>
      <c r="J495" s="275"/>
      <c r="K495" s="275"/>
      <c r="L495" s="275"/>
      <c r="M495" s="275"/>
      <c r="N495" s="275"/>
    </row>
    <row r="496">
      <c r="B496" s="275"/>
      <c r="C496" s="275"/>
      <c r="D496" s="275"/>
      <c r="E496" s="275"/>
      <c r="F496" s="275"/>
      <c r="G496" s="275"/>
      <c r="H496" s="275"/>
      <c r="I496" s="275"/>
      <c r="J496" s="275"/>
      <c r="K496" s="275"/>
      <c r="L496" s="275"/>
      <c r="M496" s="275"/>
      <c r="N496" s="275"/>
    </row>
    <row r="497">
      <c r="B497" s="275"/>
      <c r="C497" s="275"/>
      <c r="D497" s="275"/>
      <c r="E497" s="275"/>
      <c r="F497" s="275"/>
      <c r="G497" s="275"/>
      <c r="H497" s="275"/>
      <c r="I497" s="275"/>
      <c r="J497" s="275"/>
      <c r="K497" s="275"/>
      <c r="L497" s="275"/>
      <c r="M497" s="275"/>
      <c r="N497" s="275"/>
    </row>
    <row r="498">
      <c r="B498" s="275"/>
      <c r="C498" s="275"/>
      <c r="D498" s="275"/>
      <c r="E498" s="275"/>
      <c r="F498" s="275"/>
      <c r="G498" s="275"/>
      <c r="H498" s="275"/>
      <c r="I498" s="275"/>
      <c r="J498" s="275"/>
      <c r="K498" s="275"/>
      <c r="L498" s="275"/>
      <c r="M498" s="275"/>
      <c r="N498" s="275"/>
    </row>
    <row r="499">
      <c r="B499" s="275"/>
      <c r="C499" s="275"/>
      <c r="D499" s="275"/>
      <c r="E499" s="275"/>
      <c r="F499" s="275"/>
      <c r="G499" s="275"/>
      <c r="H499" s="275"/>
      <c r="I499" s="275"/>
      <c r="J499" s="275"/>
      <c r="K499" s="275"/>
      <c r="L499" s="275"/>
      <c r="M499" s="275"/>
      <c r="N499" s="275"/>
    </row>
    <row r="500">
      <c r="B500" s="275"/>
      <c r="C500" s="275"/>
      <c r="D500" s="275"/>
      <c r="E500" s="275"/>
      <c r="F500" s="275"/>
      <c r="G500" s="275"/>
      <c r="H500" s="275"/>
      <c r="I500" s="275"/>
      <c r="J500" s="275"/>
      <c r="K500" s="275"/>
      <c r="L500" s="275"/>
      <c r="M500" s="275"/>
      <c r="N500" s="275"/>
    </row>
    <row r="501">
      <c r="B501" s="275"/>
      <c r="C501" s="275"/>
      <c r="D501" s="275"/>
      <c r="E501" s="275"/>
      <c r="F501" s="275"/>
      <c r="G501" s="275"/>
      <c r="H501" s="275"/>
      <c r="I501" s="275"/>
      <c r="J501" s="275"/>
      <c r="K501" s="275"/>
      <c r="L501" s="275"/>
      <c r="M501" s="275"/>
      <c r="N501" s="275"/>
    </row>
    <row r="502">
      <c r="B502" s="275"/>
      <c r="C502" s="275"/>
      <c r="D502" s="275"/>
      <c r="E502" s="275"/>
      <c r="F502" s="275"/>
      <c r="G502" s="275"/>
      <c r="H502" s="275"/>
      <c r="I502" s="275"/>
      <c r="J502" s="275"/>
      <c r="K502" s="275"/>
      <c r="L502" s="275"/>
      <c r="M502" s="275"/>
      <c r="N502" s="275"/>
    </row>
    <row r="503">
      <c r="B503" s="275"/>
      <c r="C503" s="275"/>
      <c r="D503" s="275"/>
      <c r="E503" s="275"/>
      <c r="F503" s="275"/>
      <c r="G503" s="275"/>
      <c r="H503" s="275"/>
      <c r="I503" s="275"/>
      <c r="J503" s="275"/>
      <c r="K503" s="275"/>
      <c r="L503" s="275"/>
      <c r="M503" s="275"/>
      <c r="N503" s="275"/>
    </row>
    <row r="504">
      <c r="B504" s="275"/>
      <c r="C504" s="275"/>
      <c r="D504" s="275"/>
      <c r="E504" s="275"/>
      <c r="F504" s="275"/>
      <c r="G504" s="275"/>
      <c r="H504" s="275"/>
      <c r="I504" s="275"/>
      <c r="J504" s="275"/>
      <c r="K504" s="275"/>
      <c r="L504" s="275"/>
      <c r="M504" s="275"/>
      <c r="N504" s="275"/>
    </row>
    <row r="505">
      <c r="B505" s="275"/>
      <c r="C505" s="275"/>
      <c r="D505" s="275"/>
      <c r="E505" s="275"/>
      <c r="F505" s="275"/>
      <c r="G505" s="275"/>
      <c r="H505" s="275"/>
      <c r="I505" s="275"/>
      <c r="J505" s="275"/>
      <c r="K505" s="275"/>
      <c r="L505" s="275"/>
      <c r="M505" s="275"/>
      <c r="N505" s="275"/>
    </row>
    <row r="506">
      <c r="B506" s="275"/>
      <c r="C506" s="275"/>
      <c r="D506" s="275"/>
      <c r="E506" s="275"/>
      <c r="F506" s="275"/>
      <c r="G506" s="275"/>
      <c r="H506" s="275"/>
      <c r="I506" s="275"/>
      <c r="J506" s="275"/>
      <c r="K506" s="275"/>
      <c r="L506" s="275"/>
      <c r="M506" s="275"/>
      <c r="N506" s="275"/>
    </row>
    <row r="507">
      <c r="B507" s="275"/>
      <c r="C507" s="275"/>
      <c r="D507" s="275"/>
      <c r="E507" s="275"/>
      <c r="F507" s="275"/>
      <c r="G507" s="275"/>
      <c r="H507" s="275"/>
      <c r="I507" s="275"/>
      <c r="J507" s="275"/>
      <c r="K507" s="275"/>
      <c r="L507" s="275"/>
      <c r="M507" s="275"/>
      <c r="N507" s="275"/>
    </row>
    <row r="508">
      <c r="B508" s="275"/>
      <c r="C508" s="275"/>
      <c r="D508" s="275"/>
      <c r="E508" s="275"/>
      <c r="F508" s="275"/>
      <c r="G508" s="275"/>
      <c r="H508" s="275"/>
      <c r="I508" s="275"/>
      <c r="J508" s="275"/>
      <c r="K508" s="275"/>
      <c r="L508" s="275"/>
      <c r="M508" s="275"/>
      <c r="N508" s="275"/>
    </row>
    <row r="509">
      <c r="B509" s="275"/>
      <c r="C509" s="275"/>
      <c r="D509" s="275"/>
      <c r="E509" s="275"/>
      <c r="F509" s="275"/>
      <c r="G509" s="275"/>
      <c r="H509" s="275"/>
      <c r="I509" s="275"/>
      <c r="J509" s="275"/>
      <c r="K509" s="275"/>
      <c r="L509" s="275"/>
      <c r="M509" s="275"/>
      <c r="N509" s="275"/>
    </row>
    <row r="510">
      <c r="B510" s="275"/>
      <c r="C510" s="275"/>
      <c r="D510" s="275"/>
      <c r="E510" s="275"/>
      <c r="F510" s="275"/>
      <c r="G510" s="275"/>
      <c r="H510" s="275"/>
      <c r="I510" s="275"/>
      <c r="J510" s="275"/>
      <c r="K510" s="275"/>
      <c r="L510" s="275"/>
      <c r="M510" s="275"/>
      <c r="N510" s="275"/>
    </row>
    <row r="511">
      <c r="B511" s="275"/>
      <c r="C511" s="275"/>
      <c r="D511" s="275"/>
      <c r="E511" s="275"/>
      <c r="F511" s="275"/>
      <c r="G511" s="275"/>
      <c r="H511" s="275"/>
      <c r="I511" s="275"/>
      <c r="J511" s="275"/>
      <c r="K511" s="275"/>
      <c r="L511" s="275"/>
      <c r="M511" s="275"/>
      <c r="N511" s="275"/>
    </row>
    <row r="512">
      <c r="B512" s="275"/>
      <c r="C512" s="275"/>
      <c r="D512" s="275"/>
      <c r="E512" s="275"/>
      <c r="F512" s="275"/>
      <c r="G512" s="275"/>
      <c r="H512" s="275"/>
      <c r="I512" s="275"/>
      <c r="J512" s="275"/>
      <c r="K512" s="275"/>
      <c r="L512" s="275"/>
      <c r="M512" s="275"/>
      <c r="N512" s="275"/>
    </row>
    <row r="513">
      <c r="B513" s="275"/>
      <c r="C513" s="275"/>
      <c r="D513" s="275"/>
      <c r="E513" s="275"/>
      <c r="F513" s="275"/>
      <c r="G513" s="275"/>
      <c r="H513" s="275"/>
      <c r="I513" s="275"/>
      <c r="J513" s="275"/>
      <c r="K513" s="275"/>
      <c r="L513" s="275"/>
      <c r="M513" s="275"/>
      <c r="N513" s="275"/>
    </row>
    <row r="514">
      <c r="B514" s="275"/>
      <c r="C514" s="275"/>
      <c r="D514" s="275"/>
      <c r="E514" s="275"/>
      <c r="F514" s="275"/>
      <c r="G514" s="275"/>
      <c r="H514" s="275"/>
      <c r="I514" s="275"/>
      <c r="J514" s="275"/>
      <c r="K514" s="275"/>
      <c r="L514" s="275"/>
      <c r="M514" s="275"/>
      <c r="N514" s="275"/>
    </row>
    <row r="515">
      <c r="B515" s="275"/>
      <c r="C515" s="275"/>
      <c r="D515" s="275"/>
      <c r="E515" s="275"/>
      <c r="F515" s="275"/>
      <c r="G515" s="275"/>
      <c r="H515" s="275"/>
      <c r="I515" s="275"/>
      <c r="J515" s="275"/>
      <c r="K515" s="275"/>
      <c r="L515" s="275"/>
      <c r="M515" s="275"/>
      <c r="N515" s="275"/>
    </row>
    <row r="516">
      <c r="B516" s="275"/>
      <c r="C516" s="275"/>
      <c r="D516" s="275"/>
      <c r="E516" s="275"/>
      <c r="F516" s="275"/>
      <c r="G516" s="275"/>
      <c r="H516" s="275"/>
      <c r="I516" s="275"/>
      <c r="J516" s="275"/>
      <c r="K516" s="275"/>
      <c r="L516" s="275"/>
      <c r="M516" s="275"/>
      <c r="N516" s="275"/>
    </row>
    <row r="517">
      <c r="B517" s="275"/>
      <c r="C517" s="275"/>
      <c r="D517" s="275"/>
      <c r="E517" s="275"/>
      <c r="F517" s="275"/>
      <c r="G517" s="275"/>
      <c r="H517" s="275"/>
      <c r="I517" s="275"/>
      <c r="J517" s="275"/>
      <c r="K517" s="275"/>
      <c r="L517" s="275"/>
      <c r="M517" s="275"/>
      <c r="N517" s="275"/>
    </row>
    <row r="518">
      <c r="B518" s="275"/>
      <c r="C518" s="275"/>
      <c r="D518" s="275"/>
      <c r="E518" s="275"/>
      <c r="F518" s="275"/>
      <c r="G518" s="275"/>
      <c r="H518" s="275"/>
      <c r="I518" s="275"/>
      <c r="J518" s="275"/>
      <c r="K518" s="275"/>
      <c r="L518" s="275"/>
      <c r="M518" s="275"/>
      <c r="N518" s="275"/>
    </row>
    <row r="519">
      <c r="B519" s="275"/>
      <c r="C519" s="275"/>
      <c r="D519" s="275"/>
      <c r="E519" s="275"/>
      <c r="F519" s="275"/>
      <c r="G519" s="275"/>
      <c r="H519" s="275"/>
      <c r="I519" s="275"/>
      <c r="J519" s="275"/>
      <c r="K519" s="275"/>
      <c r="L519" s="275"/>
      <c r="M519" s="275"/>
      <c r="N519" s="275"/>
    </row>
    <row r="520">
      <c r="B520" s="275"/>
      <c r="C520" s="275"/>
      <c r="D520" s="275"/>
      <c r="E520" s="275"/>
      <c r="F520" s="275"/>
      <c r="G520" s="275"/>
      <c r="H520" s="275"/>
      <c r="I520" s="275"/>
      <c r="J520" s="275"/>
      <c r="K520" s="275"/>
      <c r="L520" s="275"/>
      <c r="M520" s="275"/>
      <c r="N520" s="275"/>
    </row>
    <row r="521">
      <c r="B521" s="275"/>
      <c r="C521" s="275"/>
      <c r="D521" s="275"/>
      <c r="E521" s="275"/>
      <c r="F521" s="275"/>
      <c r="G521" s="275"/>
      <c r="H521" s="275"/>
      <c r="I521" s="275"/>
      <c r="J521" s="275"/>
      <c r="K521" s="275"/>
      <c r="L521" s="275"/>
      <c r="M521" s="275"/>
      <c r="N521" s="275"/>
    </row>
    <row r="522">
      <c r="B522" s="275"/>
      <c r="C522" s="275"/>
      <c r="D522" s="275"/>
      <c r="E522" s="275"/>
      <c r="F522" s="275"/>
      <c r="G522" s="275"/>
      <c r="H522" s="275"/>
      <c r="I522" s="275"/>
      <c r="J522" s="275"/>
      <c r="K522" s="275"/>
      <c r="L522" s="275"/>
      <c r="M522" s="275"/>
      <c r="N522" s="275"/>
    </row>
    <row r="523">
      <c r="B523" s="275"/>
      <c r="C523" s="275"/>
      <c r="D523" s="275"/>
      <c r="E523" s="275"/>
      <c r="F523" s="275"/>
      <c r="G523" s="275"/>
      <c r="H523" s="275"/>
      <c r="I523" s="275"/>
      <c r="J523" s="275"/>
      <c r="K523" s="275"/>
      <c r="L523" s="275"/>
      <c r="M523" s="275"/>
      <c r="N523" s="275"/>
    </row>
    <row r="524">
      <c r="B524" s="275"/>
      <c r="C524" s="275"/>
      <c r="D524" s="275"/>
      <c r="E524" s="275"/>
      <c r="F524" s="275"/>
      <c r="G524" s="275"/>
      <c r="H524" s="275"/>
      <c r="I524" s="275"/>
      <c r="J524" s="275"/>
      <c r="K524" s="275"/>
      <c r="L524" s="275"/>
      <c r="M524" s="275"/>
      <c r="N524" s="275"/>
    </row>
    <row r="525">
      <c r="B525" s="275"/>
      <c r="C525" s="275"/>
      <c r="D525" s="275"/>
      <c r="E525" s="275"/>
      <c r="F525" s="275"/>
      <c r="G525" s="275"/>
      <c r="H525" s="275"/>
      <c r="I525" s="275"/>
      <c r="J525" s="275"/>
      <c r="K525" s="275"/>
      <c r="L525" s="275"/>
      <c r="M525" s="275"/>
      <c r="N525" s="275"/>
    </row>
    <row r="526">
      <c r="B526" s="275"/>
      <c r="C526" s="275"/>
      <c r="D526" s="275"/>
      <c r="E526" s="275"/>
      <c r="F526" s="275"/>
      <c r="G526" s="275"/>
      <c r="H526" s="275"/>
      <c r="I526" s="275"/>
      <c r="J526" s="275"/>
      <c r="K526" s="275"/>
      <c r="L526" s="275"/>
      <c r="M526" s="275"/>
      <c r="N526" s="275"/>
    </row>
    <row r="527">
      <c r="B527" s="275"/>
      <c r="C527" s="275"/>
      <c r="D527" s="275"/>
      <c r="E527" s="275"/>
      <c r="F527" s="275"/>
      <c r="G527" s="275"/>
      <c r="H527" s="275"/>
      <c r="I527" s="275"/>
      <c r="J527" s="275"/>
      <c r="K527" s="275"/>
      <c r="L527" s="275"/>
      <c r="M527" s="275"/>
      <c r="N527" s="275"/>
    </row>
    <row r="528">
      <c r="B528" s="275"/>
      <c r="C528" s="275"/>
      <c r="D528" s="275"/>
      <c r="E528" s="275"/>
      <c r="F528" s="275"/>
      <c r="G528" s="275"/>
      <c r="H528" s="275"/>
      <c r="I528" s="275"/>
      <c r="J528" s="275"/>
      <c r="K528" s="275"/>
      <c r="L528" s="275"/>
      <c r="M528" s="275"/>
      <c r="N528" s="275"/>
    </row>
    <row r="529">
      <c r="B529" s="275"/>
      <c r="C529" s="275"/>
      <c r="D529" s="275"/>
      <c r="E529" s="275"/>
      <c r="F529" s="275"/>
      <c r="G529" s="275"/>
      <c r="H529" s="275"/>
      <c r="I529" s="275"/>
      <c r="J529" s="275"/>
      <c r="K529" s="275"/>
      <c r="L529" s="275"/>
      <c r="M529" s="275"/>
      <c r="N529" s="275"/>
    </row>
    <row r="530">
      <c r="B530" s="275"/>
      <c r="C530" s="275"/>
      <c r="D530" s="275"/>
      <c r="E530" s="275"/>
      <c r="F530" s="275"/>
      <c r="G530" s="275"/>
      <c r="H530" s="275"/>
      <c r="I530" s="275"/>
      <c r="J530" s="275"/>
      <c r="K530" s="275"/>
      <c r="L530" s="275"/>
      <c r="M530" s="275"/>
      <c r="N530" s="275"/>
    </row>
    <row r="531">
      <c r="B531" s="275"/>
      <c r="C531" s="275"/>
      <c r="D531" s="275"/>
      <c r="E531" s="275"/>
      <c r="F531" s="275"/>
      <c r="G531" s="275"/>
      <c r="H531" s="275"/>
      <c r="I531" s="275"/>
      <c r="J531" s="275"/>
      <c r="K531" s="275"/>
      <c r="L531" s="275"/>
      <c r="M531" s="275"/>
      <c r="N531" s="275"/>
    </row>
    <row r="532">
      <c r="B532" s="275"/>
      <c r="C532" s="275"/>
      <c r="D532" s="275"/>
      <c r="E532" s="275"/>
      <c r="F532" s="275"/>
      <c r="G532" s="275"/>
      <c r="H532" s="275"/>
      <c r="I532" s="275"/>
      <c r="J532" s="275"/>
      <c r="K532" s="275"/>
      <c r="L532" s="275"/>
      <c r="M532" s="275"/>
      <c r="N532" s="275"/>
    </row>
    <row r="533">
      <c r="B533" s="275"/>
      <c r="C533" s="275"/>
      <c r="D533" s="275"/>
      <c r="E533" s="275"/>
      <c r="F533" s="275"/>
      <c r="G533" s="275"/>
      <c r="H533" s="275"/>
      <c r="I533" s="275"/>
      <c r="J533" s="275"/>
      <c r="K533" s="275"/>
      <c r="L533" s="275"/>
      <c r="M533" s="275"/>
      <c r="N533" s="275"/>
    </row>
    <row r="534">
      <c r="B534" s="275"/>
      <c r="C534" s="275"/>
      <c r="D534" s="275"/>
      <c r="E534" s="275"/>
      <c r="F534" s="275"/>
      <c r="G534" s="275"/>
      <c r="H534" s="275"/>
      <c r="I534" s="275"/>
      <c r="J534" s="275"/>
      <c r="K534" s="275"/>
      <c r="L534" s="275"/>
      <c r="M534" s="275"/>
      <c r="N534" s="275"/>
    </row>
    <row r="535">
      <c r="B535" s="275"/>
      <c r="C535" s="275"/>
      <c r="D535" s="275"/>
      <c r="E535" s="275"/>
      <c r="F535" s="275"/>
      <c r="G535" s="275"/>
      <c r="H535" s="275"/>
      <c r="I535" s="275"/>
      <c r="J535" s="275"/>
      <c r="K535" s="275"/>
      <c r="L535" s="275"/>
      <c r="M535" s="275"/>
      <c r="N535" s="275"/>
    </row>
    <row r="536">
      <c r="B536" s="275"/>
      <c r="C536" s="275"/>
      <c r="D536" s="275"/>
      <c r="E536" s="275"/>
      <c r="F536" s="275"/>
      <c r="G536" s="275"/>
      <c r="H536" s="275"/>
      <c r="I536" s="275"/>
      <c r="J536" s="275"/>
      <c r="K536" s="275"/>
      <c r="L536" s="275"/>
      <c r="M536" s="275"/>
      <c r="N536" s="275"/>
    </row>
    <row r="537">
      <c r="B537" s="275"/>
      <c r="C537" s="275"/>
      <c r="D537" s="275"/>
      <c r="E537" s="275"/>
      <c r="F537" s="275"/>
      <c r="G537" s="275"/>
      <c r="H537" s="275"/>
      <c r="I537" s="275"/>
      <c r="J537" s="275"/>
      <c r="K537" s="275"/>
      <c r="L537" s="275"/>
      <c r="M537" s="275"/>
      <c r="N537" s="275"/>
    </row>
    <row r="538">
      <c r="B538" s="275"/>
      <c r="C538" s="275"/>
      <c r="D538" s="275"/>
      <c r="E538" s="275"/>
      <c r="F538" s="275"/>
      <c r="G538" s="275"/>
      <c r="H538" s="275"/>
      <c r="I538" s="275"/>
      <c r="J538" s="275"/>
      <c r="K538" s="275"/>
      <c r="L538" s="275"/>
      <c r="M538" s="275"/>
      <c r="N538" s="275"/>
    </row>
    <row r="539">
      <c r="B539" s="275"/>
      <c r="C539" s="275"/>
      <c r="D539" s="275"/>
      <c r="E539" s="275"/>
      <c r="F539" s="275"/>
      <c r="G539" s="275"/>
      <c r="H539" s="275"/>
      <c r="I539" s="275"/>
      <c r="J539" s="275"/>
      <c r="K539" s="275"/>
      <c r="L539" s="275"/>
      <c r="M539" s="275"/>
      <c r="N539" s="275"/>
    </row>
    <row r="540">
      <c r="B540" s="275"/>
      <c r="C540" s="275"/>
      <c r="D540" s="275"/>
      <c r="E540" s="275"/>
      <c r="F540" s="275"/>
      <c r="G540" s="275"/>
      <c r="H540" s="275"/>
      <c r="I540" s="275"/>
      <c r="J540" s="275"/>
      <c r="K540" s="275"/>
      <c r="L540" s="275"/>
      <c r="M540" s="275"/>
      <c r="N540" s="275"/>
    </row>
    <row r="541">
      <c r="B541" s="275"/>
      <c r="C541" s="275"/>
      <c r="D541" s="275"/>
      <c r="E541" s="275"/>
      <c r="F541" s="275"/>
      <c r="G541" s="275"/>
      <c r="H541" s="275"/>
      <c r="I541" s="275"/>
      <c r="J541" s="275"/>
      <c r="K541" s="275"/>
      <c r="L541" s="275"/>
      <c r="M541" s="275"/>
      <c r="N541" s="275"/>
    </row>
    <row r="542">
      <c r="B542" s="275"/>
      <c r="C542" s="275"/>
      <c r="D542" s="275"/>
      <c r="E542" s="275"/>
      <c r="F542" s="275"/>
      <c r="G542" s="275"/>
      <c r="H542" s="275"/>
      <c r="I542" s="275"/>
      <c r="J542" s="275"/>
      <c r="K542" s="275"/>
      <c r="L542" s="275"/>
      <c r="M542" s="275"/>
      <c r="N542" s="275"/>
    </row>
    <row r="543">
      <c r="B543" s="275"/>
      <c r="C543" s="275"/>
      <c r="D543" s="275"/>
      <c r="E543" s="275"/>
      <c r="F543" s="275"/>
      <c r="G543" s="275"/>
      <c r="H543" s="275"/>
      <c r="I543" s="275"/>
      <c r="J543" s="275"/>
      <c r="K543" s="275"/>
      <c r="L543" s="275"/>
      <c r="M543" s="275"/>
      <c r="N543" s="275"/>
    </row>
    <row r="544">
      <c r="B544" s="275"/>
      <c r="C544" s="275"/>
      <c r="D544" s="275"/>
      <c r="E544" s="275"/>
      <c r="F544" s="275"/>
      <c r="G544" s="275"/>
      <c r="H544" s="275"/>
      <c r="I544" s="275"/>
      <c r="J544" s="275"/>
      <c r="K544" s="275"/>
      <c r="L544" s="275"/>
      <c r="M544" s="275"/>
      <c r="N544" s="275"/>
    </row>
    <row r="545">
      <c r="B545" s="275"/>
      <c r="C545" s="275"/>
      <c r="D545" s="275"/>
      <c r="E545" s="275"/>
      <c r="F545" s="275"/>
      <c r="G545" s="275"/>
      <c r="H545" s="275"/>
      <c r="I545" s="275"/>
      <c r="J545" s="275"/>
      <c r="K545" s="275"/>
      <c r="L545" s="275"/>
      <c r="M545" s="275"/>
      <c r="N545" s="275"/>
    </row>
    <row r="546">
      <c r="B546" s="275"/>
      <c r="C546" s="275"/>
      <c r="D546" s="275"/>
      <c r="E546" s="275"/>
      <c r="F546" s="275"/>
      <c r="G546" s="275"/>
      <c r="H546" s="275"/>
      <c r="I546" s="275"/>
      <c r="J546" s="275"/>
      <c r="K546" s="275"/>
      <c r="L546" s="275"/>
      <c r="M546" s="275"/>
      <c r="N546" s="275"/>
    </row>
    <row r="547">
      <c r="B547" s="275"/>
      <c r="C547" s="275"/>
      <c r="D547" s="275"/>
      <c r="E547" s="275"/>
      <c r="F547" s="275"/>
      <c r="G547" s="275"/>
      <c r="H547" s="275"/>
      <c r="I547" s="275"/>
      <c r="J547" s="275"/>
      <c r="K547" s="275"/>
      <c r="L547" s="275"/>
      <c r="M547" s="275"/>
      <c r="N547" s="275"/>
    </row>
    <row r="548">
      <c r="B548" s="275"/>
      <c r="C548" s="275"/>
      <c r="D548" s="275"/>
      <c r="E548" s="275"/>
      <c r="F548" s="275"/>
      <c r="G548" s="275"/>
      <c r="H548" s="275"/>
      <c r="I548" s="275"/>
      <c r="J548" s="275"/>
      <c r="K548" s="275"/>
      <c r="L548" s="275"/>
      <c r="M548" s="275"/>
      <c r="N548" s="275"/>
    </row>
    <row r="549">
      <c r="B549" s="275"/>
      <c r="C549" s="275"/>
      <c r="D549" s="275"/>
      <c r="E549" s="275"/>
      <c r="F549" s="275"/>
      <c r="G549" s="275"/>
      <c r="H549" s="275"/>
      <c r="I549" s="275"/>
      <c r="J549" s="275"/>
      <c r="K549" s="275"/>
      <c r="L549" s="275"/>
      <c r="M549" s="275"/>
      <c r="N549" s="275"/>
    </row>
    <row r="550">
      <c r="B550" s="275"/>
      <c r="C550" s="275"/>
      <c r="D550" s="275"/>
      <c r="E550" s="275"/>
      <c r="F550" s="275"/>
      <c r="G550" s="275"/>
      <c r="H550" s="275"/>
      <c r="I550" s="275"/>
      <c r="J550" s="275"/>
      <c r="K550" s="275"/>
      <c r="L550" s="275"/>
      <c r="M550" s="275"/>
      <c r="N550" s="275"/>
    </row>
    <row r="551">
      <c r="B551" s="275"/>
      <c r="C551" s="275"/>
      <c r="D551" s="275"/>
      <c r="E551" s="275"/>
      <c r="F551" s="275"/>
      <c r="G551" s="275"/>
      <c r="H551" s="275"/>
      <c r="I551" s="275"/>
      <c r="J551" s="275"/>
      <c r="K551" s="275"/>
      <c r="L551" s="275"/>
      <c r="M551" s="275"/>
      <c r="N551" s="275"/>
    </row>
    <row r="552">
      <c r="B552" s="275"/>
      <c r="C552" s="275"/>
      <c r="D552" s="275"/>
      <c r="E552" s="275"/>
      <c r="F552" s="275"/>
      <c r="G552" s="275"/>
      <c r="H552" s="275"/>
      <c r="I552" s="275"/>
      <c r="J552" s="275"/>
      <c r="K552" s="275"/>
      <c r="L552" s="275"/>
      <c r="M552" s="275"/>
      <c r="N552" s="275"/>
    </row>
    <row r="553">
      <c r="B553" s="275"/>
      <c r="C553" s="275"/>
      <c r="D553" s="275"/>
      <c r="E553" s="275"/>
      <c r="F553" s="275"/>
      <c r="G553" s="275"/>
      <c r="H553" s="275"/>
      <c r="I553" s="275"/>
      <c r="J553" s="275"/>
      <c r="K553" s="275"/>
      <c r="L553" s="275"/>
      <c r="M553" s="275"/>
      <c r="N553" s="275"/>
    </row>
    <row r="554">
      <c r="B554" s="275"/>
      <c r="C554" s="275"/>
      <c r="D554" s="275"/>
      <c r="E554" s="275"/>
      <c r="F554" s="275"/>
      <c r="G554" s="275"/>
      <c r="H554" s="275"/>
      <c r="I554" s="275"/>
      <c r="J554" s="275"/>
      <c r="K554" s="275"/>
      <c r="L554" s="275"/>
      <c r="M554" s="275"/>
      <c r="N554" s="275"/>
    </row>
    <row r="555">
      <c r="B555" s="275"/>
      <c r="C555" s="275"/>
      <c r="D555" s="275"/>
      <c r="E555" s="275"/>
      <c r="F555" s="275"/>
      <c r="G555" s="275"/>
      <c r="H555" s="275"/>
      <c r="I555" s="275"/>
      <c r="J555" s="275"/>
      <c r="K555" s="275"/>
      <c r="L555" s="275"/>
      <c r="M555" s="275"/>
      <c r="N555" s="275"/>
    </row>
    <row r="556">
      <c r="B556" s="275"/>
      <c r="C556" s="275"/>
      <c r="D556" s="275"/>
      <c r="E556" s="275"/>
      <c r="F556" s="275"/>
      <c r="G556" s="275"/>
      <c r="H556" s="275"/>
      <c r="I556" s="275"/>
      <c r="J556" s="275"/>
      <c r="K556" s="275"/>
      <c r="L556" s="275"/>
      <c r="M556" s="275"/>
      <c r="N556" s="275"/>
    </row>
    <row r="557">
      <c r="B557" s="275"/>
      <c r="C557" s="275"/>
      <c r="D557" s="275"/>
      <c r="E557" s="275"/>
      <c r="F557" s="275"/>
      <c r="G557" s="275"/>
      <c r="H557" s="275"/>
      <c r="I557" s="275"/>
      <c r="J557" s="275"/>
      <c r="K557" s="275"/>
      <c r="L557" s="275"/>
      <c r="M557" s="275"/>
      <c r="N557" s="275"/>
    </row>
    <row r="558">
      <c r="B558" s="275"/>
      <c r="C558" s="275"/>
      <c r="D558" s="275"/>
      <c r="E558" s="275"/>
      <c r="F558" s="275"/>
      <c r="G558" s="275"/>
      <c r="H558" s="275"/>
      <c r="I558" s="275"/>
      <c r="J558" s="275"/>
      <c r="K558" s="275"/>
      <c r="L558" s="275"/>
      <c r="M558" s="275"/>
      <c r="N558" s="275"/>
    </row>
    <row r="559">
      <c r="B559" s="275"/>
      <c r="C559" s="275"/>
      <c r="D559" s="275"/>
      <c r="E559" s="275"/>
      <c r="F559" s="275"/>
      <c r="G559" s="275"/>
      <c r="H559" s="275"/>
      <c r="I559" s="275"/>
      <c r="J559" s="275"/>
      <c r="K559" s="275"/>
      <c r="L559" s="275"/>
      <c r="M559" s="275"/>
      <c r="N559" s="275"/>
    </row>
    <row r="560">
      <c r="B560" s="275"/>
      <c r="C560" s="275"/>
      <c r="D560" s="275"/>
      <c r="E560" s="275"/>
      <c r="F560" s="275"/>
      <c r="G560" s="275"/>
      <c r="H560" s="275"/>
      <c r="I560" s="275"/>
      <c r="J560" s="275"/>
      <c r="K560" s="275"/>
      <c r="L560" s="275"/>
      <c r="M560" s="275"/>
      <c r="N560" s="275"/>
    </row>
    <row r="561">
      <c r="B561" s="275"/>
      <c r="C561" s="275"/>
      <c r="D561" s="275"/>
      <c r="E561" s="275"/>
      <c r="F561" s="275"/>
      <c r="G561" s="275"/>
      <c r="H561" s="275"/>
      <c r="I561" s="275"/>
      <c r="J561" s="275"/>
      <c r="K561" s="275"/>
      <c r="L561" s="275"/>
      <c r="M561" s="275"/>
      <c r="N561" s="275"/>
    </row>
    <row r="562">
      <c r="B562" s="275"/>
      <c r="C562" s="275"/>
      <c r="D562" s="275"/>
      <c r="E562" s="275"/>
      <c r="F562" s="275"/>
      <c r="G562" s="275"/>
      <c r="H562" s="275"/>
      <c r="I562" s="275"/>
      <c r="J562" s="275"/>
      <c r="K562" s="275"/>
      <c r="L562" s="275"/>
      <c r="M562" s="275"/>
      <c r="N562" s="275"/>
    </row>
    <row r="563">
      <c r="B563" s="275"/>
      <c r="C563" s="275"/>
      <c r="D563" s="275"/>
      <c r="E563" s="275"/>
      <c r="F563" s="275"/>
      <c r="G563" s="275"/>
      <c r="H563" s="275"/>
      <c r="I563" s="275"/>
      <c r="J563" s="275"/>
      <c r="K563" s="275"/>
      <c r="L563" s="275"/>
      <c r="M563" s="275"/>
      <c r="N563" s="275"/>
    </row>
    <row r="564">
      <c r="B564" s="275"/>
      <c r="C564" s="275"/>
      <c r="D564" s="275"/>
      <c r="E564" s="275"/>
      <c r="F564" s="275"/>
      <c r="G564" s="275"/>
      <c r="H564" s="275"/>
      <c r="I564" s="275"/>
      <c r="J564" s="275"/>
      <c r="K564" s="275"/>
      <c r="L564" s="275"/>
      <c r="M564" s="275"/>
      <c r="N564" s="275"/>
    </row>
    <row r="565">
      <c r="B565" s="275"/>
      <c r="C565" s="275"/>
      <c r="D565" s="275"/>
      <c r="E565" s="275"/>
      <c r="F565" s="275"/>
      <c r="G565" s="275"/>
      <c r="H565" s="275"/>
      <c r="I565" s="275"/>
      <c r="J565" s="275"/>
      <c r="K565" s="275"/>
      <c r="L565" s="275"/>
      <c r="M565" s="275"/>
      <c r="N565" s="275"/>
    </row>
    <row r="566">
      <c r="B566" s="275"/>
      <c r="C566" s="275"/>
      <c r="D566" s="275"/>
      <c r="E566" s="275"/>
      <c r="F566" s="275"/>
      <c r="G566" s="275"/>
      <c r="H566" s="275"/>
      <c r="I566" s="275"/>
      <c r="J566" s="275"/>
      <c r="K566" s="275"/>
      <c r="L566" s="275"/>
      <c r="M566" s="275"/>
      <c r="N566" s="275"/>
    </row>
    <row r="567">
      <c r="B567" s="275"/>
      <c r="C567" s="275"/>
      <c r="D567" s="275"/>
      <c r="E567" s="275"/>
      <c r="F567" s="275"/>
      <c r="G567" s="275"/>
      <c r="H567" s="275"/>
      <c r="I567" s="275"/>
      <c r="J567" s="275"/>
      <c r="K567" s="275"/>
      <c r="L567" s="275"/>
      <c r="M567" s="275"/>
      <c r="N567" s="275"/>
    </row>
    <row r="568">
      <c r="B568" s="275"/>
      <c r="C568" s="275"/>
      <c r="D568" s="275"/>
      <c r="E568" s="275"/>
      <c r="F568" s="275"/>
      <c r="G568" s="275"/>
      <c r="H568" s="275"/>
      <c r="I568" s="275"/>
      <c r="J568" s="275"/>
      <c r="K568" s="275"/>
      <c r="L568" s="275"/>
      <c r="M568" s="275"/>
      <c r="N568" s="275"/>
    </row>
    <row r="569">
      <c r="B569" s="275"/>
      <c r="C569" s="275"/>
      <c r="D569" s="275"/>
      <c r="E569" s="275"/>
      <c r="F569" s="275"/>
      <c r="G569" s="275"/>
      <c r="H569" s="275"/>
      <c r="I569" s="275"/>
      <c r="J569" s="275"/>
      <c r="K569" s="275"/>
      <c r="L569" s="275"/>
      <c r="M569" s="275"/>
      <c r="N569" s="275"/>
    </row>
    <row r="570">
      <c r="B570" s="275"/>
      <c r="C570" s="275"/>
      <c r="D570" s="275"/>
      <c r="E570" s="275"/>
      <c r="F570" s="275"/>
      <c r="G570" s="275"/>
      <c r="H570" s="275"/>
      <c r="I570" s="275"/>
      <c r="J570" s="275"/>
      <c r="K570" s="275"/>
      <c r="L570" s="275"/>
      <c r="M570" s="275"/>
      <c r="N570" s="275"/>
    </row>
    <row r="571">
      <c r="B571" s="275"/>
      <c r="C571" s="275"/>
      <c r="D571" s="275"/>
      <c r="E571" s="275"/>
      <c r="F571" s="275"/>
      <c r="G571" s="275"/>
      <c r="H571" s="275"/>
      <c r="I571" s="275"/>
      <c r="J571" s="275"/>
      <c r="K571" s="275"/>
      <c r="L571" s="275"/>
      <c r="M571" s="275"/>
      <c r="N571" s="275"/>
    </row>
    <row r="572">
      <c r="B572" s="275"/>
      <c r="C572" s="275"/>
      <c r="D572" s="275"/>
      <c r="E572" s="275"/>
      <c r="F572" s="275"/>
      <c r="G572" s="275"/>
      <c r="H572" s="275"/>
      <c r="I572" s="275"/>
      <c r="J572" s="275"/>
      <c r="K572" s="275"/>
      <c r="L572" s="275"/>
      <c r="M572" s="275"/>
      <c r="N572" s="275"/>
    </row>
    <row r="573">
      <c r="B573" s="275"/>
      <c r="C573" s="275"/>
      <c r="D573" s="275"/>
      <c r="E573" s="275"/>
      <c r="F573" s="275"/>
      <c r="G573" s="275"/>
      <c r="H573" s="275"/>
      <c r="I573" s="275"/>
      <c r="J573" s="275"/>
      <c r="K573" s="275"/>
      <c r="L573" s="275"/>
      <c r="M573" s="275"/>
      <c r="N573" s="275"/>
    </row>
    <row r="574">
      <c r="B574" s="275"/>
      <c r="C574" s="275"/>
      <c r="D574" s="275"/>
      <c r="E574" s="275"/>
      <c r="F574" s="275"/>
      <c r="G574" s="275"/>
      <c r="H574" s="275"/>
      <c r="I574" s="275"/>
      <c r="J574" s="275"/>
      <c r="K574" s="275"/>
      <c r="L574" s="275"/>
      <c r="M574" s="275"/>
      <c r="N574" s="275"/>
    </row>
    <row r="575">
      <c r="B575" s="275"/>
      <c r="C575" s="275"/>
      <c r="D575" s="275"/>
      <c r="E575" s="275"/>
      <c r="F575" s="275"/>
      <c r="G575" s="275"/>
      <c r="H575" s="275"/>
      <c r="I575" s="275"/>
      <c r="J575" s="275"/>
      <c r="K575" s="275"/>
      <c r="L575" s="275"/>
      <c r="M575" s="275"/>
      <c r="N575" s="275"/>
    </row>
    <row r="576">
      <c r="B576" s="275"/>
      <c r="C576" s="275"/>
      <c r="D576" s="275"/>
      <c r="E576" s="275"/>
      <c r="F576" s="275"/>
      <c r="G576" s="275"/>
      <c r="H576" s="275"/>
      <c r="I576" s="275"/>
      <c r="J576" s="275"/>
      <c r="K576" s="275"/>
      <c r="L576" s="275"/>
      <c r="M576" s="275"/>
      <c r="N576" s="275"/>
    </row>
    <row r="577">
      <c r="B577" s="275"/>
      <c r="C577" s="275"/>
      <c r="D577" s="275"/>
      <c r="E577" s="275"/>
      <c r="F577" s="275"/>
      <c r="G577" s="275"/>
      <c r="H577" s="275"/>
      <c r="I577" s="275"/>
      <c r="J577" s="275"/>
      <c r="K577" s="275"/>
      <c r="L577" s="275"/>
      <c r="M577" s="275"/>
      <c r="N577" s="275"/>
    </row>
    <row r="578">
      <c r="B578" s="275"/>
      <c r="C578" s="275"/>
      <c r="D578" s="275"/>
      <c r="E578" s="275"/>
      <c r="F578" s="275"/>
      <c r="G578" s="275"/>
      <c r="H578" s="275"/>
      <c r="I578" s="275"/>
      <c r="J578" s="275"/>
      <c r="K578" s="275"/>
      <c r="L578" s="275"/>
      <c r="M578" s="275"/>
      <c r="N578" s="275"/>
    </row>
    <row r="579">
      <c r="B579" s="275"/>
      <c r="C579" s="275"/>
      <c r="D579" s="275"/>
      <c r="E579" s="275"/>
      <c r="F579" s="275"/>
      <c r="G579" s="275"/>
      <c r="H579" s="275"/>
      <c r="I579" s="275"/>
      <c r="J579" s="275"/>
      <c r="K579" s="275"/>
      <c r="L579" s="275"/>
      <c r="M579" s="275"/>
      <c r="N579" s="275"/>
    </row>
    <row r="580">
      <c r="B580" s="275"/>
      <c r="C580" s="275"/>
      <c r="D580" s="275"/>
      <c r="E580" s="275"/>
      <c r="F580" s="275"/>
      <c r="G580" s="275"/>
      <c r="H580" s="275"/>
      <c r="I580" s="275"/>
      <c r="J580" s="275"/>
      <c r="K580" s="275"/>
      <c r="L580" s="275"/>
      <c r="M580" s="275"/>
      <c r="N580" s="275"/>
    </row>
    <row r="581">
      <c r="B581" s="275"/>
      <c r="C581" s="275"/>
      <c r="D581" s="275"/>
      <c r="E581" s="275"/>
      <c r="F581" s="275"/>
      <c r="G581" s="275"/>
      <c r="H581" s="275"/>
      <c r="I581" s="275"/>
      <c r="J581" s="275"/>
      <c r="K581" s="275"/>
      <c r="L581" s="275"/>
      <c r="M581" s="275"/>
      <c r="N581" s="275"/>
    </row>
    <row r="582">
      <c r="B582" s="275"/>
      <c r="C582" s="275"/>
      <c r="D582" s="275"/>
      <c r="E582" s="275"/>
      <c r="F582" s="275"/>
      <c r="G582" s="275"/>
      <c r="H582" s="275"/>
      <c r="I582" s="275"/>
      <c r="J582" s="275"/>
      <c r="K582" s="275"/>
      <c r="L582" s="275"/>
      <c r="M582" s="275"/>
      <c r="N582" s="275"/>
    </row>
    <row r="583">
      <c r="B583" s="275"/>
      <c r="C583" s="275"/>
      <c r="D583" s="275"/>
      <c r="E583" s="275"/>
      <c r="F583" s="275"/>
      <c r="G583" s="275"/>
      <c r="H583" s="275"/>
      <c r="I583" s="275"/>
      <c r="J583" s="275"/>
      <c r="K583" s="275"/>
      <c r="L583" s="275"/>
      <c r="M583" s="275"/>
      <c r="N583" s="275"/>
    </row>
    <row r="584">
      <c r="B584" s="275"/>
      <c r="C584" s="275"/>
      <c r="D584" s="275"/>
      <c r="E584" s="275"/>
      <c r="F584" s="275"/>
      <c r="G584" s="275"/>
      <c r="H584" s="275"/>
      <c r="I584" s="275"/>
      <c r="J584" s="275"/>
      <c r="K584" s="275"/>
      <c r="L584" s="275"/>
      <c r="M584" s="275"/>
      <c r="N584" s="275"/>
    </row>
    <row r="585">
      <c r="B585" s="275"/>
      <c r="C585" s="275"/>
      <c r="D585" s="275"/>
      <c r="E585" s="275"/>
      <c r="F585" s="275"/>
      <c r="G585" s="275"/>
      <c r="H585" s="275"/>
      <c r="I585" s="275"/>
      <c r="J585" s="275"/>
      <c r="K585" s="275"/>
      <c r="L585" s="275"/>
      <c r="M585" s="275"/>
      <c r="N585" s="275"/>
    </row>
    <row r="586">
      <c r="B586" s="275"/>
      <c r="C586" s="275"/>
      <c r="D586" s="275"/>
      <c r="E586" s="275"/>
      <c r="F586" s="275"/>
      <c r="G586" s="275"/>
      <c r="H586" s="275"/>
      <c r="I586" s="275"/>
      <c r="J586" s="275"/>
      <c r="K586" s="275"/>
      <c r="L586" s="275"/>
      <c r="M586" s="275"/>
      <c r="N586" s="275"/>
    </row>
    <row r="587">
      <c r="B587" s="275"/>
      <c r="C587" s="275"/>
      <c r="D587" s="275"/>
      <c r="E587" s="275"/>
      <c r="F587" s="275"/>
      <c r="G587" s="275"/>
      <c r="H587" s="275"/>
      <c r="I587" s="275"/>
      <c r="J587" s="275"/>
      <c r="K587" s="275"/>
      <c r="L587" s="275"/>
      <c r="M587" s="275"/>
      <c r="N587" s="275"/>
    </row>
    <row r="588">
      <c r="B588" s="275"/>
      <c r="C588" s="275"/>
      <c r="D588" s="275"/>
      <c r="E588" s="275"/>
      <c r="F588" s="275"/>
      <c r="G588" s="275"/>
      <c r="H588" s="275"/>
      <c r="I588" s="275"/>
      <c r="J588" s="275"/>
      <c r="K588" s="275"/>
      <c r="L588" s="275"/>
      <c r="M588" s="275"/>
      <c r="N588" s="275"/>
    </row>
    <row r="589">
      <c r="B589" s="275"/>
      <c r="C589" s="275"/>
      <c r="D589" s="275"/>
      <c r="E589" s="275"/>
      <c r="F589" s="275"/>
      <c r="G589" s="275"/>
      <c r="H589" s="275"/>
      <c r="I589" s="275"/>
      <c r="J589" s="275"/>
      <c r="K589" s="275"/>
      <c r="L589" s="275"/>
      <c r="M589" s="275"/>
      <c r="N589" s="275"/>
    </row>
    <row r="590">
      <c r="B590" s="275"/>
      <c r="C590" s="275"/>
      <c r="D590" s="275"/>
      <c r="E590" s="275"/>
      <c r="F590" s="275"/>
      <c r="G590" s="275"/>
      <c r="H590" s="275"/>
      <c r="I590" s="275"/>
      <c r="J590" s="275"/>
      <c r="K590" s="275"/>
      <c r="L590" s="275"/>
      <c r="M590" s="275"/>
      <c r="N590" s="275"/>
    </row>
    <row r="591">
      <c r="B591" s="275"/>
      <c r="C591" s="275"/>
      <c r="D591" s="275"/>
      <c r="E591" s="275"/>
      <c r="F591" s="275"/>
      <c r="G591" s="275"/>
      <c r="H591" s="275"/>
      <c r="I591" s="275"/>
      <c r="J591" s="275"/>
      <c r="K591" s="275"/>
      <c r="L591" s="275"/>
      <c r="M591" s="275"/>
      <c r="N591" s="275"/>
    </row>
    <row r="592">
      <c r="B592" s="275"/>
      <c r="C592" s="275"/>
      <c r="D592" s="275"/>
      <c r="E592" s="275"/>
      <c r="F592" s="275"/>
      <c r="G592" s="275"/>
      <c r="H592" s="275"/>
      <c r="I592" s="275"/>
      <c r="J592" s="275"/>
      <c r="K592" s="275"/>
      <c r="L592" s="275"/>
      <c r="M592" s="275"/>
      <c r="N592" s="275"/>
    </row>
    <row r="593">
      <c r="B593" s="275"/>
      <c r="C593" s="275"/>
      <c r="D593" s="275"/>
      <c r="E593" s="275"/>
      <c r="F593" s="275"/>
      <c r="G593" s="275"/>
      <c r="H593" s="275"/>
      <c r="I593" s="275"/>
      <c r="J593" s="275"/>
      <c r="K593" s="275"/>
      <c r="L593" s="275"/>
      <c r="M593" s="275"/>
      <c r="N593" s="275"/>
    </row>
    <row r="594">
      <c r="B594" s="275"/>
      <c r="C594" s="275"/>
      <c r="D594" s="275"/>
      <c r="E594" s="275"/>
      <c r="F594" s="275"/>
      <c r="G594" s="275"/>
      <c r="H594" s="275"/>
      <c r="I594" s="275"/>
      <c r="J594" s="275"/>
      <c r="K594" s="275"/>
      <c r="L594" s="275"/>
      <c r="M594" s="275"/>
      <c r="N594" s="275"/>
    </row>
    <row r="595">
      <c r="B595" s="275"/>
      <c r="C595" s="275"/>
      <c r="D595" s="275"/>
      <c r="E595" s="275"/>
      <c r="F595" s="275"/>
      <c r="G595" s="275"/>
      <c r="H595" s="275"/>
      <c r="I595" s="275"/>
      <c r="J595" s="275"/>
      <c r="K595" s="275"/>
      <c r="L595" s="275"/>
      <c r="M595" s="275"/>
      <c r="N595" s="275"/>
    </row>
    <row r="596">
      <c r="B596" s="275"/>
      <c r="C596" s="275"/>
      <c r="D596" s="275"/>
      <c r="E596" s="275"/>
      <c r="F596" s="275"/>
      <c r="G596" s="275"/>
      <c r="H596" s="275"/>
      <c r="I596" s="275"/>
      <c r="J596" s="275"/>
      <c r="K596" s="275"/>
      <c r="L596" s="275"/>
      <c r="M596" s="275"/>
      <c r="N596" s="275"/>
    </row>
    <row r="597">
      <c r="B597" s="275"/>
      <c r="C597" s="275"/>
      <c r="D597" s="275"/>
      <c r="E597" s="275"/>
      <c r="F597" s="275"/>
      <c r="G597" s="275"/>
      <c r="H597" s="275"/>
      <c r="I597" s="275"/>
      <c r="J597" s="275"/>
      <c r="K597" s="275"/>
      <c r="L597" s="275"/>
      <c r="M597" s="275"/>
      <c r="N597" s="275"/>
    </row>
    <row r="598">
      <c r="B598" s="275"/>
      <c r="C598" s="275"/>
      <c r="D598" s="275"/>
      <c r="E598" s="275"/>
      <c r="F598" s="275"/>
      <c r="G598" s="275"/>
      <c r="H598" s="275"/>
      <c r="I598" s="275"/>
      <c r="J598" s="275"/>
      <c r="K598" s="275"/>
      <c r="L598" s="275"/>
      <c r="M598" s="275"/>
      <c r="N598" s="275"/>
    </row>
    <row r="599">
      <c r="B599" s="275"/>
      <c r="C599" s="275"/>
      <c r="D599" s="275"/>
      <c r="E599" s="275"/>
      <c r="F599" s="275"/>
      <c r="G599" s="275"/>
      <c r="H599" s="275"/>
      <c r="I599" s="275"/>
      <c r="J599" s="275"/>
      <c r="K599" s="275"/>
      <c r="L599" s="275"/>
      <c r="M599" s="275"/>
      <c r="N599" s="275"/>
    </row>
    <row r="600">
      <c r="B600" s="275"/>
      <c r="C600" s="275"/>
      <c r="D600" s="275"/>
      <c r="E600" s="275"/>
      <c r="F600" s="275"/>
      <c r="G600" s="275"/>
      <c r="H600" s="275"/>
      <c r="I600" s="275"/>
      <c r="J600" s="275"/>
      <c r="K600" s="275"/>
      <c r="L600" s="275"/>
      <c r="M600" s="275"/>
      <c r="N600" s="275"/>
    </row>
    <row r="601">
      <c r="B601" s="275"/>
      <c r="C601" s="275"/>
      <c r="D601" s="275"/>
      <c r="E601" s="275"/>
      <c r="F601" s="275"/>
      <c r="G601" s="275"/>
      <c r="H601" s="275"/>
      <c r="I601" s="275"/>
      <c r="J601" s="275"/>
      <c r="K601" s="275"/>
      <c r="L601" s="275"/>
      <c r="M601" s="275"/>
      <c r="N601" s="275"/>
    </row>
    <row r="602">
      <c r="B602" s="275"/>
      <c r="C602" s="275"/>
      <c r="D602" s="275"/>
      <c r="E602" s="275"/>
      <c r="F602" s="275"/>
      <c r="G602" s="275"/>
      <c r="H602" s="275"/>
      <c r="I602" s="275"/>
      <c r="J602" s="275"/>
      <c r="K602" s="275"/>
      <c r="L602" s="275"/>
      <c r="M602" s="275"/>
      <c r="N602" s="275"/>
    </row>
    <row r="603">
      <c r="B603" s="275"/>
      <c r="C603" s="275"/>
      <c r="D603" s="275"/>
      <c r="E603" s="275"/>
      <c r="F603" s="275"/>
      <c r="G603" s="275"/>
      <c r="H603" s="275"/>
      <c r="I603" s="275"/>
      <c r="J603" s="275"/>
      <c r="K603" s="275"/>
      <c r="L603" s="275"/>
      <c r="M603" s="275"/>
      <c r="N603" s="275"/>
    </row>
    <row r="604">
      <c r="B604" s="275"/>
      <c r="C604" s="275"/>
      <c r="D604" s="275"/>
      <c r="E604" s="275"/>
      <c r="F604" s="275"/>
      <c r="G604" s="275"/>
      <c r="H604" s="275"/>
      <c r="I604" s="275"/>
      <c r="J604" s="275"/>
      <c r="K604" s="275"/>
      <c r="L604" s="275"/>
      <c r="M604" s="275"/>
      <c r="N604" s="275"/>
    </row>
    <row r="605">
      <c r="B605" s="275"/>
      <c r="C605" s="275"/>
      <c r="D605" s="275"/>
      <c r="E605" s="275"/>
      <c r="F605" s="275"/>
      <c r="G605" s="275"/>
      <c r="H605" s="275"/>
      <c r="I605" s="275"/>
      <c r="J605" s="275"/>
      <c r="K605" s="275"/>
      <c r="L605" s="275"/>
      <c r="M605" s="275"/>
      <c r="N605" s="275"/>
    </row>
    <row r="606">
      <c r="B606" s="275"/>
      <c r="C606" s="275"/>
      <c r="D606" s="275"/>
      <c r="E606" s="275"/>
      <c r="F606" s="275"/>
      <c r="G606" s="275"/>
      <c r="H606" s="275"/>
      <c r="I606" s="275"/>
      <c r="J606" s="275"/>
      <c r="K606" s="275"/>
      <c r="L606" s="275"/>
      <c r="M606" s="275"/>
      <c r="N606" s="275"/>
    </row>
    <row r="607">
      <c r="B607" s="275"/>
      <c r="C607" s="275"/>
      <c r="D607" s="275"/>
      <c r="E607" s="275"/>
      <c r="F607" s="275"/>
      <c r="G607" s="275"/>
      <c r="H607" s="275"/>
      <c r="I607" s="275"/>
      <c r="J607" s="275"/>
      <c r="K607" s="275"/>
      <c r="L607" s="275"/>
      <c r="M607" s="275"/>
      <c r="N607" s="275"/>
    </row>
    <row r="608">
      <c r="B608" s="275"/>
      <c r="C608" s="275"/>
      <c r="D608" s="275"/>
      <c r="E608" s="275"/>
      <c r="F608" s="275"/>
      <c r="G608" s="275"/>
      <c r="H608" s="275"/>
      <c r="I608" s="275"/>
      <c r="J608" s="275"/>
      <c r="K608" s="275"/>
      <c r="L608" s="275"/>
      <c r="M608" s="275"/>
      <c r="N608" s="275"/>
    </row>
    <row r="609">
      <c r="B609" s="275"/>
      <c r="C609" s="275"/>
      <c r="D609" s="275"/>
      <c r="E609" s="275"/>
      <c r="F609" s="275"/>
      <c r="G609" s="275"/>
      <c r="H609" s="275"/>
      <c r="I609" s="275"/>
      <c r="J609" s="275"/>
      <c r="K609" s="275"/>
      <c r="L609" s="275"/>
      <c r="M609" s="275"/>
      <c r="N609" s="275"/>
    </row>
    <row r="610">
      <c r="B610" s="275"/>
      <c r="C610" s="275"/>
      <c r="D610" s="275"/>
      <c r="E610" s="275"/>
      <c r="F610" s="275"/>
      <c r="G610" s="275"/>
      <c r="H610" s="275"/>
      <c r="I610" s="275"/>
      <c r="J610" s="275"/>
      <c r="K610" s="275"/>
      <c r="L610" s="275"/>
      <c r="M610" s="275"/>
      <c r="N610" s="275"/>
    </row>
    <row r="611">
      <c r="B611" s="275"/>
      <c r="C611" s="275"/>
      <c r="D611" s="275"/>
      <c r="E611" s="275"/>
      <c r="F611" s="275"/>
      <c r="G611" s="275"/>
      <c r="H611" s="275"/>
      <c r="I611" s="275"/>
      <c r="J611" s="275"/>
      <c r="K611" s="275"/>
      <c r="L611" s="275"/>
      <c r="M611" s="275"/>
      <c r="N611" s="275"/>
    </row>
    <row r="612">
      <c r="B612" s="275"/>
      <c r="C612" s="275"/>
      <c r="D612" s="275"/>
      <c r="E612" s="275"/>
      <c r="F612" s="275"/>
      <c r="G612" s="275"/>
      <c r="H612" s="275"/>
      <c r="I612" s="275"/>
      <c r="J612" s="275"/>
      <c r="K612" s="275"/>
      <c r="L612" s="275"/>
      <c r="M612" s="275"/>
      <c r="N612" s="275"/>
    </row>
    <row r="613">
      <c r="B613" s="275"/>
      <c r="C613" s="275"/>
      <c r="D613" s="275"/>
      <c r="E613" s="275"/>
      <c r="F613" s="275"/>
      <c r="G613" s="275"/>
      <c r="H613" s="275"/>
      <c r="I613" s="275"/>
      <c r="J613" s="275"/>
      <c r="K613" s="275"/>
      <c r="L613" s="275"/>
      <c r="M613" s="275"/>
      <c r="N613" s="275"/>
    </row>
    <row r="614">
      <c r="B614" s="275"/>
      <c r="C614" s="275"/>
      <c r="D614" s="275"/>
      <c r="E614" s="275"/>
      <c r="F614" s="275"/>
      <c r="G614" s="275"/>
      <c r="H614" s="275"/>
      <c r="I614" s="275"/>
      <c r="J614" s="275"/>
      <c r="K614" s="275"/>
      <c r="L614" s="275"/>
      <c r="M614" s="275"/>
      <c r="N614" s="275"/>
    </row>
    <row r="615">
      <c r="B615" s="275"/>
      <c r="C615" s="275"/>
      <c r="D615" s="275"/>
      <c r="E615" s="275"/>
      <c r="F615" s="275"/>
      <c r="G615" s="275"/>
      <c r="H615" s="275"/>
      <c r="I615" s="275"/>
      <c r="J615" s="275"/>
      <c r="K615" s="275"/>
      <c r="L615" s="275"/>
      <c r="M615" s="275"/>
      <c r="N615" s="275"/>
    </row>
    <row r="616">
      <c r="B616" s="275"/>
      <c r="C616" s="275"/>
      <c r="D616" s="275"/>
      <c r="E616" s="275"/>
      <c r="F616" s="275"/>
      <c r="G616" s="275"/>
      <c r="H616" s="275"/>
      <c r="I616" s="275"/>
      <c r="J616" s="275"/>
      <c r="K616" s="275"/>
      <c r="L616" s="275"/>
      <c r="M616" s="275"/>
      <c r="N616" s="275"/>
    </row>
    <row r="617">
      <c r="B617" s="275"/>
      <c r="C617" s="275"/>
      <c r="D617" s="275"/>
      <c r="E617" s="275"/>
      <c r="F617" s="275"/>
      <c r="G617" s="275"/>
      <c r="H617" s="275"/>
      <c r="I617" s="275"/>
      <c r="J617" s="275"/>
      <c r="K617" s="275"/>
      <c r="L617" s="275"/>
      <c r="M617" s="275"/>
      <c r="N617" s="275"/>
    </row>
    <row r="618">
      <c r="B618" s="275"/>
      <c r="C618" s="275"/>
      <c r="D618" s="275"/>
      <c r="E618" s="275"/>
      <c r="F618" s="275"/>
      <c r="G618" s="275"/>
      <c r="H618" s="275"/>
      <c r="I618" s="275"/>
      <c r="J618" s="275"/>
      <c r="K618" s="275"/>
      <c r="L618" s="275"/>
      <c r="M618" s="275"/>
      <c r="N618" s="275"/>
    </row>
    <row r="619">
      <c r="B619" s="275"/>
      <c r="C619" s="275"/>
      <c r="D619" s="275"/>
      <c r="E619" s="275"/>
      <c r="F619" s="275"/>
      <c r="G619" s="275"/>
      <c r="H619" s="275"/>
      <c r="I619" s="275"/>
      <c r="J619" s="275"/>
      <c r="K619" s="275"/>
      <c r="L619" s="275"/>
      <c r="M619" s="275"/>
      <c r="N619" s="275"/>
    </row>
    <row r="620">
      <c r="B620" s="275"/>
      <c r="C620" s="275"/>
      <c r="D620" s="275"/>
      <c r="E620" s="275"/>
      <c r="F620" s="275"/>
      <c r="G620" s="275"/>
      <c r="H620" s="275"/>
      <c r="I620" s="275"/>
      <c r="J620" s="275"/>
      <c r="K620" s="275"/>
      <c r="L620" s="275"/>
      <c r="M620" s="275"/>
      <c r="N620" s="275"/>
    </row>
    <row r="621">
      <c r="B621" s="275"/>
      <c r="C621" s="275"/>
      <c r="D621" s="275"/>
      <c r="E621" s="275"/>
      <c r="F621" s="275"/>
      <c r="G621" s="275"/>
      <c r="H621" s="275"/>
      <c r="I621" s="275"/>
      <c r="J621" s="275"/>
      <c r="K621" s="275"/>
      <c r="L621" s="275"/>
      <c r="M621" s="275"/>
      <c r="N621" s="275"/>
    </row>
    <row r="622">
      <c r="B622" s="275"/>
      <c r="C622" s="275"/>
      <c r="D622" s="275"/>
      <c r="E622" s="275"/>
      <c r="F622" s="275"/>
      <c r="G622" s="275"/>
      <c r="H622" s="275"/>
      <c r="I622" s="275"/>
      <c r="J622" s="275"/>
      <c r="K622" s="275"/>
      <c r="L622" s="275"/>
      <c r="M622" s="275"/>
      <c r="N622" s="275"/>
    </row>
    <row r="623">
      <c r="B623" s="275"/>
      <c r="C623" s="275"/>
      <c r="D623" s="275"/>
      <c r="E623" s="275"/>
      <c r="F623" s="275"/>
      <c r="G623" s="275"/>
      <c r="H623" s="275"/>
      <c r="I623" s="275"/>
      <c r="J623" s="275"/>
      <c r="K623" s="275"/>
      <c r="L623" s="275"/>
      <c r="M623" s="275"/>
      <c r="N623" s="275"/>
    </row>
    <row r="624">
      <c r="B624" s="275"/>
      <c r="C624" s="275"/>
      <c r="D624" s="275"/>
      <c r="E624" s="275"/>
      <c r="F624" s="275"/>
      <c r="G624" s="275"/>
      <c r="H624" s="275"/>
      <c r="I624" s="275"/>
      <c r="J624" s="275"/>
      <c r="K624" s="275"/>
      <c r="L624" s="275"/>
      <c r="M624" s="275"/>
      <c r="N624" s="275"/>
    </row>
    <row r="625">
      <c r="B625" s="275"/>
      <c r="C625" s="275"/>
      <c r="D625" s="275"/>
      <c r="E625" s="275"/>
      <c r="F625" s="275"/>
      <c r="G625" s="275"/>
      <c r="H625" s="275"/>
      <c r="I625" s="275"/>
      <c r="J625" s="275"/>
      <c r="K625" s="275"/>
      <c r="L625" s="275"/>
      <c r="M625" s="275"/>
      <c r="N625" s="275"/>
    </row>
    <row r="626">
      <c r="B626" s="275"/>
      <c r="C626" s="275"/>
      <c r="D626" s="275"/>
      <c r="E626" s="275"/>
      <c r="F626" s="275"/>
      <c r="G626" s="275"/>
      <c r="H626" s="275"/>
      <c r="I626" s="275"/>
      <c r="J626" s="275"/>
      <c r="K626" s="275"/>
      <c r="L626" s="275"/>
      <c r="M626" s="275"/>
      <c r="N626" s="275"/>
    </row>
    <row r="627">
      <c r="B627" s="275"/>
      <c r="C627" s="275"/>
      <c r="D627" s="275"/>
      <c r="E627" s="275"/>
      <c r="F627" s="275"/>
      <c r="G627" s="275"/>
      <c r="H627" s="275"/>
      <c r="I627" s="275"/>
      <c r="J627" s="275"/>
      <c r="K627" s="275"/>
      <c r="L627" s="275"/>
      <c r="M627" s="275"/>
      <c r="N627" s="275"/>
    </row>
    <row r="628">
      <c r="B628" s="275"/>
      <c r="C628" s="275"/>
      <c r="D628" s="275"/>
      <c r="E628" s="275"/>
      <c r="F628" s="275"/>
      <c r="G628" s="275"/>
      <c r="H628" s="275"/>
      <c r="I628" s="275"/>
      <c r="J628" s="275"/>
      <c r="K628" s="275"/>
      <c r="L628" s="275"/>
      <c r="M628" s="275"/>
      <c r="N628" s="275"/>
    </row>
    <row r="629">
      <c r="B629" s="275"/>
      <c r="C629" s="275"/>
      <c r="D629" s="275"/>
      <c r="E629" s="275"/>
      <c r="F629" s="275"/>
      <c r="G629" s="275"/>
      <c r="H629" s="275"/>
      <c r="I629" s="275"/>
      <c r="J629" s="275"/>
      <c r="K629" s="275"/>
      <c r="L629" s="275"/>
      <c r="M629" s="275"/>
      <c r="N629" s="275"/>
    </row>
    <row r="630">
      <c r="B630" s="275"/>
      <c r="C630" s="275"/>
      <c r="D630" s="275"/>
      <c r="E630" s="275"/>
      <c r="F630" s="275"/>
      <c r="G630" s="275"/>
      <c r="H630" s="275"/>
      <c r="I630" s="275"/>
      <c r="J630" s="275"/>
      <c r="K630" s="275"/>
      <c r="L630" s="275"/>
      <c r="M630" s="275"/>
      <c r="N630" s="275"/>
    </row>
    <row r="631">
      <c r="B631" s="275"/>
      <c r="C631" s="275"/>
      <c r="D631" s="275"/>
      <c r="E631" s="275"/>
      <c r="F631" s="275"/>
      <c r="G631" s="275"/>
      <c r="H631" s="275"/>
      <c r="I631" s="275"/>
      <c r="J631" s="275"/>
      <c r="K631" s="275"/>
      <c r="L631" s="275"/>
      <c r="M631" s="275"/>
      <c r="N631" s="275"/>
    </row>
    <row r="632">
      <c r="B632" s="275"/>
      <c r="C632" s="275"/>
      <c r="D632" s="275"/>
      <c r="E632" s="275"/>
      <c r="F632" s="275"/>
      <c r="G632" s="275"/>
      <c r="H632" s="275"/>
      <c r="I632" s="275"/>
      <c r="J632" s="275"/>
      <c r="K632" s="275"/>
      <c r="L632" s="275"/>
      <c r="M632" s="275"/>
      <c r="N632" s="275"/>
    </row>
    <row r="633">
      <c r="B633" s="275"/>
      <c r="C633" s="275"/>
      <c r="D633" s="275"/>
      <c r="E633" s="275"/>
      <c r="F633" s="275"/>
      <c r="G633" s="275"/>
      <c r="H633" s="275"/>
      <c r="I633" s="275"/>
      <c r="J633" s="275"/>
      <c r="K633" s="275"/>
      <c r="L633" s="275"/>
      <c r="M633" s="275"/>
      <c r="N633" s="275"/>
    </row>
    <row r="634">
      <c r="B634" s="275"/>
      <c r="C634" s="275"/>
      <c r="D634" s="275"/>
      <c r="E634" s="275"/>
      <c r="F634" s="275"/>
      <c r="G634" s="275"/>
      <c r="H634" s="275"/>
      <c r="I634" s="275"/>
      <c r="J634" s="275"/>
      <c r="K634" s="275"/>
      <c r="L634" s="275"/>
      <c r="M634" s="275"/>
      <c r="N634" s="275"/>
    </row>
    <row r="635">
      <c r="B635" s="275"/>
      <c r="C635" s="275"/>
      <c r="D635" s="275"/>
      <c r="E635" s="275"/>
      <c r="F635" s="275"/>
      <c r="G635" s="275"/>
      <c r="H635" s="275"/>
      <c r="I635" s="275"/>
      <c r="J635" s="275"/>
      <c r="K635" s="275"/>
      <c r="L635" s="275"/>
      <c r="M635" s="275"/>
      <c r="N635" s="275"/>
    </row>
    <row r="636">
      <c r="B636" s="275"/>
      <c r="C636" s="275"/>
      <c r="D636" s="275"/>
      <c r="E636" s="275"/>
      <c r="F636" s="275"/>
      <c r="G636" s="275"/>
      <c r="H636" s="275"/>
      <c r="I636" s="275"/>
      <c r="J636" s="275"/>
      <c r="K636" s="275"/>
      <c r="L636" s="275"/>
      <c r="M636" s="275"/>
      <c r="N636" s="275"/>
    </row>
    <row r="637">
      <c r="B637" s="275"/>
      <c r="C637" s="275"/>
      <c r="D637" s="275"/>
      <c r="E637" s="275"/>
      <c r="F637" s="275"/>
      <c r="G637" s="275"/>
      <c r="H637" s="275"/>
      <c r="I637" s="275"/>
      <c r="J637" s="275"/>
      <c r="K637" s="275"/>
      <c r="L637" s="275"/>
      <c r="M637" s="275"/>
      <c r="N637" s="275"/>
    </row>
    <row r="638">
      <c r="B638" s="275"/>
      <c r="C638" s="275"/>
      <c r="D638" s="275"/>
      <c r="E638" s="275"/>
      <c r="F638" s="275"/>
      <c r="G638" s="275"/>
      <c r="H638" s="275"/>
      <c r="I638" s="275"/>
      <c r="J638" s="275"/>
      <c r="K638" s="275"/>
      <c r="L638" s="275"/>
      <c r="M638" s="275"/>
      <c r="N638" s="275"/>
    </row>
    <row r="639">
      <c r="B639" s="275"/>
      <c r="C639" s="275"/>
      <c r="D639" s="275"/>
      <c r="E639" s="275"/>
      <c r="F639" s="275"/>
      <c r="G639" s="275"/>
      <c r="H639" s="275"/>
      <c r="I639" s="275"/>
      <c r="J639" s="275"/>
      <c r="K639" s="275"/>
      <c r="L639" s="275"/>
      <c r="M639" s="275"/>
      <c r="N639" s="275"/>
    </row>
    <row r="640">
      <c r="B640" s="275"/>
      <c r="C640" s="275"/>
      <c r="D640" s="275"/>
      <c r="E640" s="275"/>
      <c r="F640" s="275"/>
      <c r="G640" s="275"/>
      <c r="H640" s="275"/>
      <c r="I640" s="275"/>
      <c r="J640" s="275"/>
      <c r="K640" s="275"/>
      <c r="L640" s="275"/>
      <c r="M640" s="275"/>
      <c r="N640" s="275"/>
    </row>
    <row r="641">
      <c r="B641" s="275"/>
      <c r="C641" s="275"/>
      <c r="D641" s="275"/>
      <c r="E641" s="275"/>
      <c r="F641" s="275"/>
      <c r="G641" s="275"/>
      <c r="H641" s="275"/>
      <c r="I641" s="275"/>
      <c r="J641" s="275"/>
      <c r="K641" s="275"/>
      <c r="L641" s="275"/>
      <c r="M641" s="275"/>
      <c r="N641" s="275"/>
    </row>
    <row r="642">
      <c r="B642" s="275"/>
      <c r="C642" s="275"/>
      <c r="D642" s="275"/>
      <c r="E642" s="275"/>
      <c r="F642" s="275"/>
      <c r="G642" s="275"/>
      <c r="H642" s="275"/>
      <c r="I642" s="275"/>
      <c r="J642" s="275"/>
      <c r="K642" s="275"/>
      <c r="L642" s="275"/>
      <c r="M642" s="275"/>
      <c r="N642" s="275"/>
    </row>
    <row r="643">
      <c r="B643" s="275"/>
      <c r="C643" s="275"/>
      <c r="D643" s="275"/>
      <c r="E643" s="275"/>
      <c r="F643" s="275"/>
      <c r="G643" s="275"/>
      <c r="H643" s="275"/>
      <c r="I643" s="275"/>
      <c r="J643" s="275"/>
      <c r="K643" s="275"/>
      <c r="L643" s="275"/>
      <c r="M643" s="275"/>
      <c r="N643" s="275"/>
    </row>
    <row r="644">
      <c r="B644" s="275"/>
      <c r="C644" s="275"/>
      <c r="D644" s="275"/>
      <c r="E644" s="275"/>
      <c r="F644" s="275"/>
      <c r="G644" s="275"/>
      <c r="H644" s="275"/>
      <c r="I644" s="275"/>
      <c r="J644" s="275"/>
      <c r="K644" s="275"/>
      <c r="L644" s="275"/>
      <c r="M644" s="275"/>
      <c r="N644" s="275"/>
    </row>
    <row r="645">
      <c r="B645" s="275"/>
      <c r="C645" s="275"/>
      <c r="D645" s="275"/>
      <c r="E645" s="275"/>
      <c r="F645" s="275"/>
      <c r="G645" s="275"/>
      <c r="H645" s="275"/>
      <c r="I645" s="275"/>
      <c r="J645" s="275"/>
      <c r="K645" s="275"/>
      <c r="L645" s="275"/>
      <c r="M645" s="275"/>
      <c r="N645" s="275"/>
    </row>
    <row r="646">
      <c r="B646" s="275"/>
      <c r="C646" s="275"/>
      <c r="D646" s="275"/>
      <c r="E646" s="275"/>
      <c r="F646" s="275"/>
      <c r="G646" s="275"/>
      <c r="H646" s="275"/>
      <c r="I646" s="275"/>
      <c r="J646" s="275"/>
      <c r="K646" s="275"/>
      <c r="L646" s="275"/>
      <c r="M646" s="275"/>
      <c r="N646" s="275"/>
    </row>
    <row r="647">
      <c r="B647" s="275"/>
      <c r="C647" s="275"/>
      <c r="D647" s="275"/>
      <c r="E647" s="275"/>
      <c r="F647" s="275"/>
      <c r="G647" s="275"/>
      <c r="H647" s="275"/>
      <c r="I647" s="275"/>
      <c r="J647" s="275"/>
      <c r="K647" s="275"/>
      <c r="L647" s="275"/>
      <c r="M647" s="275"/>
      <c r="N647" s="275"/>
    </row>
    <row r="648">
      <c r="B648" s="275"/>
      <c r="C648" s="275"/>
      <c r="D648" s="275"/>
      <c r="E648" s="275"/>
      <c r="F648" s="275"/>
      <c r="G648" s="275"/>
      <c r="H648" s="275"/>
      <c r="I648" s="275"/>
      <c r="J648" s="275"/>
      <c r="K648" s="275"/>
      <c r="L648" s="275"/>
      <c r="M648" s="275"/>
      <c r="N648" s="275"/>
    </row>
    <row r="649">
      <c r="B649" s="275"/>
      <c r="C649" s="275"/>
      <c r="D649" s="275"/>
      <c r="E649" s="275"/>
      <c r="F649" s="275"/>
      <c r="G649" s="275"/>
      <c r="H649" s="275"/>
      <c r="I649" s="275"/>
      <c r="J649" s="275"/>
      <c r="K649" s="275"/>
      <c r="L649" s="275"/>
      <c r="M649" s="275"/>
      <c r="N649" s="275"/>
    </row>
    <row r="650">
      <c r="B650" s="275"/>
      <c r="C650" s="275"/>
      <c r="D650" s="275"/>
      <c r="E650" s="275"/>
      <c r="F650" s="275"/>
      <c r="G650" s="275"/>
      <c r="H650" s="275"/>
      <c r="I650" s="275"/>
      <c r="J650" s="275"/>
      <c r="K650" s="275"/>
      <c r="L650" s="275"/>
      <c r="M650" s="275"/>
      <c r="N650" s="275"/>
    </row>
    <row r="651">
      <c r="B651" s="275"/>
      <c r="C651" s="275"/>
      <c r="D651" s="275"/>
      <c r="E651" s="275"/>
      <c r="F651" s="275"/>
      <c r="G651" s="275"/>
      <c r="H651" s="275"/>
      <c r="I651" s="275"/>
      <c r="J651" s="275"/>
      <c r="K651" s="275"/>
      <c r="L651" s="275"/>
      <c r="M651" s="275"/>
      <c r="N651" s="275"/>
    </row>
    <row r="652">
      <c r="B652" s="275"/>
      <c r="C652" s="275"/>
      <c r="D652" s="275"/>
      <c r="E652" s="275"/>
      <c r="F652" s="275"/>
      <c r="G652" s="275"/>
      <c r="H652" s="275"/>
      <c r="I652" s="275"/>
      <c r="J652" s="275"/>
      <c r="K652" s="275"/>
      <c r="L652" s="275"/>
      <c r="M652" s="275"/>
      <c r="N652" s="275"/>
    </row>
    <row r="653">
      <c r="B653" s="275"/>
      <c r="C653" s="275"/>
      <c r="D653" s="275"/>
      <c r="E653" s="275"/>
      <c r="F653" s="275"/>
      <c r="G653" s="275"/>
      <c r="H653" s="275"/>
      <c r="I653" s="275"/>
      <c r="J653" s="275"/>
      <c r="K653" s="275"/>
      <c r="L653" s="275"/>
      <c r="M653" s="275"/>
      <c r="N653" s="275"/>
    </row>
    <row r="654">
      <c r="B654" s="275"/>
      <c r="C654" s="275"/>
      <c r="D654" s="275"/>
      <c r="E654" s="275"/>
      <c r="F654" s="275"/>
      <c r="G654" s="275"/>
      <c r="H654" s="275"/>
      <c r="I654" s="275"/>
      <c r="J654" s="275"/>
      <c r="K654" s="275"/>
      <c r="L654" s="275"/>
      <c r="M654" s="275"/>
      <c r="N654" s="275"/>
    </row>
    <row r="655">
      <c r="B655" s="275"/>
      <c r="C655" s="275"/>
      <c r="D655" s="275"/>
      <c r="E655" s="275"/>
      <c r="F655" s="275"/>
      <c r="G655" s="275"/>
      <c r="H655" s="275"/>
      <c r="I655" s="275"/>
      <c r="J655" s="275"/>
      <c r="K655" s="275"/>
      <c r="L655" s="275"/>
      <c r="M655" s="275"/>
      <c r="N655" s="275"/>
    </row>
    <row r="656">
      <c r="B656" s="275"/>
      <c r="C656" s="275"/>
      <c r="D656" s="275"/>
      <c r="E656" s="275"/>
      <c r="F656" s="275"/>
      <c r="G656" s="275"/>
      <c r="H656" s="275"/>
      <c r="I656" s="275"/>
      <c r="J656" s="275"/>
      <c r="K656" s="275"/>
      <c r="L656" s="275"/>
      <c r="M656" s="275"/>
      <c r="N656" s="275"/>
    </row>
    <row r="657">
      <c r="B657" s="275"/>
      <c r="C657" s="275"/>
      <c r="D657" s="275"/>
      <c r="E657" s="275"/>
      <c r="F657" s="275"/>
      <c r="G657" s="275"/>
      <c r="H657" s="275"/>
      <c r="I657" s="275"/>
      <c r="J657" s="275"/>
      <c r="K657" s="275"/>
      <c r="L657" s="275"/>
      <c r="M657" s="275"/>
      <c r="N657" s="275"/>
    </row>
    <row r="658">
      <c r="B658" s="275"/>
      <c r="C658" s="275"/>
      <c r="D658" s="275"/>
      <c r="E658" s="275"/>
      <c r="F658" s="275"/>
      <c r="G658" s="275"/>
      <c r="H658" s="275"/>
      <c r="I658" s="275"/>
      <c r="J658" s="275"/>
      <c r="K658" s="275"/>
      <c r="L658" s="275"/>
      <c r="M658" s="275"/>
      <c r="N658" s="275"/>
    </row>
    <row r="659">
      <c r="B659" s="275"/>
      <c r="C659" s="275"/>
      <c r="D659" s="275"/>
      <c r="E659" s="275"/>
      <c r="F659" s="275"/>
      <c r="G659" s="275"/>
      <c r="H659" s="275"/>
      <c r="I659" s="275"/>
      <c r="J659" s="275"/>
      <c r="K659" s="275"/>
      <c r="L659" s="275"/>
      <c r="M659" s="275"/>
      <c r="N659" s="275"/>
    </row>
    <row r="660">
      <c r="B660" s="275"/>
      <c r="C660" s="275"/>
      <c r="D660" s="275"/>
      <c r="E660" s="275"/>
      <c r="F660" s="275"/>
      <c r="G660" s="275"/>
      <c r="H660" s="275"/>
      <c r="I660" s="275"/>
      <c r="J660" s="275"/>
      <c r="K660" s="275"/>
      <c r="L660" s="275"/>
      <c r="M660" s="275"/>
      <c r="N660" s="275"/>
    </row>
    <row r="661">
      <c r="B661" s="275"/>
      <c r="C661" s="275"/>
      <c r="D661" s="275"/>
      <c r="E661" s="275"/>
      <c r="F661" s="275"/>
      <c r="G661" s="275"/>
      <c r="H661" s="275"/>
      <c r="I661" s="275"/>
      <c r="J661" s="275"/>
      <c r="K661" s="275"/>
      <c r="L661" s="275"/>
      <c r="M661" s="275"/>
      <c r="N661" s="275"/>
    </row>
    <row r="662">
      <c r="B662" s="275"/>
      <c r="C662" s="275"/>
      <c r="D662" s="275"/>
      <c r="E662" s="275"/>
      <c r="F662" s="275"/>
      <c r="G662" s="275"/>
      <c r="H662" s="275"/>
      <c r="I662" s="275"/>
      <c r="J662" s="275"/>
      <c r="K662" s="275"/>
      <c r="L662" s="275"/>
      <c r="M662" s="275"/>
      <c r="N662" s="275"/>
    </row>
    <row r="663">
      <c r="B663" s="275"/>
      <c r="C663" s="275"/>
      <c r="D663" s="275"/>
      <c r="E663" s="275"/>
      <c r="F663" s="275"/>
      <c r="G663" s="275"/>
      <c r="H663" s="275"/>
      <c r="I663" s="275"/>
      <c r="J663" s="275"/>
      <c r="K663" s="275"/>
      <c r="L663" s="275"/>
      <c r="M663" s="275"/>
      <c r="N663" s="275"/>
    </row>
    <row r="664">
      <c r="B664" s="275"/>
      <c r="C664" s="275"/>
      <c r="D664" s="275"/>
      <c r="E664" s="275"/>
      <c r="F664" s="275"/>
      <c r="G664" s="275"/>
      <c r="H664" s="275"/>
      <c r="I664" s="275"/>
      <c r="J664" s="275"/>
      <c r="K664" s="275"/>
      <c r="L664" s="275"/>
      <c r="M664" s="275"/>
      <c r="N664" s="275"/>
    </row>
    <row r="665">
      <c r="B665" s="275"/>
      <c r="C665" s="275"/>
      <c r="D665" s="275"/>
      <c r="E665" s="275"/>
      <c r="F665" s="275"/>
      <c r="G665" s="275"/>
      <c r="H665" s="275"/>
      <c r="I665" s="275"/>
      <c r="J665" s="275"/>
      <c r="K665" s="275"/>
      <c r="L665" s="275"/>
      <c r="M665" s="275"/>
      <c r="N665" s="275"/>
    </row>
    <row r="666">
      <c r="B666" s="275"/>
      <c r="C666" s="275"/>
      <c r="D666" s="275"/>
      <c r="E666" s="275"/>
      <c r="F666" s="275"/>
      <c r="G666" s="275"/>
      <c r="H666" s="275"/>
      <c r="I666" s="275"/>
      <c r="J666" s="275"/>
      <c r="K666" s="275"/>
      <c r="L666" s="275"/>
      <c r="M666" s="275"/>
      <c r="N666" s="275"/>
    </row>
    <row r="667">
      <c r="B667" s="275"/>
      <c r="C667" s="275"/>
      <c r="D667" s="275"/>
      <c r="E667" s="275"/>
      <c r="F667" s="275"/>
      <c r="G667" s="275"/>
      <c r="H667" s="275"/>
      <c r="I667" s="275"/>
      <c r="J667" s="275"/>
      <c r="K667" s="275"/>
      <c r="L667" s="275"/>
      <c r="M667" s="275"/>
      <c r="N667" s="275"/>
    </row>
    <row r="668">
      <c r="B668" s="275"/>
      <c r="C668" s="275"/>
      <c r="D668" s="275"/>
      <c r="E668" s="275"/>
      <c r="F668" s="275"/>
      <c r="G668" s="275"/>
      <c r="H668" s="275"/>
      <c r="I668" s="275"/>
      <c r="J668" s="275"/>
      <c r="K668" s="275"/>
      <c r="L668" s="275"/>
      <c r="M668" s="275"/>
      <c r="N668" s="275"/>
    </row>
    <row r="669">
      <c r="B669" s="275"/>
      <c r="C669" s="275"/>
      <c r="D669" s="275"/>
      <c r="E669" s="275"/>
      <c r="F669" s="275"/>
      <c r="G669" s="275"/>
      <c r="H669" s="275"/>
      <c r="I669" s="275"/>
      <c r="J669" s="275"/>
      <c r="K669" s="275"/>
      <c r="L669" s="275"/>
      <c r="M669" s="275"/>
      <c r="N669" s="275"/>
    </row>
    <row r="670">
      <c r="B670" s="275"/>
      <c r="C670" s="275"/>
      <c r="D670" s="275"/>
      <c r="E670" s="275"/>
      <c r="F670" s="275"/>
      <c r="G670" s="275"/>
      <c r="H670" s="275"/>
      <c r="I670" s="275"/>
      <c r="J670" s="275"/>
      <c r="K670" s="275"/>
      <c r="L670" s="275"/>
      <c r="M670" s="275"/>
      <c r="N670" s="275"/>
    </row>
    <row r="671">
      <c r="B671" s="275"/>
      <c r="C671" s="275"/>
      <c r="D671" s="275"/>
      <c r="E671" s="275"/>
      <c r="F671" s="275"/>
      <c r="G671" s="275"/>
      <c r="H671" s="275"/>
      <c r="I671" s="275"/>
      <c r="J671" s="275"/>
      <c r="K671" s="275"/>
      <c r="L671" s="275"/>
      <c r="M671" s="275"/>
      <c r="N671" s="275"/>
    </row>
    <row r="672">
      <c r="B672" s="275"/>
      <c r="C672" s="275"/>
      <c r="D672" s="275"/>
      <c r="E672" s="275"/>
      <c r="F672" s="275"/>
      <c r="G672" s="275"/>
      <c r="H672" s="275"/>
      <c r="I672" s="275"/>
      <c r="J672" s="275"/>
      <c r="K672" s="275"/>
      <c r="L672" s="275"/>
      <c r="M672" s="275"/>
      <c r="N672" s="275"/>
    </row>
    <row r="673">
      <c r="B673" s="275"/>
      <c r="C673" s="275"/>
      <c r="D673" s="275"/>
      <c r="E673" s="275"/>
      <c r="F673" s="275"/>
      <c r="G673" s="275"/>
      <c r="H673" s="275"/>
      <c r="I673" s="275"/>
      <c r="J673" s="275"/>
      <c r="K673" s="275"/>
      <c r="L673" s="275"/>
      <c r="M673" s="275"/>
      <c r="N673" s="275"/>
    </row>
    <row r="674">
      <c r="B674" s="275"/>
      <c r="C674" s="275"/>
      <c r="D674" s="275"/>
      <c r="E674" s="275"/>
      <c r="F674" s="275"/>
      <c r="G674" s="275"/>
      <c r="H674" s="275"/>
      <c r="I674" s="275"/>
      <c r="J674" s="275"/>
      <c r="K674" s="275"/>
      <c r="L674" s="275"/>
      <c r="M674" s="275"/>
      <c r="N674" s="275"/>
    </row>
    <row r="675">
      <c r="B675" s="275"/>
      <c r="C675" s="275"/>
      <c r="D675" s="275"/>
      <c r="E675" s="275"/>
      <c r="F675" s="275"/>
      <c r="G675" s="275"/>
      <c r="H675" s="275"/>
      <c r="I675" s="275"/>
      <c r="J675" s="275"/>
      <c r="K675" s="275"/>
      <c r="L675" s="275"/>
      <c r="M675" s="275"/>
      <c r="N675" s="275"/>
    </row>
    <row r="676">
      <c r="B676" s="275"/>
      <c r="C676" s="275"/>
      <c r="D676" s="275"/>
      <c r="E676" s="275"/>
      <c r="F676" s="275"/>
      <c r="G676" s="275"/>
      <c r="H676" s="275"/>
      <c r="I676" s="275"/>
      <c r="J676" s="275"/>
      <c r="K676" s="275"/>
      <c r="L676" s="275"/>
      <c r="M676" s="275"/>
      <c r="N676" s="275"/>
    </row>
    <row r="677">
      <c r="B677" s="275"/>
      <c r="C677" s="275"/>
      <c r="D677" s="275"/>
      <c r="E677" s="275"/>
      <c r="F677" s="275"/>
      <c r="G677" s="275"/>
      <c r="H677" s="275"/>
      <c r="I677" s="275"/>
      <c r="J677" s="275"/>
      <c r="K677" s="275"/>
      <c r="L677" s="275"/>
      <c r="M677" s="275"/>
      <c r="N677" s="275"/>
    </row>
    <row r="678">
      <c r="B678" s="275"/>
      <c r="C678" s="275"/>
      <c r="D678" s="275"/>
      <c r="E678" s="275"/>
      <c r="F678" s="275"/>
      <c r="G678" s="275"/>
      <c r="H678" s="275"/>
      <c r="I678" s="275"/>
      <c r="J678" s="275"/>
      <c r="K678" s="275"/>
      <c r="L678" s="275"/>
      <c r="M678" s="275"/>
      <c r="N678" s="275"/>
    </row>
    <row r="679">
      <c r="B679" s="275"/>
      <c r="C679" s="275"/>
      <c r="D679" s="275"/>
      <c r="E679" s="275"/>
      <c r="F679" s="275"/>
      <c r="G679" s="275"/>
      <c r="H679" s="275"/>
      <c r="I679" s="275"/>
      <c r="J679" s="275"/>
      <c r="K679" s="275"/>
      <c r="L679" s="275"/>
      <c r="M679" s="275"/>
      <c r="N679" s="275"/>
    </row>
    <row r="680">
      <c r="B680" s="275"/>
      <c r="C680" s="275"/>
      <c r="D680" s="275"/>
      <c r="E680" s="275"/>
      <c r="F680" s="275"/>
      <c r="G680" s="275"/>
      <c r="H680" s="275"/>
      <c r="I680" s="275"/>
      <c r="J680" s="275"/>
      <c r="K680" s="275"/>
      <c r="L680" s="275"/>
      <c r="M680" s="275"/>
      <c r="N680" s="275"/>
    </row>
    <row r="681">
      <c r="B681" s="275"/>
      <c r="C681" s="275"/>
      <c r="D681" s="275"/>
      <c r="E681" s="275"/>
      <c r="F681" s="275"/>
      <c r="G681" s="275"/>
      <c r="H681" s="275"/>
      <c r="I681" s="275"/>
      <c r="J681" s="275"/>
      <c r="K681" s="275"/>
      <c r="L681" s="275"/>
      <c r="M681" s="275"/>
      <c r="N681" s="275"/>
    </row>
    <row r="682">
      <c r="B682" s="275"/>
      <c r="C682" s="275"/>
      <c r="D682" s="275"/>
      <c r="E682" s="275"/>
      <c r="F682" s="275"/>
      <c r="G682" s="275"/>
      <c r="H682" s="275"/>
      <c r="I682" s="275"/>
      <c r="J682" s="275"/>
      <c r="K682" s="275"/>
      <c r="L682" s="275"/>
      <c r="M682" s="275"/>
      <c r="N682" s="275"/>
    </row>
    <row r="683">
      <c r="B683" s="275"/>
      <c r="C683" s="275"/>
      <c r="D683" s="275"/>
      <c r="E683" s="275"/>
      <c r="F683" s="275"/>
      <c r="G683" s="275"/>
      <c r="H683" s="275"/>
      <c r="I683" s="275"/>
      <c r="J683" s="275"/>
      <c r="K683" s="275"/>
      <c r="L683" s="275"/>
      <c r="M683" s="275"/>
      <c r="N683" s="275"/>
    </row>
    <row r="684">
      <c r="B684" s="275"/>
      <c r="C684" s="275"/>
      <c r="D684" s="275"/>
      <c r="E684" s="275"/>
      <c r="F684" s="275"/>
      <c r="G684" s="275"/>
      <c r="H684" s="275"/>
      <c r="I684" s="275"/>
      <c r="J684" s="275"/>
      <c r="K684" s="275"/>
      <c r="L684" s="275"/>
      <c r="M684" s="275"/>
      <c r="N684" s="275"/>
    </row>
    <row r="685">
      <c r="B685" s="275"/>
      <c r="C685" s="275"/>
      <c r="D685" s="275"/>
      <c r="E685" s="275"/>
      <c r="F685" s="275"/>
      <c r="G685" s="275"/>
      <c r="H685" s="275"/>
      <c r="I685" s="275"/>
      <c r="J685" s="275"/>
      <c r="K685" s="275"/>
      <c r="L685" s="275"/>
      <c r="M685" s="275"/>
      <c r="N685" s="275"/>
    </row>
    <row r="686">
      <c r="B686" s="275"/>
      <c r="C686" s="275"/>
      <c r="D686" s="275"/>
      <c r="E686" s="275"/>
      <c r="F686" s="275"/>
      <c r="G686" s="275"/>
      <c r="H686" s="275"/>
      <c r="I686" s="275"/>
      <c r="J686" s="275"/>
      <c r="K686" s="275"/>
      <c r="L686" s="275"/>
      <c r="M686" s="275"/>
      <c r="N686" s="275"/>
    </row>
    <row r="687">
      <c r="B687" s="275"/>
      <c r="C687" s="275"/>
      <c r="D687" s="275"/>
      <c r="E687" s="275"/>
      <c r="F687" s="275"/>
      <c r="G687" s="275"/>
      <c r="H687" s="275"/>
      <c r="I687" s="275"/>
      <c r="J687" s="275"/>
      <c r="K687" s="275"/>
      <c r="L687" s="275"/>
      <c r="M687" s="275"/>
      <c r="N687" s="275"/>
    </row>
    <row r="688">
      <c r="B688" s="275"/>
      <c r="C688" s="275"/>
      <c r="D688" s="275"/>
      <c r="E688" s="275"/>
      <c r="F688" s="275"/>
      <c r="G688" s="275"/>
      <c r="H688" s="275"/>
      <c r="I688" s="275"/>
      <c r="J688" s="275"/>
      <c r="K688" s="275"/>
      <c r="L688" s="275"/>
      <c r="M688" s="275"/>
      <c r="N688" s="275"/>
    </row>
    <row r="689">
      <c r="B689" s="275"/>
      <c r="C689" s="275"/>
      <c r="D689" s="275"/>
      <c r="E689" s="275"/>
      <c r="F689" s="275"/>
      <c r="G689" s="275"/>
      <c r="H689" s="275"/>
      <c r="I689" s="275"/>
      <c r="J689" s="275"/>
      <c r="K689" s="275"/>
      <c r="L689" s="275"/>
      <c r="M689" s="275"/>
      <c r="N689" s="275"/>
    </row>
    <row r="690">
      <c r="B690" s="275"/>
      <c r="C690" s="275"/>
      <c r="D690" s="275"/>
      <c r="E690" s="275"/>
      <c r="F690" s="275"/>
      <c r="G690" s="275"/>
      <c r="H690" s="275"/>
      <c r="I690" s="275"/>
      <c r="J690" s="275"/>
      <c r="K690" s="275"/>
      <c r="L690" s="275"/>
      <c r="M690" s="275"/>
      <c r="N690" s="275"/>
    </row>
    <row r="691">
      <c r="B691" s="275"/>
      <c r="C691" s="275"/>
      <c r="D691" s="275"/>
      <c r="E691" s="275"/>
      <c r="F691" s="275"/>
      <c r="G691" s="275"/>
      <c r="H691" s="275"/>
      <c r="I691" s="275"/>
      <c r="J691" s="275"/>
      <c r="K691" s="275"/>
      <c r="L691" s="275"/>
      <c r="M691" s="275"/>
      <c r="N691" s="275"/>
    </row>
    <row r="692">
      <c r="B692" s="275"/>
      <c r="C692" s="275"/>
      <c r="D692" s="275"/>
      <c r="E692" s="275"/>
      <c r="F692" s="275"/>
      <c r="G692" s="275"/>
      <c r="H692" s="275"/>
      <c r="I692" s="275"/>
      <c r="J692" s="275"/>
      <c r="K692" s="275"/>
      <c r="L692" s="275"/>
      <c r="M692" s="275"/>
      <c r="N692" s="275"/>
    </row>
    <row r="693">
      <c r="B693" s="275"/>
      <c r="C693" s="275"/>
      <c r="D693" s="275"/>
      <c r="E693" s="275"/>
      <c r="F693" s="275"/>
      <c r="G693" s="275"/>
      <c r="H693" s="275"/>
      <c r="I693" s="275"/>
      <c r="J693" s="275"/>
      <c r="K693" s="275"/>
      <c r="L693" s="275"/>
      <c r="M693" s="275"/>
      <c r="N693" s="275"/>
    </row>
    <row r="694">
      <c r="B694" s="275"/>
      <c r="C694" s="275"/>
      <c r="D694" s="275"/>
      <c r="E694" s="275"/>
      <c r="F694" s="275"/>
      <c r="G694" s="275"/>
      <c r="H694" s="275"/>
      <c r="I694" s="275"/>
      <c r="J694" s="275"/>
      <c r="K694" s="275"/>
      <c r="L694" s="275"/>
      <c r="M694" s="275"/>
      <c r="N694" s="275"/>
    </row>
    <row r="695">
      <c r="B695" s="275"/>
      <c r="C695" s="275"/>
      <c r="D695" s="275"/>
      <c r="E695" s="275"/>
      <c r="F695" s="275"/>
      <c r="G695" s="275"/>
      <c r="H695" s="275"/>
      <c r="I695" s="275"/>
      <c r="J695" s="275"/>
      <c r="K695" s="275"/>
      <c r="L695" s="275"/>
      <c r="M695" s="275"/>
      <c r="N695" s="275"/>
    </row>
    <row r="696">
      <c r="B696" s="275"/>
      <c r="C696" s="275"/>
      <c r="D696" s="275"/>
      <c r="E696" s="275"/>
      <c r="F696" s="275"/>
      <c r="G696" s="275"/>
      <c r="H696" s="275"/>
      <c r="I696" s="275"/>
      <c r="J696" s="275"/>
      <c r="K696" s="275"/>
      <c r="L696" s="275"/>
      <c r="M696" s="275"/>
      <c r="N696" s="275"/>
    </row>
    <row r="697">
      <c r="B697" s="275"/>
      <c r="C697" s="275"/>
      <c r="D697" s="275"/>
      <c r="E697" s="275"/>
      <c r="F697" s="275"/>
      <c r="G697" s="275"/>
      <c r="H697" s="275"/>
      <c r="I697" s="275"/>
      <c r="J697" s="275"/>
      <c r="K697" s="275"/>
      <c r="L697" s="275"/>
      <c r="M697" s="275"/>
      <c r="N697" s="275"/>
    </row>
    <row r="698">
      <c r="B698" s="275"/>
      <c r="C698" s="275"/>
      <c r="D698" s="275"/>
      <c r="E698" s="275"/>
      <c r="F698" s="275"/>
      <c r="G698" s="275"/>
      <c r="H698" s="275"/>
      <c r="I698" s="275"/>
      <c r="J698" s="275"/>
      <c r="K698" s="275"/>
      <c r="L698" s="275"/>
      <c r="M698" s="275"/>
      <c r="N698" s="275"/>
    </row>
    <row r="699">
      <c r="B699" s="275"/>
      <c r="C699" s="275"/>
      <c r="D699" s="275"/>
      <c r="E699" s="275"/>
      <c r="F699" s="275"/>
      <c r="G699" s="275"/>
      <c r="H699" s="275"/>
      <c r="I699" s="275"/>
      <c r="J699" s="275"/>
      <c r="K699" s="275"/>
      <c r="L699" s="275"/>
      <c r="M699" s="275"/>
      <c r="N699" s="275"/>
    </row>
    <row r="700">
      <c r="B700" s="275"/>
      <c r="C700" s="275"/>
      <c r="D700" s="275"/>
      <c r="E700" s="275"/>
      <c r="F700" s="275"/>
      <c r="G700" s="275"/>
      <c r="H700" s="275"/>
      <c r="I700" s="275"/>
      <c r="J700" s="275"/>
      <c r="K700" s="275"/>
      <c r="L700" s="275"/>
      <c r="M700" s="275"/>
      <c r="N700" s="275"/>
    </row>
    <row r="701">
      <c r="B701" s="275"/>
      <c r="C701" s="275"/>
      <c r="D701" s="275"/>
      <c r="E701" s="275"/>
      <c r="F701" s="275"/>
      <c r="G701" s="275"/>
      <c r="H701" s="275"/>
      <c r="I701" s="275"/>
      <c r="J701" s="275"/>
      <c r="K701" s="275"/>
      <c r="L701" s="275"/>
      <c r="M701" s="275"/>
      <c r="N701" s="275"/>
    </row>
    <row r="702">
      <c r="B702" s="275"/>
      <c r="C702" s="275"/>
      <c r="D702" s="275"/>
      <c r="E702" s="275"/>
      <c r="F702" s="275"/>
      <c r="G702" s="275"/>
      <c r="H702" s="275"/>
      <c r="I702" s="275"/>
      <c r="J702" s="275"/>
      <c r="K702" s="275"/>
      <c r="L702" s="275"/>
      <c r="M702" s="275"/>
      <c r="N702" s="275"/>
    </row>
    <row r="703">
      <c r="B703" s="275"/>
      <c r="C703" s="275"/>
      <c r="D703" s="275"/>
      <c r="E703" s="275"/>
      <c r="F703" s="275"/>
      <c r="G703" s="275"/>
      <c r="H703" s="275"/>
      <c r="I703" s="275"/>
      <c r="J703" s="275"/>
      <c r="K703" s="275"/>
      <c r="L703" s="275"/>
      <c r="M703" s="275"/>
      <c r="N703" s="275"/>
    </row>
    <row r="704">
      <c r="B704" s="275"/>
      <c r="C704" s="275"/>
      <c r="D704" s="275"/>
      <c r="E704" s="275"/>
      <c r="F704" s="275"/>
      <c r="G704" s="275"/>
      <c r="H704" s="275"/>
      <c r="I704" s="275"/>
      <c r="J704" s="275"/>
      <c r="K704" s="275"/>
      <c r="L704" s="275"/>
      <c r="M704" s="275"/>
      <c r="N704" s="275"/>
    </row>
    <row r="705">
      <c r="B705" s="275"/>
      <c r="C705" s="275"/>
      <c r="D705" s="275"/>
      <c r="E705" s="275"/>
      <c r="F705" s="275"/>
      <c r="G705" s="275"/>
      <c r="H705" s="275"/>
      <c r="I705" s="275"/>
      <c r="J705" s="275"/>
      <c r="K705" s="275"/>
      <c r="L705" s="275"/>
      <c r="M705" s="275"/>
      <c r="N705" s="275"/>
    </row>
    <row r="706">
      <c r="B706" s="275"/>
      <c r="C706" s="275"/>
      <c r="D706" s="275"/>
      <c r="E706" s="275"/>
      <c r="F706" s="275"/>
      <c r="G706" s="275"/>
      <c r="H706" s="275"/>
      <c r="I706" s="275"/>
      <c r="J706" s="275"/>
      <c r="K706" s="275"/>
      <c r="L706" s="275"/>
      <c r="M706" s="275"/>
      <c r="N706" s="275"/>
    </row>
    <row r="707">
      <c r="B707" s="275"/>
      <c r="C707" s="275"/>
      <c r="D707" s="275"/>
      <c r="E707" s="275"/>
      <c r="F707" s="275"/>
      <c r="G707" s="275"/>
      <c r="H707" s="275"/>
      <c r="I707" s="275"/>
      <c r="J707" s="275"/>
      <c r="K707" s="275"/>
      <c r="L707" s="275"/>
      <c r="M707" s="275"/>
      <c r="N707" s="275"/>
    </row>
    <row r="708">
      <c r="B708" s="275"/>
      <c r="C708" s="275"/>
      <c r="D708" s="275"/>
      <c r="E708" s="275"/>
      <c r="F708" s="275"/>
      <c r="G708" s="275"/>
      <c r="H708" s="275"/>
      <c r="I708" s="275"/>
      <c r="J708" s="275"/>
      <c r="K708" s="275"/>
      <c r="L708" s="275"/>
      <c r="M708" s="275"/>
      <c r="N708" s="275"/>
    </row>
    <row r="709">
      <c r="B709" s="275"/>
      <c r="C709" s="275"/>
      <c r="D709" s="275"/>
      <c r="E709" s="275"/>
      <c r="F709" s="275"/>
      <c r="G709" s="275"/>
      <c r="H709" s="275"/>
      <c r="I709" s="275"/>
      <c r="J709" s="275"/>
      <c r="K709" s="275"/>
      <c r="L709" s="275"/>
      <c r="M709" s="275"/>
      <c r="N709" s="275"/>
    </row>
    <row r="710">
      <c r="B710" s="275"/>
      <c r="C710" s="275"/>
      <c r="D710" s="275"/>
      <c r="E710" s="275"/>
      <c r="F710" s="275"/>
      <c r="G710" s="275"/>
      <c r="H710" s="275"/>
      <c r="I710" s="275"/>
      <c r="J710" s="275"/>
      <c r="K710" s="275"/>
      <c r="L710" s="275"/>
      <c r="M710" s="275"/>
      <c r="N710" s="275"/>
    </row>
    <row r="711">
      <c r="B711" s="275"/>
      <c r="C711" s="275"/>
      <c r="D711" s="275"/>
      <c r="E711" s="275"/>
      <c r="F711" s="275"/>
      <c r="G711" s="275"/>
      <c r="H711" s="275"/>
      <c r="I711" s="275"/>
      <c r="J711" s="275"/>
      <c r="K711" s="275"/>
      <c r="L711" s="275"/>
      <c r="M711" s="275"/>
      <c r="N711" s="275"/>
    </row>
    <row r="712">
      <c r="B712" s="275"/>
      <c r="C712" s="275"/>
      <c r="D712" s="275"/>
      <c r="E712" s="275"/>
      <c r="F712" s="275"/>
      <c r="G712" s="275"/>
      <c r="H712" s="275"/>
      <c r="I712" s="275"/>
      <c r="J712" s="275"/>
      <c r="K712" s="275"/>
      <c r="L712" s="275"/>
      <c r="M712" s="275"/>
      <c r="N712" s="275"/>
    </row>
    <row r="713">
      <c r="B713" s="275"/>
      <c r="C713" s="275"/>
      <c r="D713" s="275"/>
      <c r="E713" s="275"/>
      <c r="F713" s="275"/>
      <c r="G713" s="275"/>
      <c r="H713" s="275"/>
      <c r="I713" s="275"/>
      <c r="J713" s="275"/>
      <c r="K713" s="275"/>
      <c r="L713" s="275"/>
      <c r="M713" s="275"/>
      <c r="N713" s="275"/>
    </row>
    <row r="714">
      <c r="B714" s="275"/>
      <c r="C714" s="275"/>
      <c r="D714" s="275"/>
      <c r="E714" s="275"/>
      <c r="F714" s="275"/>
      <c r="G714" s="275"/>
      <c r="H714" s="275"/>
      <c r="I714" s="275"/>
      <c r="J714" s="275"/>
      <c r="K714" s="275"/>
      <c r="L714" s="275"/>
      <c r="M714" s="275"/>
      <c r="N714" s="275"/>
    </row>
    <row r="715">
      <c r="B715" s="275"/>
      <c r="C715" s="275"/>
      <c r="D715" s="275"/>
      <c r="E715" s="275"/>
      <c r="F715" s="275"/>
      <c r="G715" s="275"/>
      <c r="H715" s="275"/>
      <c r="I715" s="275"/>
      <c r="J715" s="275"/>
      <c r="K715" s="275"/>
      <c r="L715" s="275"/>
      <c r="M715" s="275"/>
      <c r="N715" s="275"/>
    </row>
    <row r="716">
      <c r="B716" s="275"/>
      <c r="C716" s="275"/>
      <c r="D716" s="275"/>
      <c r="E716" s="275"/>
      <c r="F716" s="275"/>
      <c r="G716" s="275"/>
      <c r="H716" s="275"/>
      <c r="I716" s="275"/>
      <c r="J716" s="275"/>
      <c r="K716" s="275"/>
      <c r="L716" s="275"/>
      <c r="M716" s="275"/>
      <c r="N716" s="275"/>
    </row>
    <row r="717">
      <c r="B717" s="275"/>
      <c r="C717" s="275"/>
      <c r="D717" s="275"/>
      <c r="E717" s="275"/>
      <c r="F717" s="275"/>
      <c r="G717" s="275"/>
      <c r="H717" s="275"/>
      <c r="I717" s="275"/>
      <c r="J717" s="275"/>
      <c r="K717" s="275"/>
      <c r="L717" s="275"/>
      <c r="M717" s="275"/>
      <c r="N717" s="275"/>
    </row>
    <row r="718">
      <c r="B718" s="275"/>
      <c r="C718" s="275"/>
      <c r="D718" s="275"/>
      <c r="E718" s="275"/>
      <c r="F718" s="275"/>
      <c r="G718" s="275"/>
      <c r="H718" s="275"/>
      <c r="I718" s="275"/>
      <c r="J718" s="275"/>
      <c r="K718" s="275"/>
      <c r="L718" s="275"/>
      <c r="M718" s="275"/>
      <c r="N718" s="275"/>
    </row>
    <row r="719">
      <c r="B719" s="275"/>
      <c r="C719" s="275"/>
      <c r="D719" s="275"/>
      <c r="E719" s="275"/>
      <c r="F719" s="275"/>
      <c r="G719" s="275"/>
      <c r="H719" s="275"/>
      <c r="I719" s="275"/>
      <c r="J719" s="275"/>
      <c r="K719" s="275"/>
      <c r="L719" s="275"/>
      <c r="M719" s="275"/>
      <c r="N719" s="275"/>
    </row>
    <row r="720">
      <c r="B720" s="275"/>
      <c r="C720" s="275"/>
      <c r="D720" s="275"/>
      <c r="E720" s="275"/>
      <c r="F720" s="275"/>
      <c r="G720" s="275"/>
      <c r="H720" s="275"/>
      <c r="I720" s="275"/>
      <c r="J720" s="275"/>
      <c r="K720" s="275"/>
      <c r="L720" s="275"/>
      <c r="M720" s="275"/>
      <c r="N720" s="275"/>
    </row>
    <row r="721">
      <c r="B721" s="275"/>
      <c r="C721" s="275"/>
      <c r="D721" s="275"/>
      <c r="E721" s="275"/>
      <c r="F721" s="275"/>
      <c r="G721" s="275"/>
      <c r="H721" s="275"/>
      <c r="I721" s="275"/>
      <c r="J721" s="275"/>
      <c r="K721" s="275"/>
      <c r="L721" s="275"/>
      <c r="M721" s="275"/>
      <c r="N721" s="275"/>
    </row>
    <row r="722">
      <c r="B722" s="275"/>
      <c r="C722" s="275"/>
      <c r="D722" s="275"/>
      <c r="E722" s="275"/>
      <c r="F722" s="275"/>
      <c r="G722" s="275"/>
      <c r="H722" s="275"/>
      <c r="I722" s="275"/>
      <c r="J722" s="275"/>
      <c r="K722" s="275"/>
      <c r="L722" s="275"/>
      <c r="M722" s="275"/>
      <c r="N722" s="275"/>
    </row>
    <row r="723">
      <c r="B723" s="275"/>
      <c r="C723" s="275"/>
      <c r="D723" s="275"/>
      <c r="E723" s="275"/>
      <c r="F723" s="275"/>
      <c r="G723" s="275"/>
      <c r="H723" s="275"/>
      <c r="I723" s="275"/>
      <c r="J723" s="275"/>
      <c r="K723" s="275"/>
      <c r="L723" s="275"/>
      <c r="M723" s="275"/>
      <c r="N723" s="275"/>
    </row>
    <row r="724">
      <c r="B724" s="275"/>
      <c r="C724" s="275"/>
      <c r="D724" s="275"/>
      <c r="E724" s="275"/>
      <c r="F724" s="275"/>
      <c r="G724" s="275"/>
      <c r="H724" s="275"/>
      <c r="I724" s="275"/>
      <c r="J724" s="275"/>
      <c r="K724" s="275"/>
      <c r="L724" s="275"/>
      <c r="M724" s="275"/>
      <c r="N724" s="275"/>
    </row>
    <row r="725">
      <c r="B725" s="275"/>
      <c r="C725" s="275"/>
      <c r="D725" s="275"/>
      <c r="E725" s="275"/>
      <c r="F725" s="275"/>
      <c r="G725" s="275"/>
      <c r="H725" s="275"/>
      <c r="I725" s="275"/>
      <c r="J725" s="275"/>
      <c r="K725" s="275"/>
      <c r="L725" s="275"/>
      <c r="M725" s="275"/>
      <c r="N725" s="275"/>
    </row>
    <row r="726">
      <c r="B726" s="275"/>
      <c r="C726" s="275"/>
      <c r="D726" s="275"/>
      <c r="E726" s="275"/>
      <c r="F726" s="275"/>
      <c r="G726" s="275"/>
      <c r="H726" s="275"/>
      <c r="I726" s="275"/>
      <c r="J726" s="275"/>
      <c r="K726" s="275"/>
      <c r="L726" s="275"/>
      <c r="M726" s="275"/>
      <c r="N726" s="275"/>
    </row>
    <row r="727">
      <c r="B727" s="275"/>
      <c r="C727" s="275"/>
      <c r="D727" s="275"/>
      <c r="E727" s="275"/>
      <c r="F727" s="275"/>
      <c r="G727" s="275"/>
      <c r="H727" s="275"/>
      <c r="I727" s="275"/>
      <c r="J727" s="275"/>
      <c r="K727" s="275"/>
      <c r="L727" s="275"/>
      <c r="M727" s="275"/>
      <c r="N727" s="275"/>
    </row>
    <row r="728">
      <c r="B728" s="275"/>
      <c r="C728" s="275"/>
      <c r="D728" s="275"/>
      <c r="E728" s="275"/>
      <c r="F728" s="275"/>
      <c r="G728" s="275"/>
      <c r="H728" s="275"/>
      <c r="I728" s="275"/>
      <c r="J728" s="275"/>
      <c r="K728" s="275"/>
      <c r="L728" s="275"/>
      <c r="M728" s="275"/>
      <c r="N728" s="275"/>
    </row>
    <row r="729">
      <c r="B729" s="275"/>
      <c r="C729" s="275"/>
      <c r="D729" s="275"/>
      <c r="E729" s="275"/>
      <c r="F729" s="275"/>
      <c r="G729" s="275"/>
      <c r="H729" s="275"/>
      <c r="I729" s="275"/>
      <c r="J729" s="275"/>
      <c r="K729" s="275"/>
      <c r="L729" s="275"/>
      <c r="M729" s="275"/>
      <c r="N729" s="275"/>
    </row>
    <row r="730">
      <c r="B730" s="275"/>
      <c r="C730" s="275"/>
      <c r="D730" s="275"/>
      <c r="E730" s="275"/>
      <c r="F730" s="275"/>
      <c r="G730" s="275"/>
      <c r="H730" s="275"/>
      <c r="I730" s="275"/>
      <c r="J730" s="275"/>
      <c r="K730" s="275"/>
      <c r="L730" s="275"/>
      <c r="M730" s="275"/>
      <c r="N730" s="275"/>
    </row>
    <row r="731">
      <c r="B731" s="275"/>
      <c r="C731" s="275"/>
      <c r="D731" s="275"/>
      <c r="E731" s="275"/>
      <c r="F731" s="275"/>
      <c r="G731" s="275"/>
      <c r="H731" s="275"/>
      <c r="I731" s="275"/>
      <c r="J731" s="275"/>
      <c r="K731" s="275"/>
      <c r="L731" s="275"/>
      <c r="M731" s="275"/>
      <c r="N731" s="275"/>
    </row>
    <row r="732">
      <c r="B732" s="275"/>
      <c r="C732" s="275"/>
      <c r="D732" s="275"/>
      <c r="E732" s="275"/>
      <c r="F732" s="275"/>
      <c r="G732" s="275"/>
      <c r="H732" s="275"/>
      <c r="I732" s="275"/>
      <c r="J732" s="275"/>
      <c r="K732" s="275"/>
      <c r="L732" s="275"/>
      <c r="M732" s="275"/>
      <c r="N732" s="275"/>
    </row>
    <row r="733">
      <c r="B733" s="275"/>
      <c r="C733" s="275"/>
      <c r="D733" s="275"/>
      <c r="E733" s="275"/>
      <c r="F733" s="275"/>
      <c r="G733" s="275"/>
      <c r="H733" s="275"/>
      <c r="I733" s="275"/>
      <c r="J733" s="275"/>
      <c r="K733" s="275"/>
      <c r="L733" s="275"/>
      <c r="M733" s="275"/>
      <c r="N733" s="275"/>
    </row>
    <row r="734">
      <c r="B734" s="275"/>
      <c r="C734" s="275"/>
      <c r="D734" s="275"/>
      <c r="E734" s="275"/>
      <c r="F734" s="275"/>
      <c r="G734" s="275"/>
      <c r="H734" s="275"/>
      <c r="I734" s="275"/>
      <c r="J734" s="275"/>
      <c r="K734" s="275"/>
      <c r="L734" s="275"/>
      <c r="M734" s="275"/>
      <c r="N734" s="275"/>
    </row>
    <row r="735">
      <c r="B735" s="275"/>
      <c r="C735" s="275"/>
      <c r="D735" s="275"/>
      <c r="E735" s="275"/>
      <c r="F735" s="275"/>
      <c r="G735" s="275"/>
      <c r="H735" s="275"/>
      <c r="I735" s="275"/>
      <c r="J735" s="275"/>
      <c r="K735" s="275"/>
      <c r="L735" s="275"/>
      <c r="M735" s="275"/>
      <c r="N735" s="275"/>
    </row>
    <row r="736">
      <c r="B736" s="275"/>
      <c r="C736" s="275"/>
      <c r="D736" s="275"/>
      <c r="E736" s="275"/>
      <c r="F736" s="275"/>
      <c r="G736" s="275"/>
      <c r="H736" s="275"/>
      <c r="I736" s="275"/>
      <c r="J736" s="275"/>
      <c r="K736" s="275"/>
      <c r="L736" s="275"/>
      <c r="M736" s="275"/>
      <c r="N736" s="275"/>
    </row>
    <row r="737">
      <c r="B737" s="275"/>
      <c r="C737" s="275"/>
      <c r="D737" s="275"/>
      <c r="E737" s="275"/>
      <c r="F737" s="275"/>
      <c r="G737" s="275"/>
      <c r="H737" s="275"/>
      <c r="I737" s="275"/>
      <c r="J737" s="275"/>
      <c r="K737" s="275"/>
      <c r="L737" s="275"/>
      <c r="M737" s="275"/>
      <c r="N737" s="275"/>
    </row>
    <row r="738">
      <c r="B738" s="275"/>
      <c r="C738" s="275"/>
      <c r="D738" s="275"/>
      <c r="E738" s="275"/>
      <c r="F738" s="275"/>
      <c r="G738" s="275"/>
      <c r="H738" s="275"/>
      <c r="I738" s="275"/>
      <c r="J738" s="275"/>
      <c r="K738" s="275"/>
      <c r="L738" s="275"/>
      <c r="M738" s="275"/>
      <c r="N738" s="275"/>
    </row>
    <row r="739">
      <c r="B739" s="275"/>
      <c r="C739" s="275"/>
      <c r="D739" s="275"/>
      <c r="E739" s="275"/>
      <c r="F739" s="275"/>
      <c r="G739" s="275"/>
      <c r="H739" s="275"/>
      <c r="I739" s="275"/>
      <c r="J739" s="275"/>
      <c r="K739" s="275"/>
      <c r="L739" s="275"/>
      <c r="M739" s="275"/>
      <c r="N739" s="275"/>
    </row>
    <row r="740">
      <c r="B740" s="275"/>
      <c r="C740" s="275"/>
      <c r="D740" s="275"/>
      <c r="E740" s="275"/>
      <c r="F740" s="275"/>
      <c r="G740" s="275"/>
      <c r="H740" s="275"/>
      <c r="I740" s="275"/>
      <c r="J740" s="275"/>
      <c r="K740" s="275"/>
      <c r="L740" s="275"/>
      <c r="M740" s="275"/>
      <c r="N740" s="275"/>
    </row>
    <row r="741">
      <c r="B741" s="275"/>
      <c r="C741" s="275"/>
      <c r="D741" s="275"/>
      <c r="E741" s="275"/>
      <c r="F741" s="275"/>
      <c r="G741" s="275"/>
      <c r="H741" s="275"/>
      <c r="I741" s="275"/>
      <c r="J741" s="275"/>
      <c r="K741" s="275"/>
      <c r="L741" s="275"/>
      <c r="M741" s="275"/>
      <c r="N741" s="275"/>
    </row>
    <row r="742">
      <c r="B742" s="275"/>
      <c r="C742" s="275"/>
      <c r="D742" s="275"/>
      <c r="E742" s="275"/>
      <c r="F742" s="275"/>
      <c r="G742" s="275"/>
      <c r="H742" s="275"/>
      <c r="I742" s="275"/>
      <c r="J742" s="275"/>
      <c r="K742" s="275"/>
      <c r="L742" s="275"/>
      <c r="M742" s="275"/>
      <c r="N742" s="275"/>
    </row>
    <row r="743">
      <c r="B743" s="275"/>
      <c r="C743" s="275"/>
      <c r="D743" s="275"/>
      <c r="E743" s="275"/>
      <c r="F743" s="275"/>
      <c r="G743" s="275"/>
      <c r="H743" s="275"/>
      <c r="I743" s="275"/>
      <c r="J743" s="275"/>
      <c r="K743" s="275"/>
      <c r="L743" s="275"/>
      <c r="M743" s="275"/>
      <c r="N743" s="275"/>
    </row>
    <row r="744">
      <c r="B744" s="275"/>
      <c r="C744" s="275"/>
      <c r="D744" s="275"/>
      <c r="E744" s="275"/>
      <c r="F744" s="275"/>
      <c r="G744" s="275"/>
      <c r="H744" s="275"/>
      <c r="I744" s="275"/>
      <c r="J744" s="275"/>
      <c r="K744" s="275"/>
      <c r="L744" s="275"/>
      <c r="M744" s="275"/>
      <c r="N744" s="275"/>
    </row>
    <row r="745">
      <c r="B745" s="275"/>
      <c r="C745" s="275"/>
      <c r="D745" s="275"/>
      <c r="E745" s="275"/>
      <c r="F745" s="275"/>
      <c r="G745" s="275"/>
      <c r="H745" s="275"/>
      <c r="I745" s="275"/>
      <c r="J745" s="275"/>
      <c r="K745" s="275"/>
      <c r="L745" s="275"/>
      <c r="M745" s="275"/>
      <c r="N745" s="275"/>
    </row>
    <row r="746">
      <c r="B746" s="275"/>
      <c r="C746" s="275"/>
      <c r="D746" s="275"/>
      <c r="E746" s="275"/>
      <c r="F746" s="275"/>
      <c r="G746" s="275"/>
      <c r="H746" s="275"/>
      <c r="I746" s="275"/>
      <c r="J746" s="275"/>
      <c r="K746" s="275"/>
      <c r="L746" s="275"/>
      <c r="M746" s="275"/>
      <c r="N746" s="275"/>
    </row>
    <row r="747">
      <c r="B747" s="275"/>
      <c r="C747" s="275"/>
      <c r="D747" s="275"/>
      <c r="E747" s="275"/>
      <c r="F747" s="275"/>
      <c r="G747" s="275"/>
      <c r="H747" s="275"/>
      <c r="I747" s="275"/>
      <c r="J747" s="275"/>
      <c r="K747" s="275"/>
      <c r="L747" s="275"/>
      <c r="M747" s="275"/>
      <c r="N747" s="275"/>
    </row>
    <row r="748">
      <c r="B748" s="275"/>
      <c r="C748" s="275"/>
      <c r="D748" s="275"/>
      <c r="E748" s="275"/>
      <c r="F748" s="275"/>
      <c r="G748" s="275"/>
      <c r="H748" s="275"/>
      <c r="I748" s="275"/>
      <c r="J748" s="275"/>
      <c r="K748" s="275"/>
      <c r="L748" s="275"/>
      <c r="M748" s="275"/>
      <c r="N748" s="275"/>
    </row>
    <row r="749">
      <c r="B749" s="275"/>
      <c r="C749" s="275"/>
      <c r="D749" s="275"/>
      <c r="E749" s="275"/>
      <c r="F749" s="275"/>
      <c r="G749" s="275"/>
      <c r="H749" s="275"/>
      <c r="I749" s="275"/>
      <c r="J749" s="275"/>
      <c r="K749" s="275"/>
      <c r="L749" s="275"/>
      <c r="M749" s="275"/>
      <c r="N749" s="275"/>
    </row>
    <row r="750">
      <c r="B750" s="275"/>
      <c r="C750" s="275"/>
      <c r="D750" s="275"/>
      <c r="E750" s="275"/>
      <c r="F750" s="275"/>
      <c r="G750" s="275"/>
      <c r="H750" s="275"/>
      <c r="I750" s="275"/>
      <c r="J750" s="275"/>
      <c r="K750" s="275"/>
      <c r="L750" s="275"/>
      <c r="M750" s="275"/>
      <c r="N750" s="275"/>
    </row>
    <row r="751">
      <c r="B751" s="275"/>
      <c r="C751" s="275"/>
      <c r="D751" s="275"/>
      <c r="E751" s="275"/>
      <c r="F751" s="275"/>
      <c r="G751" s="275"/>
      <c r="H751" s="275"/>
      <c r="I751" s="275"/>
      <c r="J751" s="275"/>
      <c r="K751" s="275"/>
      <c r="L751" s="275"/>
      <c r="M751" s="275"/>
      <c r="N751" s="275"/>
    </row>
    <row r="752">
      <c r="B752" s="275"/>
      <c r="C752" s="275"/>
      <c r="D752" s="275"/>
      <c r="E752" s="275"/>
      <c r="F752" s="275"/>
      <c r="G752" s="275"/>
      <c r="H752" s="275"/>
      <c r="I752" s="275"/>
      <c r="J752" s="275"/>
      <c r="K752" s="275"/>
      <c r="L752" s="275"/>
      <c r="M752" s="275"/>
      <c r="N752" s="275"/>
    </row>
    <row r="753">
      <c r="B753" s="275"/>
      <c r="C753" s="275"/>
      <c r="D753" s="275"/>
      <c r="E753" s="275"/>
      <c r="F753" s="275"/>
      <c r="G753" s="275"/>
      <c r="H753" s="275"/>
      <c r="I753" s="275"/>
      <c r="J753" s="275"/>
      <c r="K753" s="275"/>
      <c r="L753" s="275"/>
      <c r="M753" s="275"/>
      <c r="N753" s="275"/>
    </row>
    <row r="754">
      <c r="B754" s="275"/>
      <c r="C754" s="275"/>
      <c r="D754" s="275"/>
      <c r="E754" s="275"/>
      <c r="F754" s="275"/>
      <c r="G754" s="275"/>
      <c r="H754" s="275"/>
      <c r="I754" s="275"/>
      <c r="J754" s="275"/>
      <c r="K754" s="275"/>
      <c r="L754" s="275"/>
      <c r="M754" s="275"/>
      <c r="N754" s="275"/>
    </row>
    <row r="755">
      <c r="B755" s="275"/>
      <c r="C755" s="275"/>
      <c r="D755" s="275"/>
      <c r="E755" s="275"/>
      <c r="F755" s="275"/>
      <c r="G755" s="275"/>
      <c r="H755" s="275"/>
      <c r="I755" s="275"/>
      <c r="J755" s="275"/>
      <c r="K755" s="275"/>
      <c r="L755" s="275"/>
      <c r="M755" s="275"/>
      <c r="N755" s="275"/>
    </row>
    <row r="756">
      <c r="B756" s="275"/>
      <c r="C756" s="275"/>
      <c r="D756" s="275"/>
      <c r="E756" s="275"/>
      <c r="F756" s="275"/>
      <c r="G756" s="275"/>
      <c r="H756" s="275"/>
      <c r="I756" s="275"/>
      <c r="J756" s="275"/>
      <c r="K756" s="275"/>
      <c r="L756" s="275"/>
      <c r="M756" s="275"/>
      <c r="N756" s="275"/>
    </row>
    <row r="757">
      <c r="B757" s="275"/>
      <c r="C757" s="275"/>
      <c r="D757" s="275"/>
      <c r="E757" s="275"/>
      <c r="F757" s="275"/>
      <c r="G757" s="275"/>
      <c r="H757" s="275"/>
      <c r="I757" s="275"/>
      <c r="J757" s="275"/>
      <c r="K757" s="275"/>
      <c r="L757" s="275"/>
      <c r="M757" s="275"/>
      <c r="N757" s="275"/>
    </row>
    <row r="758">
      <c r="B758" s="275"/>
      <c r="C758" s="275"/>
      <c r="D758" s="275"/>
      <c r="E758" s="275"/>
      <c r="F758" s="275"/>
      <c r="G758" s="275"/>
      <c r="H758" s="275"/>
      <c r="I758" s="275"/>
      <c r="J758" s="275"/>
      <c r="K758" s="275"/>
      <c r="L758" s="275"/>
      <c r="M758" s="275"/>
      <c r="N758" s="275"/>
    </row>
    <row r="759">
      <c r="B759" s="275"/>
      <c r="C759" s="275"/>
      <c r="D759" s="275"/>
      <c r="E759" s="275"/>
      <c r="F759" s="275"/>
      <c r="G759" s="275"/>
      <c r="H759" s="275"/>
      <c r="I759" s="275"/>
      <c r="J759" s="275"/>
      <c r="K759" s="275"/>
      <c r="L759" s="275"/>
      <c r="M759" s="275"/>
      <c r="N759" s="275"/>
    </row>
    <row r="760">
      <c r="B760" s="275"/>
      <c r="C760" s="275"/>
      <c r="D760" s="275"/>
      <c r="E760" s="275"/>
      <c r="F760" s="275"/>
      <c r="G760" s="275"/>
      <c r="H760" s="275"/>
      <c r="I760" s="275"/>
      <c r="J760" s="275"/>
      <c r="K760" s="275"/>
      <c r="L760" s="275"/>
      <c r="M760" s="275"/>
      <c r="N760" s="275"/>
    </row>
    <row r="761">
      <c r="B761" s="275"/>
      <c r="C761" s="275"/>
      <c r="D761" s="275"/>
      <c r="E761" s="275"/>
      <c r="F761" s="275"/>
      <c r="G761" s="275"/>
      <c r="H761" s="275"/>
      <c r="I761" s="275"/>
      <c r="J761" s="275"/>
      <c r="K761" s="275"/>
      <c r="L761" s="275"/>
      <c r="M761" s="275"/>
      <c r="N761" s="275"/>
    </row>
    <row r="762">
      <c r="B762" s="275"/>
      <c r="C762" s="275"/>
      <c r="D762" s="275"/>
      <c r="E762" s="275"/>
      <c r="F762" s="275"/>
      <c r="G762" s="275"/>
      <c r="H762" s="275"/>
      <c r="I762" s="275"/>
      <c r="J762" s="275"/>
      <c r="K762" s="275"/>
      <c r="L762" s="275"/>
      <c r="M762" s="275"/>
      <c r="N762" s="275"/>
    </row>
    <row r="763">
      <c r="B763" s="275"/>
      <c r="C763" s="275"/>
      <c r="D763" s="275"/>
      <c r="E763" s="275"/>
      <c r="F763" s="275"/>
      <c r="G763" s="275"/>
      <c r="H763" s="275"/>
      <c r="I763" s="275"/>
      <c r="J763" s="275"/>
      <c r="K763" s="275"/>
      <c r="L763" s="275"/>
      <c r="M763" s="275"/>
      <c r="N763" s="275"/>
    </row>
    <row r="764">
      <c r="B764" s="275"/>
      <c r="C764" s="275"/>
      <c r="D764" s="275"/>
      <c r="E764" s="275"/>
      <c r="F764" s="275"/>
      <c r="G764" s="275"/>
      <c r="H764" s="275"/>
      <c r="I764" s="275"/>
      <c r="J764" s="275"/>
      <c r="K764" s="275"/>
      <c r="L764" s="275"/>
      <c r="M764" s="275"/>
      <c r="N764" s="275"/>
    </row>
    <row r="765">
      <c r="B765" s="275"/>
      <c r="C765" s="275"/>
      <c r="D765" s="275"/>
      <c r="E765" s="275"/>
      <c r="F765" s="275"/>
      <c r="G765" s="275"/>
      <c r="H765" s="275"/>
      <c r="I765" s="275"/>
      <c r="J765" s="275"/>
      <c r="K765" s="275"/>
      <c r="L765" s="275"/>
      <c r="M765" s="275"/>
      <c r="N765" s="275"/>
    </row>
    <row r="766">
      <c r="B766" s="275"/>
      <c r="C766" s="275"/>
      <c r="D766" s="275"/>
      <c r="E766" s="275"/>
      <c r="F766" s="275"/>
      <c r="G766" s="275"/>
      <c r="H766" s="275"/>
      <c r="I766" s="275"/>
      <c r="J766" s="275"/>
      <c r="K766" s="275"/>
      <c r="L766" s="275"/>
      <c r="M766" s="275"/>
      <c r="N766" s="275"/>
    </row>
    <row r="767">
      <c r="B767" s="275"/>
      <c r="C767" s="275"/>
      <c r="D767" s="275"/>
      <c r="E767" s="275"/>
      <c r="F767" s="275"/>
      <c r="G767" s="275"/>
      <c r="H767" s="275"/>
      <c r="I767" s="275"/>
      <c r="J767" s="275"/>
      <c r="K767" s="275"/>
      <c r="L767" s="275"/>
      <c r="M767" s="275"/>
      <c r="N767" s="275"/>
    </row>
    <row r="768">
      <c r="B768" s="275"/>
      <c r="C768" s="275"/>
      <c r="D768" s="275"/>
      <c r="E768" s="275"/>
      <c r="F768" s="275"/>
      <c r="G768" s="275"/>
      <c r="H768" s="275"/>
      <c r="I768" s="275"/>
      <c r="J768" s="275"/>
      <c r="K768" s="275"/>
      <c r="L768" s="275"/>
      <c r="M768" s="275"/>
      <c r="N768" s="275"/>
    </row>
    <row r="769">
      <c r="B769" s="275"/>
      <c r="C769" s="275"/>
      <c r="D769" s="275"/>
      <c r="E769" s="275"/>
      <c r="F769" s="275"/>
      <c r="G769" s="275"/>
      <c r="H769" s="275"/>
      <c r="I769" s="275"/>
      <c r="J769" s="275"/>
      <c r="K769" s="275"/>
      <c r="L769" s="275"/>
      <c r="M769" s="275"/>
      <c r="N769" s="275"/>
    </row>
    <row r="770">
      <c r="B770" s="275"/>
      <c r="C770" s="275"/>
      <c r="D770" s="275"/>
      <c r="E770" s="275"/>
      <c r="F770" s="275"/>
      <c r="G770" s="275"/>
      <c r="H770" s="275"/>
      <c r="I770" s="275"/>
      <c r="J770" s="275"/>
      <c r="K770" s="275"/>
      <c r="L770" s="275"/>
      <c r="M770" s="275"/>
      <c r="N770" s="275"/>
    </row>
    <row r="771">
      <c r="B771" s="275"/>
      <c r="C771" s="275"/>
      <c r="D771" s="275"/>
      <c r="E771" s="275"/>
      <c r="F771" s="275"/>
      <c r="G771" s="275"/>
      <c r="H771" s="275"/>
      <c r="I771" s="275"/>
      <c r="J771" s="275"/>
      <c r="K771" s="275"/>
      <c r="L771" s="275"/>
      <c r="M771" s="275"/>
      <c r="N771" s="275"/>
    </row>
    <row r="772">
      <c r="B772" s="275"/>
      <c r="C772" s="275"/>
      <c r="D772" s="275"/>
      <c r="E772" s="275"/>
      <c r="F772" s="275"/>
      <c r="G772" s="275"/>
      <c r="H772" s="275"/>
      <c r="I772" s="275"/>
      <c r="J772" s="275"/>
      <c r="K772" s="275"/>
      <c r="L772" s="275"/>
      <c r="M772" s="275"/>
      <c r="N772" s="275"/>
    </row>
    <row r="773">
      <c r="B773" s="275"/>
      <c r="C773" s="275"/>
      <c r="D773" s="275"/>
      <c r="E773" s="275"/>
      <c r="F773" s="275"/>
      <c r="G773" s="275"/>
      <c r="H773" s="275"/>
      <c r="I773" s="275"/>
      <c r="J773" s="275"/>
      <c r="K773" s="275"/>
      <c r="L773" s="275"/>
      <c r="M773" s="275"/>
      <c r="N773" s="275"/>
    </row>
    <row r="774">
      <c r="B774" s="275"/>
      <c r="C774" s="275"/>
      <c r="D774" s="275"/>
      <c r="E774" s="275"/>
      <c r="F774" s="275"/>
      <c r="G774" s="275"/>
      <c r="H774" s="275"/>
      <c r="I774" s="275"/>
      <c r="J774" s="275"/>
      <c r="K774" s="275"/>
      <c r="L774" s="275"/>
      <c r="M774" s="275"/>
      <c r="N774" s="275"/>
    </row>
    <row r="775">
      <c r="B775" s="275"/>
      <c r="C775" s="275"/>
      <c r="D775" s="275"/>
      <c r="E775" s="275"/>
      <c r="F775" s="275"/>
      <c r="G775" s="275"/>
      <c r="H775" s="275"/>
      <c r="I775" s="275"/>
      <c r="J775" s="275"/>
      <c r="K775" s="275"/>
      <c r="L775" s="275"/>
      <c r="M775" s="275"/>
      <c r="N775" s="275"/>
    </row>
    <row r="776">
      <c r="B776" s="275"/>
      <c r="C776" s="275"/>
      <c r="D776" s="275"/>
      <c r="E776" s="275"/>
      <c r="F776" s="275"/>
      <c r="G776" s="275"/>
      <c r="H776" s="275"/>
      <c r="I776" s="275"/>
      <c r="J776" s="275"/>
      <c r="K776" s="275"/>
      <c r="L776" s="275"/>
      <c r="M776" s="275"/>
      <c r="N776" s="275"/>
    </row>
    <row r="777">
      <c r="B777" s="275"/>
      <c r="C777" s="275"/>
      <c r="D777" s="275"/>
      <c r="E777" s="275"/>
      <c r="F777" s="275"/>
      <c r="G777" s="275"/>
      <c r="H777" s="275"/>
      <c r="I777" s="275"/>
      <c r="J777" s="275"/>
      <c r="K777" s="275"/>
      <c r="L777" s="275"/>
      <c r="M777" s="275"/>
      <c r="N777" s="275"/>
    </row>
    <row r="778">
      <c r="B778" s="275"/>
      <c r="C778" s="275"/>
      <c r="D778" s="275"/>
      <c r="E778" s="275"/>
      <c r="F778" s="275"/>
      <c r="G778" s="275"/>
      <c r="H778" s="275"/>
      <c r="I778" s="275"/>
      <c r="J778" s="275"/>
      <c r="K778" s="275"/>
      <c r="L778" s="275"/>
      <c r="M778" s="275"/>
      <c r="N778" s="275"/>
    </row>
    <row r="779">
      <c r="B779" s="275"/>
      <c r="C779" s="275"/>
      <c r="D779" s="275"/>
      <c r="E779" s="275"/>
      <c r="F779" s="275"/>
      <c r="G779" s="275"/>
      <c r="H779" s="275"/>
      <c r="I779" s="275"/>
      <c r="J779" s="275"/>
      <c r="K779" s="275"/>
      <c r="L779" s="275"/>
      <c r="M779" s="275"/>
      <c r="N779" s="275"/>
    </row>
    <row r="780">
      <c r="B780" s="275"/>
      <c r="C780" s="275"/>
      <c r="D780" s="275"/>
      <c r="E780" s="275"/>
      <c r="F780" s="275"/>
      <c r="G780" s="275"/>
      <c r="H780" s="275"/>
      <c r="I780" s="275"/>
      <c r="J780" s="275"/>
      <c r="K780" s="275"/>
      <c r="L780" s="275"/>
      <c r="M780" s="275"/>
      <c r="N780" s="275"/>
    </row>
    <row r="781">
      <c r="B781" s="275"/>
      <c r="C781" s="275"/>
      <c r="D781" s="275"/>
      <c r="E781" s="275"/>
      <c r="F781" s="275"/>
      <c r="G781" s="275"/>
      <c r="H781" s="275"/>
      <c r="I781" s="275"/>
      <c r="J781" s="275"/>
      <c r="K781" s="275"/>
      <c r="L781" s="275"/>
      <c r="M781" s="275"/>
      <c r="N781" s="275"/>
    </row>
    <row r="782">
      <c r="B782" s="275"/>
      <c r="C782" s="275"/>
      <c r="D782" s="275"/>
      <c r="E782" s="275"/>
      <c r="F782" s="275"/>
      <c r="G782" s="275"/>
      <c r="H782" s="275"/>
      <c r="I782" s="275"/>
      <c r="J782" s="275"/>
      <c r="K782" s="275"/>
      <c r="L782" s="275"/>
      <c r="M782" s="275"/>
      <c r="N782" s="275"/>
    </row>
    <row r="783">
      <c r="B783" s="275"/>
      <c r="C783" s="275"/>
      <c r="D783" s="275"/>
      <c r="E783" s="275"/>
      <c r="F783" s="275"/>
      <c r="G783" s="275"/>
      <c r="H783" s="275"/>
      <c r="I783" s="275"/>
      <c r="J783" s="275"/>
      <c r="K783" s="275"/>
      <c r="L783" s="275"/>
      <c r="M783" s="275"/>
      <c r="N783" s="275"/>
    </row>
    <row r="784">
      <c r="B784" s="275"/>
      <c r="C784" s="275"/>
      <c r="D784" s="275"/>
      <c r="E784" s="275"/>
      <c r="F784" s="275"/>
      <c r="G784" s="275"/>
      <c r="H784" s="275"/>
      <c r="I784" s="275"/>
      <c r="J784" s="275"/>
      <c r="K784" s="275"/>
      <c r="L784" s="275"/>
      <c r="M784" s="275"/>
      <c r="N784" s="275"/>
    </row>
    <row r="785">
      <c r="B785" s="275"/>
      <c r="C785" s="275"/>
      <c r="D785" s="275"/>
      <c r="E785" s="275"/>
      <c r="F785" s="275"/>
      <c r="G785" s="275"/>
      <c r="H785" s="275"/>
      <c r="I785" s="275"/>
      <c r="J785" s="275"/>
      <c r="K785" s="275"/>
      <c r="L785" s="275"/>
      <c r="M785" s="275"/>
      <c r="N785" s="275"/>
    </row>
    <row r="786">
      <c r="B786" s="275"/>
      <c r="C786" s="275"/>
      <c r="D786" s="275"/>
      <c r="E786" s="275"/>
      <c r="F786" s="275"/>
      <c r="G786" s="275"/>
      <c r="H786" s="275"/>
      <c r="I786" s="275"/>
      <c r="J786" s="275"/>
      <c r="K786" s="275"/>
      <c r="L786" s="275"/>
      <c r="M786" s="275"/>
      <c r="N786" s="275"/>
    </row>
    <row r="787">
      <c r="B787" s="275"/>
      <c r="C787" s="275"/>
      <c r="D787" s="275"/>
      <c r="E787" s="275"/>
      <c r="F787" s="275"/>
      <c r="G787" s="275"/>
      <c r="H787" s="275"/>
      <c r="I787" s="275"/>
      <c r="J787" s="275"/>
      <c r="K787" s="275"/>
      <c r="L787" s="275"/>
      <c r="M787" s="275"/>
      <c r="N787" s="275"/>
    </row>
    <row r="788">
      <c r="B788" s="275"/>
      <c r="C788" s="275"/>
      <c r="D788" s="275"/>
      <c r="E788" s="275"/>
      <c r="F788" s="275"/>
      <c r="G788" s="275"/>
      <c r="H788" s="275"/>
      <c r="I788" s="275"/>
      <c r="J788" s="275"/>
      <c r="K788" s="275"/>
      <c r="L788" s="275"/>
      <c r="M788" s="275"/>
      <c r="N788" s="275"/>
    </row>
    <row r="789">
      <c r="B789" s="275"/>
      <c r="C789" s="275"/>
      <c r="D789" s="275"/>
      <c r="E789" s="275"/>
      <c r="F789" s="275"/>
      <c r="G789" s="275"/>
      <c r="H789" s="275"/>
      <c r="I789" s="275"/>
      <c r="J789" s="275"/>
      <c r="K789" s="275"/>
      <c r="L789" s="275"/>
      <c r="M789" s="275"/>
      <c r="N789" s="275"/>
    </row>
    <row r="790">
      <c r="B790" s="275"/>
      <c r="C790" s="275"/>
      <c r="D790" s="275"/>
      <c r="E790" s="275"/>
      <c r="F790" s="275"/>
      <c r="G790" s="275"/>
      <c r="H790" s="275"/>
      <c r="I790" s="275"/>
      <c r="J790" s="275"/>
      <c r="K790" s="275"/>
      <c r="L790" s="275"/>
      <c r="M790" s="275"/>
      <c r="N790" s="275"/>
    </row>
    <row r="791">
      <c r="B791" s="275"/>
      <c r="C791" s="275"/>
      <c r="D791" s="275"/>
      <c r="E791" s="275"/>
      <c r="F791" s="275"/>
      <c r="G791" s="275"/>
      <c r="H791" s="275"/>
      <c r="I791" s="275"/>
      <c r="J791" s="275"/>
      <c r="K791" s="275"/>
      <c r="L791" s="275"/>
      <c r="M791" s="275"/>
      <c r="N791" s="275"/>
    </row>
    <row r="792">
      <c r="B792" s="275"/>
      <c r="C792" s="275"/>
      <c r="D792" s="275"/>
      <c r="E792" s="275"/>
      <c r="F792" s="275"/>
      <c r="G792" s="275"/>
      <c r="H792" s="275"/>
      <c r="I792" s="275"/>
      <c r="J792" s="275"/>
      <c r="K792" s="275"/>
      <c r="L792" s="275"/>
      <c r="M792" s="275"/>
      <c r="N792" s="275"/>
    </row>
    <row r="793">
      <c r="B793" s="275"/>
      <c r="C793" s="275"/>
      <c r="D793" s="275"/>
      <c r="E793" s="275"/>
      <c r="F793" s="275"/>
      <c r="G793" s="275"/>
      <c r="H793" s="275"/>
      <c r="I793" s="275"/>
      <c r="J793" s="275"/>
      <c r="K793" s="275"/>
      <c r="L793" s="275"/>
      <c r="M793" s="275"/>
      <c r="N793" s="275"/>
    </row>
    <row r="794">
      <c r="B794" s="275"/>
      <c r="C794" s="275"/>
      <c r="D794" s="275"/>
      <c r="E794" s="275"/>
      <c r="F794" s="275"/>
      <c r="G794" s="275"/>
      <c r="H794" s="275"/>
      <c r="I794" s="275"/>
      <c r="J794" s="275"/>
      <c r="K794" s="275"/>
      <c r="L794" s="275"/>
      <c r="M794" s="275"/>
      <c r="N794" s="275"/>
    </row>
    <row r="795">
      <c r="B795" s="275"/>
      <c r="C795" s="275"/>
      <c r="D795" s="275"/>
      <c r="E795" s="275"/>
      <c r="F795" s="275"/>
      <c r="G795" s="275"/>
      <c r="H795" s="275"/>
      <c r="I795" s="275"/>
      <c r="J795" s="275"/>
      <c r="K795" s="275"/>
      <c r="L795" s="275"/>
      <c r="M795" s="275"/>
      <c r="N795" s="275"/>
    </row>
    <row r="796">
      <c r="B796" s="275"/>
      <c r="C796" s="275"/>
      <c r="D796" s="275"/>
      <c r="E796" s="275"/>
      <c r="F796" s="275"/>
      <c r="G796" s="275"/>
      <c r="H796" s="275"/>
      <c r="I796" s="275"/>
      <c r="J796" s="275"/>
      <c r="K796" s="275"/>
      <c r="L796" s="275"/>
      <c r="M796" s="275"/>
      <c r="N796" s="275"/>
    </row>
    <row r="797">
      <c r="B797" s="275"/>
      <c r="C797" s="275"/>
      <c r="D797" s="275"/>
      <c r="E797" s="275"/>
      <c r="F797" s="275"/>
      <c r="G797" s="275"/>
      <c r="H797" s="275"/>
      <c r="I797" s="275"/>
      <c r="J797" s="275"/>
      <c r="K797" s="275"/>
      <c r="L797" s="275"/>
      <c r="M797" s="275"/>
      <c r="N797" s="275"/>
    </row>
    <row r="798">
      <c r="B798" s="275"/>
      <c r="C798" s="275"/>
      <c r="D798" s="275"/>
      <c r="E798" s="275"/>
      <c r="F798" s="275"/>
      <c r="G798" s="275"/>
      <c r="H798" s="275"/>
      <c r="I798" s="275"/>
      <c r="J798" s="275"/>
      <c r="K798" s="275"/>
      <c r="L798" s="275"/>
      <c r="M798" s="275"/>
      <c r="N798" s="275"/>
    </row>
    <row r="799">
      <c r="B799" s="275"/>
      <c r="C799" s="275"/>
      <c r="D799" s="275"/>
      <c r="E799" s="275"/>
      <c r="F799" s="275"/>
      <c r="G799" s="275"/>
      <c r="H799" s="275"/>
      <c r="I799" s="275"/>
      <c r="J799" s="275"/>
      <c r="K799" s="275"/>
      <c r="L799" s="275"/>
      <c r="M799" s="275"/>
      <c r="N799" s="275"/>
    </row>
    <row r="800">
      <c r="B800" s="275"/>
      <c r="C800" s="275"/>
      <c r="D800" s="275"/>
      <c r="E800" s="275"/>
      <c r="F800" s="275"/>
      <c r="G800" s="275"/>
      <c r="H800" s="275"/>
      <c r="I800" s="275"/>
      <c r="J800" s="275"/>
      <c r="K800" s="275"/>
      <c r="L800" s="275"/>
      <c r="M800" s="275"/>
      <c r="N800" s="275"/>
    </row>
    <row r="801">
      <c r="B801" s="275"/>
      <c r="C801" s="275"/>
      <c r="D801" s="275"/>
      <c r="E801" s="275"/>
      <c r="F801" s="275"/>
      <c r="G801" s="275"/>
      <c r="H801" s="275"/>
      <c r="I801" s="275"/>
      <c r="J801" s="275"/>
      <c r="K801" s="275"/>
      <c r="L801" s="275"/>
      <c r="M801" s="275"/>
      <c r="N801" s="275"/>
    </row>
    <row r="802">
      <c r="B802" s="275"/>
      <c r="C802" s="275"/>
      <c r="D802" s="275"/>
      <c r="E802" s="275"/>
      <c r="F802" s="275"/>
      <c r="G802" s="275"/>
      <c r="H802" s="275"/>
      <c r="I802" s="275"/>
      <c r="J802" s="275"/>
      <c r="K802" s="275"/>
      <c r="L802" s="275"/>
      <c r="M802" s="275"/>
      <c r="N802" s="275"/>
    </row>
    <row r="803">
      <c r="B803" s="275"/>
      <c r="C803" s="275"/>
      <c r="D803" s="275"/>
      <c r="E803" s="275"/>
      <c r="F803" s="275"/>
      <c r="G803" s="275"/>
      <c r="H803" s="275"/>
      <c r="I803" s="275"/>
      <c r="J803" s="275"/>
      <c r="K803" s="275"/>
      <c r="L803" s="275"/>
      <c r="M803" s="275"/>
      <c r="N803" s="275"/>
    </row>
    <row r="804">
      <c r="B804" s="275"/>
      <c r="C804" s="275"/>
      <c r="D804" s="275"/>
      <c r="E804" s="275"/>
      <c r="F804" s="275"/>
      <c r="G804" s="275"/>
      <c r="H804" s="275"/>
      <c r="I804" s="275"/>
      <c r="J804" s="275"/>
      <c r="K804" s="275"/>
      <c r="L804" s="275"/>
      <c r="M804" s="275"/>
      <c r="N804" s="275"/>
    </row>
    <row r="805">
      <c r="B805" s="275"/>
      <c r="C805" s="275"/>
      <c r="D805" s="275"/>
      <c r="E805" s="275"/>
      <c r="F805" s="275"/>
      <c r="G805" s="275"/>
      <c r="H805" s="275"/>
      <c r="I805" s="275"/>
      <c r="J805" s="275"/>
      <c r="K805" s="275"/>
      <c r="L805" s="275"/>
      <c r="M805" s="275"/>
      <c r="N805" s="275"/>
    </row>
    <row r="806">
      <c r="B806" s="275"/>
      <c r="C806" s="275"/>
      <c r="D806" s="275"/>
      <c r="E806" s="275"/>
      <c r="F806" s="275"/>
      <c r="G806" s="275"/>
      <c r="H806" s="275"/>
      <c r="I806" s="275"/>
      <c r="J806" s="275"/>
      <c r="K806" s="275"/>
      <c r="L806" s="275"/>
      <c r="M806" s="275"/>
      <c r="N806" s="275"/>
    </row>
    <row r="807">
      <c r="B807" s="275"/>
      <c r="C807" s="275"/>
      <c r="D807" s="275"/>
      <c r="E807" s="275"/>
      <c r="F807" s="275"/>
      <c r="G807" s="275"/>
      <c r="H807" s="275"/>
      <c r="I807" s="275"/>
      <c r="J807" s="275"/>
      <c r="K807" s="275"/>
      <c r="L807" s="275"/>
      <c r="M807" s="275"/>
      <c r="N807" s="275"/>
    </row>
    <row r="808">
      <c r="B808" s="275"/>
      <c r="C808" s="275"/>
      <c r="D808" s="275"/>
      <c r="E808" s="275"/>
      <c r="F808" s="275"/>
      <c r="G808" s="275"/>
      <c r="H808" s="275"/>
      <c r="I808" s="275"/>
      <c r="J808" s="275"/>
      <c r="K808" s="275"/>
      <c r="L808" s="275"/>
      <c r="M808" s="275"/>
      <c r="N808" s="275"/>
    </row>
    <row r="809">
      <c r="B809" s="275"/>
      <c r="C809" s="275"/>
      <c r="D809" s="275"/>
      <c r="E809" s="275"/>
      <c r="F809" s="275"/>
      <c r="G809" s="275"/>
      <c r="H809" s="275"/>
      <c r="I809" s="275"/>
      <c r="J809" s="275"/>
      <c r="K809" s="275"/>
      <c r="L809" s="275"/>
      <c r="M809" s="275"/>
      <c r="N809" s="275"/>
    </row>
    <row r="810">
      <c r="B810" s="275"/>
      <c r="C810" s="275"/>
      <c r="D810" s="275"/>
      <c r="E810" s="275"/>
      <c r="F810" s="275"/>
      <c r="G810" s="275"/>
      <c r="H810" s="275"/>
      <c r="I810" s="275"/>
      <c r="J810" s="275"/>
      <c r="K810" s="275"/>
      <c r="L810" s="275"/>
      <c r="M810" s="275"/>
      <c r="N810" s="275"/>
    </row>
    <row r="811">
      <c r="B811" s="275"/>
      <c r="C811" s="275"/>
      <c r="D811" s="275"/>
      <c r="E811" s="275"/>
      <c r="F811" s="275"/>
      <c r="G811" s="275"/>
      <c r="H811" s="275"/>
      <c r="I811" s="275"/>
      <c r="J811" s="275"/>
      <c r="K811" s="275"/>
      <c r="L811" s="275"/>
      <c r="M811" s="275"/>
      <c r="N811" s="275"/>
    </row>
    <row r="812">
      <c r="B812" s="275"/>
      <c r="C812" s="275"/>
      <c r="D812" s="275"/>
      <c r="E812" s="275"/>
      <c r="F812" s="275"/>
      <c r="G812" s="275"/>
      <c r="H812" s="275"/>
      <c r="I812" s="275"/>
      <c r="J812" s="275"/>
      <c r="K812" s="275"/>
      <c r="L812" s="275"/>
      <c r="M812" s="275"/>
      <c r="N812" s="275"/>
    </row>
    <row r="813">
      <c r="B813" s="275"/>
      <c r="C813" s="275"/>
      <c r="D813" s="275"/>
      <c r="E813" s="275"/>
      <c r="F813" s="275"/>
      <c r="G813" s="275"/>
      <c r="H813" s="275"/>
      <c r="I813" s="275"/>
      <c r="J813" s="275"/>
      <c r="K813" s="275"/>
      <c r="L813" s="275"/>
      <c r="M813" s="275"/>
      <c r="N813" s="275"/>
    </row>
    <row r="814">
      <c r="B814" s="275"/>
      <c r="C814" s="275"/>
      <c r="D814" s="275"/>
      <c r="E814" s="275"/>
      <c r="F814" s="275"/>
      <c r="G814" s="275"/>
      <c r="H814" s="275"/>
      <c r="I814" s="275"/>
      <c r="J814" s="275"/>
      <c r="K814" s="275"/>
      <c r="L814" s="275"/>
      <c r="M814" s="275"/>
      <c r="N814" s="275"/>
    </row>
    <row r="815">
      <c r="B815" s="275"/>
      <c r="C815" s="275"/>
      <c r="D815" s="275"/>
      <c r="E815" s="275"/>
      <c r="F815" s="275"/>
      <c r="G815" s="275"/>
      <c r="H815" s="275"/>
      <c r="I815" s="275"/>
      <c r="J815" s="275"/>
      <c r="K815" s="275"/>
      <c r="L815" s="275"/>
      <c r="M815" s="275"/>
      <c r="N815" s="275"/>
    </row>
    <row r="816">
      <c r="B816" s="275"/>
      <c r="C816" s="275"/>
      <c r="D816" s="275"/>
      <c r="E816" s="275"/>
      <c r="F816" s="275"/>
      <c r="G816" s="275"/>
      <c r="H816" s="275"/>
      <c r="I816" s="275"/>
      <c r="J816" s="275"/>
      <c r="K816" s="275"/>
      <c r="L816" s="275"/>
      <c r="M816" s="275"/>
      <c r="N816" s="275"/>
    </row>
    <row r="817">
      <c r="B817" s="275"/>
      <c r="C817" s="275"/>
      <c r="D817" s="275"/>
      <c r="E817" s="275"/>
      <c r="F817" s="275"/>
      <c r="G817" s="275"/>
      <c r="H817" s="275"/>
      <c r="I817" s="275"/>
      <c r="J817" s="275"/>
      <c r="K817" s="275"/>
      <c r="L817" s="275"/>
      <c r="M817" s="275"/>
      <c r="N817" s="275"/>
    </row>
    <row r="818">
      <c r="B818" s="275"/>
      <c r="C818" s="275"/>
      <c r="D818" s="275"/>
      <c r="E818" s="275"/>
      <c r="F818" s="275"/>
      <c r="G818" s="275"/>
      <c r="H818" s="275"/>
      <c r="I818" s="275"/>
      <c r="J818" s="275"/>
      <c r="K818" s="275"/>
      <c r="L818" s="275"/>
      <c r="M818" s="275"/>
      <c r="N818" s="275"/>
    </row>
    <row r="819">
      <c r="B819" s="275"/>
      <c r="C819" s="275"/>
      <c r="D819" s="275"/>
      <c r="E819" s="275"/>
      <c r="F819" s="275"/>
      <c r="G819" s="275"/>
      <c r="H819" s="275"/>
      <c r="I819" s="275"/>
      <c r="J819" s="275"/>
      <c r="K819" s="275"/>
      <c r="L819" s="275"/>
      <c r="M819" s="275"/>
      <c r="N819" s="275"/>
    </row>
    <row r="820">
      <c r="B820" s="275"/>
      <c r="C820" s="275"/>
      <c r="D820" s="275"/>
      <c r="E820" s="275"/>
      <c r="F820" s="275"/>
      <c r="G820" s="275"/>
      <c r="H820" s="275"/>
      <c r="I820" s="275"/>
      <c r="J820" s="275"/>
      <c r="K820" s="275"/>
      <c r="L820" s="275"/>
      <c r="M820" s="275"/>
      <c r="N820" s="275"/>
    </row>
    <row r="821">
      <c r="B821" s="275"/>
      <c r="C821" s="275"/>
      <c r="D821" s="275"/>
      <c r="E821" s="275"/>
      <c r="F821" s="275"/>
      <c r="G821" s="275"/>
      <c r="H821" s="275"/>
      <c r="I821" s="275"/>
      <c r="J821" s="275"/>
      <c r="K821" s="275"/>
      <c r="L821" s="275"/>
      <c r="M821" s="275"/>
      <c r="N821" s="275"/>
    </row>
    <row r="822">
      <c r="B822" s="275"/>
      <c r="C822" s="275"/>
      <c r="D822" s="275"/>
      <c r="E822" s="275"/>
      <c r="F822" s="275"/>
      <c r="G822" s="275"/>
      <c r="H822" s="275"/>
      <c r="I822" s="275"/>
      <c r="J822" s="275"/>
      <c r="K822" s="275"/>
      <c r="L822" s="275"/>
      <c r="M822" s="275"/>
      <c r="N822" s="275"/>
    </row>
    <row r="823">
      <c r="B823" s="275"/>
      <c r="C823" s="275"/>
      <c r="D823" s="275"/>
      <c r="E823" s="275"/>
      <c r="F823" s="275"/>
      <c r="G823" s="275"/>
      <c r="H823" s="275"/>
      <c r="I823" s="275"/>
      <c r="J823" s="275"/>
      <c r="K823" s="275"/>
      <c r="L823" s="275"/>
      <c r="M823" s="275"/>
      <c r="N823" s="275"/>
    </row>
    <row r="824">
      <c r="B824" s="275"/>
      <c r="C824" s="275"/>
      <c r="D824" s="275"/>
      <c r="E824" s="275"/>
      <c r="F824" s="275"/>
      <c r="G824" s="275"/>
      <c r="H824" s="275"/>
      <c r="I824" s="275"/>
      <c r="J824" s="275"/>
      <c r="K824" s="275"/>
      <c r="L824" s="275"/>
      <c r="M824" s="275"/>
      <c r="N824" s="275"/>
    </row>
    <row r="825">
      <c r="B825" s="275"/>
      <c r="C825" s="275"/>
      <c r="D825" s="275"/>
      <c r="E825" s="275"/>
      <c r="F825" s="275"/>
      <c r="G825" s="275"/>
      <c r="H825" s="275"/>
      <c r="I825" s="275"/>
      <c r="J825" s="275"/>
      <c r="K825" s="275"/>
      <c r="L825" s="275"/>
      <c r="M825" s="275"/>
      <c r="N825" s="275"/>
    </row>
    <row r="826">
      <c r="B826" s="275"/>
      <c r="C826" s="275"/>
      <c r="D826" s="275"/>
      <c r="E826" s="275"/>
      <c r="F826" s="275"/>
      <c r="G826" s="275"/>
      <c r="H826" s="275"/>
      <c r="I826" s="275"/>
      <c r="J826" s="275"/>
      <c r="K826" s="275"/>
      <c r="L826" s="275"/>
      <c r="M826" s="275"/>
      <c r="N826" s="275"/>
    </row>
    <row r="827">
      <c r="B827" s="275"/>
      <c r="C827" s="275"/>
      <c r="D827" s="275"/>
      <c r="E827" s="275"/>
      <c r="F827" s="275"/>
      <c r="G827" s="275"/>
      <c r="H827" s="275"/>
      <c r="I827" s="275"/>
      <c r="J827" s="275"/>
      <c r="K827" s="275"/>
      <c r="L827" s="275"/>
      <c r="M827" s="275"/>
      <c r="N827" s="275"/>
    </row>
    <row r="828">
      <c r="B828" s="275"/>
      <c r="C828" s="275"/>
      <c r="D828" s="275"/>
      <c r="E828" s="275"/>
      <c r="F828" s="275"/>
      <c r="G828" s="275"/>
      <c r="H828" s="275"/>
      <c r="I828" s="275"/>
      <c r="J828" s="275"/>
      <c r="K828" s="275"/>
      <c r="L828" s="275"/>
      <c r="M828" s="275"/>
      <c r="N828" s="275"/>
    </row>
    <row r="829">
      <c r="B829" s="275"/>
      <c r="C829" s="275"/>
      <c r="D829" s="275"/>
      <c r="E829" s="275"/>
      <c r="F829" s="275"/>
      <c r="G829" s="275"/>
      <c r="H829" s="275"/>
      <c r="I829" s="275"/>
      <c r="J829" s="275"/>
      <c r="K829" s="275"/>
      <c r="L829" s="275"/>
      <c r="M829" s="275"/>
      <c r="N829" s="275"/>
    </row>
    <row r="830">
      <c r="B830" s="275"/>
      <c r="C830" s="275"/>
      <c r="D830" s="275"/>
      <c r="E830" s="275"/>
      <c r="F830" s="275"/>
      <c r="G830" s="275"/>
      <c r="H830" s="275"/>
      <c r="I830" s="275"/>
      <c r="J830" s="275"/>
      <c r="K830" s="275"/>
      <c r="L830" s="275"/>
      <c r="M830" s="275"/>
      <c r="N830" s="275"/>
    </row>
    <row r="831">
      <c r="B831" s="275"/>
      <c r="C831" s="275"/>
      <c r="D831" s="275"/>
      <c r="E831" s="275"/>
      <c r="F831" s="275"/>
      <c r="G831" s="275"/>
      <c r="H831" s="275"/>
      <c r="I831" s="275"/>
      <c r="J831" s="275"/>
      <c r="K831" s="275"/>
      <c r="L831" s="275"/>
      <c r="M831" s="275"/>
      <c r="N831" s="275"/>
    </row>
    <row r="832">
      <c r="B832" s="275"/>
      <c r="C832" s="275"/>
      <c r="D832" s="275"/>
      <c r="E832" s="275"/>
      <c r="F832" s="275"/>
      <c r="G832" s="275"/>
      <c r="H832" s="275"/>
      <c r="I832" s="275"/>
      <c r="J832" s="275"/>
      <c r="K832" s="275"/>
      <c r="L832" s="275"/>
      <c r="M832" s="275"/>
      <c r="N832" s="275"/>
    </row>
    <row r="833">
      <c r="B833" s="275"/>
      <c r="C833" s="275"/>
      <c r="D833" s="275"/>
      <c r="E833" s="275"/>
      <c r="F833" s="275"/>
      <c r="G833" s="275"/>
      <c r="H833" s="275"/>
      <c r="I833" s="275"/>
      <c r="J833" s="275"/>
      <c r="K833" s="275"/>
      <c r="L833" s="275"/>
      <c r="M833" s="275"/>
      <c r="N833" s="275"/>
    </row>
    <row r="834">
      <c r="B834" s="275"/>
      <c r="C834" s="275"/>
      <c r="D834" s="275"/>
      <c r="E834" s="275"/>
      <c r="F834" s="275"/>
      <c r="G834" s="275"/>
      <c r="H834" s="275"/>
      <c r="I834" s="275"/>
      <c r="J834" s="275"/>
      <c r="K834" s="275"/>
      <c r="L834" s="275"/>
      <c r="M834" s="275"/>
      <c r="N834" s="275"/>
    </row>
    <row r="835">
      <c r="B835" s="275"/>
      <c r="C835" s="275"/>
      <c r="D835" s="275"/>
      <c r="E835" s="275"/>
      <c r="F835" s="275"/>
      <c r="G835" s="275"/>
      <c r="H835" s="275"/>
      <c r="I835" s="275"/>
      <c r="J835" s="275"/>
      <c r="K835" s="275"/>
      <c r="L835" s="275"/>
      <c r="M835" s="275"/>
      <c r="N835" s="275"/>
    </row>
    <row r="836">
      <c r="B836" s="275"/>
      <c r="C836" s="275"/>
      <c r="D836" s="275"/>
      <c r="E836" s="275"/>
      <c r="F836" s="275"/>
      <c r="G836" s="275"/>
      <c r="H836" s="275"/>
      <c r="I836" s="275"/>
      <c r="J836" s="275"/>
      <c r="K836" s="275"/>
      <c r="L836" s="275"/>
      <c r="M836" s="275"/>
      <c r="N836" s="275"/>
    </row>
    <row r="837">
      <c r="B837" s="275"/>
      <c r="C837" s="275"/>
      <c r="D837" s="275"/>
      <c r="E837" s="275"/>
      <c r="F837" s="275"/>
      <c r="G837" s="275"/>
      <c r="H837" s="275"/>
      <c r="I837" s="275"/>
      <c r="J837" s="275"/>
      <c r="K837" s="275"/>
      <c r="L837" s="275"/>
      <c r="M837" s="275"/>
      <c r="N837" s="275"/>
    </row>
    <row r="838">
      <c r="B838" s="275"/>
      <c r="C838" s="275"/>
      <c r="D838" s="275"/>
      <c r="E838" s="275"/>
      <c r="F838" s="275"/>
      <c r="G838" s="275"/>
      <c r="H838" s="275"/>
      <c r="I838" s="275"/>
      <c r="J838" s="275"/>
      <c r="K838" s="275"/>
      <c r="L838" s="275"/>
      <c r="M838" s="275"/>
      <c r="N838" s="275"/>
    </row>
    <row r="839">
      <c r="B839" s="275"/>
      <c r="C839" s="275"/>
      <c r="D839" s="275"/>
      <c r="E839" s="275"/>
      <c r="F839" s="275"/>
      <c r="G839" s="275"/>
      <c r="H839" s="275"/>
      <c r="I839" s="275"/>
      <c r="J839" s="275"/>
      <c r="K839" s="275"/>
      <c r="L839" s="275"/>
      <c r="M839" s="275"/>
      <c r="N839" s="275"/>
    </row>
    <row r="840">
      <c r="B840" s="275"/>
      <c r="C840" s="275"/>
      <c r="D840" s="275"/>
      <c r="E840" s="275"/>
      <c r="F840" s="275"/>
      <c r="G840" s="275"/>
      <c r="H840" s="275"/>
      <c r="I840" s="275"/>
      <c r="J840" s="275"/>
      <c r="K840" s="275"/>
      <c r="L840" s="275"/>
      <c r="M840" s="275"/>
      <c r="N840" s="275"/>
    </row>
    <row r="841">
      <c r="B841" s="275"/>
      <c r="C841" s="275"/>
      <c r="D841" s="275"/>
      <c r="E841" s="275"/>
      <c r="F841" s="275"/>
      <c r="G841" s="275"/>
      <c r="H841" s="275"/>
      <c r="I841" s="275"/>
      <c r="J841" s="275"/>
      <c r="K841" s="275"/>
      <c r="L841" s="275"/>
      <c r="M841" s="275"/>
      <c r="N841" s="275"/>
    </row>
    <row r="842">
      <c r="B842" s="275"/>
      <c r="C842" s="275"/>
      <c r="D842" s="275"/>
      <c r="E842" s="275"/>
      <c r="F842" s="275"/>
      <c r="G842" s="275"/>
      <c r="H842" s="275"/>
      <c r="I842" s="275"/>
      <c r="J842" s="275"/>
      <c r="K842" s="275"/>
      <c r="L842" s="275"/>
      <c r="M842" s="275"/>
      <c r="N842" s="275"/>
    </row>
    <row r="843">
      <c r="B843" s="275"/>
      <c r="C843" s="275"/>
      <c r="D843" s="275"/>
      <c r="E843" s="275"/>
      <c r="F843" s="275"/>
      <c r="G843" s="275"/>
      <c r="H843" s="275"/>
      <c r="I843" s="275"/>
      <c r="J843" s="275"/>
      <c r="K843" s="275"/>
      <c r="L843" s="275"/>
      <c r="M843" s="275"/>
      <c r="N843" s="275"/>
    </row>
    <row r="844">
      <c r="B844" s="275"/>
      <c r="C844" s="275"/>
      <c r="D844" s="275"/>
      <c r="E844" s="275"/>
      <c r="F844" s="275"/>
      <c r="G844" s="275"/>
      <c r="H844" s="275"/>
      <c r="I844" s="275"/>
      <c r="J844" s="275"/>
      <c r="K844" s="275"/>
      <c r="L844" s="275"/>
      <c r="M844" s="275"/>
      <c r="N844" s="275"/>
    </row>
    <row r="845">
      <c r="B845" s="275"/>
      <c r="C845" s="275"/>
      <c r="D845" s="275"/>
      <c r="E845" s="275"/>
      <c r="F845" s="275"/>
      <c r="G845" s="275"/>
      <c r="H845" s="275"/>
      <c r="I845" s="275"/>
      <c r="J845" s="275"/>
      <c r="K845" s="275"/>
      <c r="L845" s="275"/>
      <c r="M845" s="275"/>
      <c r="N845" s="275"/>
    </row>
    <row r="846">
      <c r="B846" s="275"/>
      <c r="C846" s="275"/>
      <c r="D846" s="275"/>
      <c r="E846" s="275"/>
      <c r="F846" s="275"/>
      <c r="G846" s="275"/>
      <c r="H846" s="275"/>
      <c r="I846" s="275"/>
      <c r="J846" s="275"/>
      <c r="K846" s="275"/>
      <c r="L846" s="275"/>
      <c r="M846" s="275"/>
      <c r="N846" s="275"/>
    </row>
    <row r="847">
      <c r="B847" s="275"/>
      <c r="C847" s="275"/>
      <c r="D847" s="275"/>
      <c r="E847" s="275"/>
      <c r="F847" s="275"/>
      <c r="G847" s="275"/>
      <c r="H847" s="275"/>
      <c r="I847" s="275"/>
      <c r="J847" s="275"/>
      <c r="K847" s="275"/>
      <c r="L847" s="275"/>
      <c r="M847" s="275"/>
      <c r="N847" s="275"/>
    </row>
    <row r="848">
      <c r="B848" s="275"/>
      <c r="C848" s="275"/>
      <c r="D848" s="275"/>
      <c r="E848" s="275"/>
      <c r="F848" s="275"/>
      <c r="G848" s="275"/>
      <c r="H848" s="275"/>
      <c r="I848" s="275"/>
      <c r="J848" s="275"/>
      <c r="K848" s="275"/>
      <c r="L848" s="275"/>
      <c r="M848" s="275"/>
      <c r="N848" s="275"/>
    </row>
    <row r="849">
      <c r="B849" s="275"/>
      <c r="C849" s="275"/>
      <c r="D849" s="275"/>
      <c r="E849" s="275"/>
      <c r="F849" s="275"/>
      <c r="G849" s="275"/>
      <c r="H849" s="275"/>
      <c r="I849" s="275"/>
      <c r="J849" s="275"/>
      <c r="K849" s="275"/>
      <c r="L849" s="275"/>
      <c r="M849" s="275"/>
      <c r="N849" s="275"/>
    </row>
    <row r="850">
      <c r="B850" s="275"/>
      <c r="C850" s="275"/>
      <c r="D850" s="275"/>
      <c r="E850" s="275"/>
      <c r="F850" s="275"/>
      <c r="G850" s="275"/>
      <c r="H850" s="275"/>
      <c r="I850" s="275"/>
      <c r="J850" s="275"/>
      <c r="K850" s="275"/>
      <c r="L850" s="275"/>
      <c r="M850" s="275"/>
      <c r="N850" s="275"/>
    </row>
    <row r="851">
      <c r="B851" s="275"/>
      <c r="C851" s="275"/>
      <c r="D851" s="275"/>
      <c r="E851" s="275"/>
      <c r="F851" s="275"/>
      <c r="G851" s="275"/>
      <c r="H851" s="275"/>
      <c r="I851" s="275"/>
      <c r="J851" s="275"/>
      <c r="K851" s="275"/>
      <c r="L851" s="275"/>
      <c r="M851" s="275"/>
      <c r="N851" s="275"/>
    </row>
    <row r="852">
      <c r="B852" s="275"/>
      <c r="C852" s="275"/>
      <c r="D852" s="275"/>
      <c r="E852" s="275"/>
      <c r="F852" s="275"/>
      <c r="G852" s="275"/>
      <c r="H852" s="275"/>
      <c r="I852" s="275"/>
      <c r="J852" s="275"/>
      <c r="K852" s="275"/>
      <c r="L852" s="275"/>
      <c r="M852" s="275"/>
      <c r="N852" s="275"/>
    </row>
    <row r="853">
      <c r="B853" s="275"/>
      <c r="C853" s="275"/>
      <c r="D853" s="275"/>
      <c r="E853" s="275"/>
      <c r="F853" s="275"/>
      <c r="G853" s="275"/>
      <c r="H853" s="275"/>
      <c r="I853" s="275"/>
      <c r="J853" s="275"/>
      <c r="K853" s="275"/>
      <c r="L853" s="275"/>
      <c r="M853" s="275"/>
      <c r="N853" s="275"/>
    </row>
    <row r="854">
      <c r="B854" s="275"/>
      <c r="C854" s="275"/>
      <c r="D854" s="275"/>
      <c r="E854" s="275"/>
      <c r="F854" s="275"/>
      <c r="G854" s="275"/>
      <c r="H854" s="275"/>
      <c r="I854" s="275"/>
      <c r="J854" s="275"/>
      <c r="K854" s="275"/>
      <c r="L854" s="275"/>
      <c r="M854" s="275"/>
      <c r="N854" s="275"/>
    </row>
    <row r="855">
      <c r="B855" s="275"/>
      <c r="C855" s="275"/>
      <c r="D855" s="275"/>
      <c r="E855" s="275"/>
      <c r="F855" s="275"/>
      <c r="G855" s="275"/>
      <c r="H855" s="275"/>
      <c r="I855" s="275"/>
      <c r="J855" s="275"/>
      <c r="K855" s="275"/>
      <c r="L855" s="275"/>
      <c r="M855" s="275"/>
      <c r="N855" s="275"/>
    </row>
    <row r="856">
      <c r="B856" s="275"/>
      <c r="C856" s="275"/>
      <c r="D856" s="275"/>
      <c r="E856" s="275"/>
      <c r="F856" s="275"/>
      <c r="G856" s="275"/>
      <c r="H856" s="275"/>
      <c r="I856" s="275"/>
      <c r="J856" s="275"/>
      <c r="K856" s="275"/>
      <c r="L856" s="275"/>
      <c r="M856" s="275"/>
      <c r="N856" s="275"/>
    </row>
    <row r="857">
      <c r="B857" s="275"/>
      <c r="C857" s="275"/>
      <c r="D857" s="275"/>
      <c r="E857" s="275"/>
      <c r="F857" s="275"/>
      <c r="G857" s="275"/>
      <c r="H857" s="275"/>
      <c r="I857" s="275"/>
      <c r="J857" s="275"/>
      <c r="K857" s="275"/>
      <c r="L857" s="275"/>
      <c r="M857" s="275"/>
      <c r="N857" s="275"/>
    </row>
    <row r="858">
      <c r="B858" s="275"/>
      <c r="C858" s="275"/>
      <c r="D858" s="275"/>
      <c r="E858" s="275"/>
      <c r="F858" s="275"/>
      <c r="G858" s="275"/>
      <c r="H858" s="275"/>
      <c r="I858" s="275"/>
      <c r="J858" s="275"/>
      <c r="K858" s="275"/>
      <c r="L858" s="275"/>
      <c r="M858" s="275"/>
      <c r="N858" s="275"/>
    </row>
    <row r="859">
      <c r="B859" s="275"/>
      <c r="C859" s="275"/>
      <c r="D859" s="275"/>
      <c r="E859" s="275"/>
      <c r="F859" s="275"/>
      <c r="G859" s="275"/>
      <c r="H859" s="275"/>
      <c r="I859" s="275"/>
      <c r="J859" s="275"/>
      <c r="K859" s="275"/>
      <c r="L859" s="275"/>
      <c r="M859" s="275"/>
      <c r="N859" s="275"/>
    </row>
    <row r="860">
      <c r="B860" s="275"/>
      <c r="C860" s="275"/>
      <c r="D860" s="275"/>
      <c r="E860" s="275"/>
      <c r="F860" s="275"/>
      <c r="G860" s="275"/>
      <c r="H860" s="275"/>
      <c r="I860" s="275"/>
      <c r="J860" s="275"/>
      <c r="K860" s="275"/>
      <c r="L860" s="275"/>
      <c r="M860" s="275"/>
      <c r="N860" s="275"/>
    </row>
    <row r="861">
      <c r="B861" s="275"/>
      <c r="C861" s="275"/>
      <c r="D861" s="275"/>
      <c r="E861" s="275"/>
      <c r="F861" s="275"/>
      <c r="G861" s="275"/>
      <c r="H861" s="275"/>
      <c r="I861" s="275"/>
      <c r="J861" s="275"/>
      <c r="K861" s="275"/>
      <c r="L861" s="275"/>
      <c r="M861" s="275"/>
      <c r="N861" s="275"/>
    </row>
    <row r="862">
      <c r="B862" s="275"/>
      <c r="C862" s="275"/>
      <c r="D862" s="275"/>
      <c r="E862" s="275"/>
      <c r="F862" s="275"/>
      <c r="G862" s="275"/>
      <c r="H862" s="275"/>
      <c r="I862" s="275"/>
      <c r="J862" s="275"/>
      <c r="K862" s="275"/>
      <c r="L862" s="275"/>
      <c r="M862" s="275"/>
      <c r="N862" s="275"/>
    </row>
    <row r="863">
      <c r="B863" s="275"/>
      <c r="C863" s="275"/>
      <c r="D863" s="275"/>
      <c r="E863" s="275"/>
      <c r="F863" s="275"/>
      <c r="G863" s="275"/>
      <c r="H863" s="275"/>
      <c r="I863" s="275"/>
      <c r="J863" s="275"/>
      <c r="K863" s="275"/>
      <c r="L863" s="275"/>
      <c r="M863" s="275"/>
      <c r="N863" s="275"/>
    </row>
    <row r="864">
      <c r="B864" s="275"/>
      <c r="C864" s="275"/>
      <c r="D864" s="275"/>
      <c r="E864" s="275"/>
      <c r="F864" s="275"/>
      <c r="G864" s="275"/>
      <c r="H864" s="275"/>
      <c r="I864" s="275"/>
      <c r="J864" s="275"/>
      <c r="K864" s="275"/>
      <c r="L864" s="275"/>
      <c r="M864" s="275"/>
      <c r="N864" s="275"/>
    </row>
    <row r="865">
      <c r="B865" s="275"/>
      <c r="C865" s="275"/>
      <c r="D865" s="275"/>
      <c r="E865" s="275"/>
      <c r="F865" s="275"/>
      <c r="G865" s="275"/>
      <c r="H865" s="275"/>
      <c r="I865" s="275"/>
      <c r="J865" s="275"/>
      <c r="K865" s="275"/>
      <c r="L865" s="275"/>
      <c r="M865" s="275"/>
      <c r="N865" s="275"/>
    </row>
    <row r="866">
      <c r="B866" s="275"/>
      <c r="C866" s="275"/>
      <c r="D866" s="275"/>
      <c r="E866" s="275"/>
      <c r="F866" s="275"/>
      <c r="G866" s="275"/>
      <c r="H866" s="275"/>
      <c r="I866" s="275"/>
      <c r="J866" s="275"/>
      <c r="K866" s="275"/>
      <c r="L866" s="275"/>
      <c r="M866" s="275"/>
      <c r="N866" s="275"/>
    </row>
    <row r="867">
      <c r="B867" s="275"/>
      <c r="C867" s="275"/>
      <c r="D867" s="275"/>
      <c r="E867" s="275"/>
      <c r="F867" s="275"/>
      <c r="G867" s="275"/>
      <c r="H867" s="275"/>
      <c r="I867" s="275"/>
      <c r="J867" s="275"/>
      <c r="K867" s="275"/>
      <c r="L867" s="275"/>
      <c r="M867" s="275"/>
      <c r="N867" s="275"/>
    </row>
    <row r="868">
      <c r="B868" s="275"/>
      <c r="C868" s="275"/>
      <c r="D868" s="275"/>
      <c r="E868" s="275"/>
      <c r="F868" s="275"/>
      <c r="G868" s="275"/>
      <c r="H868" s="275"/>
      <c r="I868" s="275"/>
      <c r="J868" s="275"/>
      <c r="K868" s="275"/>
      <c r="L868" s="275"/>
      <c r="M868" s="275"/>
      <c r="N868" s="275"/>
    </row>
    <row r="869">
      <c r="B869" s="275"/>
      <c r="C869" s="275"/>
      <c r="D869" s="275"/>
      <c r="E869" s="275"/>
      <c r="F869" s="275"/>
      <c r="G869" s="275"/>
      <c r="H869" s="275"/>
      <c r="I869" s="275"/>
      <c r="J869" s="275"/>
      <c r="K869" s="275"/>
      <c r="L869" s="275"/>
      <c r="M869" s="275"/>
      <c r="N869" s="275"/>
    </row>
    <row r="870">
      <c r="B870" s="275"/>
      <c r="C870" s="275"/>
      <c r="D870" s="275"/>
      <c r="E870" s="275"/>
      <c r="F870" s="275"/>
      <c r="G870" s="275"/>
      <c r="H870" s="275"/>
      <c r="I870" s="275"/>
      <c r="J870" s="275"/>
      <c r="K870" s="275"/>
      <c r="L870" s="275"/>
      <c r="M870" s="275"/>
      <c r="N870" s="275"/>
    </row>
    <row r="871">
      <c r="B871" s="275"/>
      <c r="C871" s="275"/>
      <c r="D871" s="275"/>
      <c r="E871" s="275"/>
      <c r="F871" s="275"/>
      <c r="G871" s="275"/>
      <c r="H871" s="275"/>
      <c r="I871" s="275"/>
      <c r="J871" s="275"/>
      <c r="K871" s="275"/>
      <c r="L871" s="275"/>
      <c r="M871" s="275"/>
      <c r="N871" s="275"/>
    </row>
    <row r="872">
      <c r="B872" s="275"/>
      <c r="C872" s="275"/>
      <c r="D872" s="275"/>
      <c r="E872" s="275"/>
      <c r="F872" s="275"/>
      <c r="G872" s="275"/>
      <c r="H872" s="275"/>
      <c r="I872" s="275"/>
      <c r="J872" s="275"/>
      <c r="K872" s="275"/>
      <c r="L872" s="275"/>
      <c r="M872" s="275"/>
      <c r="N872" s="275"/>
    </row>
    <row r="873">
      <c r="B873" s="275"/>
      <c r="C873" s="275"/>
      <c r="D873" s="275"/>
      <c r="E873" s="275"/>
      <c r="F873" s="275"/>
      <c r="G873" s="275"/>
      <c r="H873" s="275"/>
      <c r="I873" s="275"/>
      <c r="J873" s="275"/>
      <c r="K873" s="275"/>
      <c r="L873" s="275"/>
      <c r="M873" s="275"/>
      <c r="N873" s="275"/>
    </row>
    <row r="874">
      <c r="B874" s="275"/>
      <c r="C874" s="275"/>
      <c r="D874" s="275"/>
      <c r="E874" s="275"/>
      <c r="F874" s="275"/>
      <c r="G874" s="275"/>
      <c r="H874" s="275"/>
      <c r="I874" s="275"/>
      <c r="J874" s="275"/>
      <c r="K874" s="275"/>
      <c r="L874" s="275"/>
      <c r="M874" s="275"/>
      <c r="N874" s="275"/>
    </row>
    <row r="875">
      <c r="B875" s="275"/>
      <c r="C875" s="275"/>
      <c r="D875" s="275"/>
      <c r="E875" s="275"/>
      <c r="F875" s="275"/>
      <c r="G875" s="275"/>
      <c r="H875" s="275"/>
      <c r="I875" s="275"/>
      <c r="J875" s="275"/>
      <c r="K875" s="275"/>
      <c r="L875" s="275"/>
      <c r="M875" s="275"/>
      <c r="N875" s="275"/>
    </row>
    <row r="876">
      <c r="B876" s="275"/>
      <c r="C876" s="275"/>
      <c r="D876" s="275"/>
      <c r="E876" s="275"/>
      <c r="F876" s="275"/>
      <c r="G876" s="275"/>
      <c r="H876" s="275"/>
      <c r="I876" s="275"/>
      <c r="J876" s="275"/>
      <c r="K876" s="275"/>
      <c r="L876" s="275"/>
      <c r="M876" s="275"/>
      <c r="N876" s="275"/>
    </row>
    <row r="877">
      <c r="B877" s="275"/>
      <c r="C877" s="275"/>
      <c r="D877" s="275"/>
      <c r="E877" s="275"/>
      <c r="F877" s="275"/>
      <c r="G877" s="275"/>
      <c r="H877" s="275"/>
      <c r="I877" s="275"/>
      <c r="J877" s="275"/>
      <c r="K877" s="275"/>
      <c r="L877" s="275"/>
      <c r="M877" s="275"/>
      <c r="N877" s="275"/>
    </row>
    <row r="878">
      <c r="B878" s="275"/>
      <c r="C878" s="275"/>
      <c r="D878" s="275"/>
      <c r="E878" s="275"/>
      <c r="F878" s="275"/>
      <c r="G878" s="275"/>
      <c r="H878" s="275"/>
      <c r="I878" s="275"/>
      <c r="J878" s="275"/>
      <c r="K878" s="275"/>
      <c r="L878" s="275"/>
      <c r="M878" s="275"/>
      <c r="N878" s="275"/>
    </row>
    <row r="879">
      <c r="B879" s="275"/>
      <c r="C879" s="275"/>
      <c r="D879" s="275"/>
      <c r="E879" s="275"/>
      <c r="F879" s="275"/>
      <c r="G879" s="275"/>
      <c r="H879" s="275"/>
      <c r="I879" s="275"/>
      <c r="J879" s="275"/>
      <c r="K879" s="275"/>
      <c r="L879" s="275"/>
      <c r="M879" s="275"/>
      <c r="N879" s="275"/>
    </row>
    <row r="880">
      <c r="B880" s="275"/>
      <c r="C880" s="275"/>
      <c r="D880" s="275"/>
      <c r="E880" s="275"/>
      <c r="F880" s="275"/>
      <c r="G880" s="275"/>
      <c r="H880" s="275"/>
      <c r="I880" s="275"/>
      <c r="J880" s="275"/>
      <c r="K880" s="275"/>
      <c r="L880" s="275"/>
      <c r="M880" s="275"/>
      <c r="N880" s="275"/>
    </row>
    <row r="881">
      <c r="B881" s="275"/>
      <c r="C881" s="275"/>
      <c r="D881" s="275"/>
      <c r="E881" s="275"/>
      <c r="F881" s="275"/>
      <c r="G881" s="275"/>
      <c r="H881" s="275"/>
      <c r="I881" s="275"/>
      <c r="J881" s="275"/>
      <c r="K881" s="275"/>
      <c r="L881" s="275"/>
      <c r="M881" s="275"/>
      <c r="N881" s="275"/>
    </row>
    <row r="882">
      <c r="B882" s="275"/>
      <c r="C882" s="275"/>
      <c r="D882" s="275"/>
      <c r="E882" s="275"/>
      <c r="F882" s="275"/>
      <c r="G882" s="275"/>
      <c r="H882" s="275"/>
      <c r="I882" s="275"/>
      <c r="J882" s="275"/>
      <c r="K882" s="275"/>
      <c r="L882" s="275"/>
      <c r="M882" s="275"/>
      <c r="N882" s="275"/>
    </row>
    <row r="883">
      <c r="B883" s="275"/>
      <c r="C883" s="275"/>
      <c r="D883" s="275"/>
      <c r="E883" s="275"/>
      <c r="F883" s="275"/>
      <c r="G883" s="275"/>
      <c r="H883" s="275"/>
      <c r="I883" s="275"/>
      <c r="J883" s="275"/>
      <c r="K883" s="275"/>
      <c r="L883" s="275"/>
      <c r="M883" s="275"/>
      <c r="N883" s="275"/>
    </row>
    <row r="884">
      <c r="B884" s="275"/>
      <c r="C884" s="275"/>
      <c r="D884" s="275"/>
      <c r="E884" s="275"/>
      <c r="F884" s="275"/>
      <c r="G884" s="275"/>
      <c r="H884" s="275"/>
      <c r="I884" s="275"/>
      <c r="J884" s="275"/>
      <c r="K884" s="275"/>
      <c r="L884" s="275"/>
      <c r="M884" s="275"/>
      <c r="N884" s="275"/>
    </row>
    <row r="885">
      <c r="B885" s="275"/>
      <c r="C885" s="275"/>
      <c r="D885" s="275"/>
      <c r="E885" s="275"/>
      <c r="F885" s="275"/>
      <c r="G885" s="275"/>
      <c r="H885" s="275"/>
      <c r="I885" s="275"/>
      <c r="J885" s="275"/>
      <c r="K885" s="275"/>
      <c r="L885" s="275"/>
      <c r="M885" s="275"/>
      <c r="N885" s="275"/>
    </row>
    <row r="886">
      <c r="B886" s="275"/>
      <c r="C886" s="275"/>
      <c r="D886" s="275"/>
      <c r="E886" s="275"/>
      <c r="F886" s="275"/>
      <c r="G886" s="275"/>
      <c r="H886" s="275"/>
      <c r="I886" s="275"/>
      <c r="J886" s="275"/>
      <c r="K886" s="275"/>
      <c r="L886" s="275"/>
      <c r="M886" s="275"/>
      <c r="N886" s="275"/>
    </row>
    <row r="887">
      <c r="B887" s="275"/>
      <c r="C887" s="275"/>
      <c r="D887" s="275"/>
      <c r="E887" s="275"/>
      <c r="F887" s="275"/>
      <c r="G887" s="275"/>
      <c r="H887" s="275"/>
      <c r="I887" s="275"/>
      <c r="J887" s="275"/>
      <c r="K887" s="275"/>
      <c r="L887" s="275"/>
      <c r="M887" s="275"/>
      <c r="N887" s="275"/>
    </row>
    <row r="888">
      <c r="B888" s="275"/>
      <c r="C888" s="275"/>
      <c r="D888" s="275"/>
      <c r="E888" s="275"/>
      <c r="F888" s="275"/>
      <c r="G888" s="275"/>
      <c r="H888" s="275"/>
      <c r="I888" s="275"/>
      <c r="J888" s="275"/>
      <c r="K888" s="275"/>
      <c r="L888" s="275"/>
      <c r="M888" s="275"/>
      <c r="N888" s="275"/>
    </row>
    <row r="889">
      <c r="B889" s="275"/>
      <c r="C889" s="275"/>
      <c r="D889" s="275"/>
      <c r="E889" s="275"/>
      <c r="F889" s="275"/>
      <c r="G889" s="275"/>
      <c r="H889" s="275"/>
      <c r="I889" s="275"/>
      <c r="J889" s="275"/>
      <c r="K889" s="275"/>
      <c r="L889" s="275"/>
      <c r="M889" s="275"/>
      <c r="N889" s="275"/>
    </row>
    <row r="890">
      <c r="B890" s="275"/>
      <c r="C890" s="275"/>
      <c r="D890" s="275"/>
      <c r="E890" s="275"/>
      <c r="F890" s="275"/>
      <c r="G890" s="275"/>
      <c r="H890" s="275"/>
      <c r="I890" s="275"/>
      <c r="J890" s="275"/>
      <c r="K890" s="275"/>
      <c r="L890" s="275"/>
      <c r="M890" s="275"/>
      <c r="N890" s="275"/>
    </row>
    <row r="891">
      <c r="B891" s="275"/>
      <c r="C891" s="275"/>
      <c r="D891" s="275"/>
      <c r="E891" s="275"/>
      <c r="F891" s="275"/>
      <c r="G891" s="275"/>
      <c r="H891" s="275"/>
      <c r="I891" s="275"/>
      <c r="J891" s="275"/>
      <c r="K891" s="275"/>
      <c r="L891" s="275"/>
      <c r="M891" s="275"/>
      <c r="N891" s="275"/>
    </row>
    <row r="892">
      <c r="B892" s="275"/>
      <c r="C892" s="275"/>
      <c r="D892" s="275"/>
      <c r="E892" s="275"/>
      <c r="F892" s="275"/>
      <c r="G892" s="275"/>
      <c r="H892" s="275"/>
      <c r="I892" s="275"/>
      <c r="J892" s="275"/>
      <c r="K892" s="275"/>
      <c r="L892" s="275"/>
      <c r="M892" s="275"/>
      <c r="N892" s="275"/>
    </row>
    <row r="893">
      <c r="B893" s="275"/>
      <c r="C893" s="275"/>
      <c r="D893" s="275"/>
      <c r="E893" s="275"/>
      <c r="F893" s="275"/>
      <c r="G893" s="275"/>
      <c r="H893" s="275"/>
      <c r="I893" s="275"/>
      <c r="J893" s="275"/>
      <c r="K893" s="275"/>
      <c r="L893" s="275"/>
      <c r="M893" s="275"/>
      <c r="N893" s="275"/>
    </row>
    <row r="894">
      <c r="B894" s="275"/>
      <c r="C894" s="275"/>
      <c r="D894" s="275"/>
      <c r="E894" s="275"/>
      <c r="F894" s="275"/>
      <c r="G894" s="275"/>
      <c r="H894" s="275"/>
      <c r="I894" s="275"/>
      <c r="J894" s="275"/>
      <c r="K894" s="275"/>
      <c r="L894" s="275"/>
      <c r="M894" s="275"/>
      <c r="N894" s="275"/>
    </row>
    <row r="895">
      <c r="B895" s="275"/>
      <c r="C895" s="275"/>
      <c r="D895" s="275"/>
      <c r="E895" s="275"/>
      <c r="F895" s="275"/>
      <c r="G895" s="275"/>
      <c r="H895" s="275"/>
      <c r="I895" s="275"/>
      <c r="J895" s="275"/>
      <c r="K895" s="275"/>
      <c r="L895" s="275"/>
      <c r="M895" s="275"/>
      <c r="N895" s="275"/>
    </row>
    <row r="896">
      <c r="B896" s="275"/>
      <c r="C896" s="275"/>
      <c r="D896" s="275"/>
      <c r="E896" s="275"/>
      <c r="F896" s="275"/>
      <c r="G896" s="275"/>
      <c r="H896" s="275"/>
      <c r="I896" s="275"/>
      <c r="J896" s="275"/>
      <c r="K896" s="275"/>
      <c r="L896" s="275"/>
      <c r="M896" s="275"/>
      <c r="N896" s="275"/>
    </row>
    <row r="897">
      <c r="B897" s="275"/>
      <c r="C897" s="275"/>
      <c r="D897" s="275"/>
      <c r="E897" s="275"/>
      <c r="F897" s="275"/>
      <c r="G897" s="275"/>
      <c r="H897" s="275"/>
      <c r="I897" s="275"/>
      <c r="J897" s="275"/>
      <c r="K897" s="275"/>
      <c r="L897" s="275"/>
      <c r="M897" s="275"/>
      <c r="N897" s="275"/>
    </row>
    <row r="898">
      <c r="B898" s="275"/>
      <c r="C898" s="275"/>
      <c r="D898" s="275"/>
      <c r="E898" s="275"/>
      <c r="F898" s="275"/>
      <c r="G898" s="275"/>
      <c r="H898" s="275"/>
      <c r="I898" s="275"/>
      <c r="J898" s="275"/>
      <c r="K898" s="275"/>
      <c r="L898" s="275"/>
      <c r="M898" s="275"/>
      <c r="N898" s="275"/>
    </row>
    <row r="899">
      <c r="B899" s="275"/>
      <c r="C899" s="275"/>
      <c r="D899" s="275"/>
      <c r="E899" s="275"/>
      <c r="F899" s="275"/>
      <c r="G899" s="275"/>
      <c r="H899" s="275"/>
      <c r="I899" s="275"/>
      <c r="J899" s="275"/>
      <c r="K899" s="275"/>
      <c r="L899" s="275"/>
      <c r="M899" s="275"/>
      <c r="N899" s="275"/>
    </row>
    <row r="900">
      <c r="B900" s="275"/>
      <c r="C900" s="275"/>
      <c r="D900" s="275"/>
      <c r="E900" s="275"/>
      <c r="F900" s="275"/>
      <c r="G900" s="275"/>
      <c r="H900" s="275"/>
      <c r="I900" s="275"/>
      <c r="J900" s="275"/>
      <c r="K900" s="275"/>
      <c r="L900" s="275"/>
      <c r="M900" s="275"/>
      <c r="N900" s="275"/>
    </row>
    <row r="901">
      <c r="B901" s="275"/>
      <c r="C901" s="275"/>
      <c r="D901" s="275"/>
      <c r="E901" s="275"/>
      <c r="F901" s="275"/>
      <c r="G901" s="275"/>
      <c r="H901" s="275"/>
      <c r="I901" s="275"/>
      <c r="J901" s="275"/>
      <c r="K901" s="275"/>
      <c r="L901" s="275"/>
      <c r="M901" s="275"/>
      <c r="N901" s="275"/>
    </row>
    <row r="902">
      <c r="B902" s="275"/>
      <c r="C902" s="275"/>
      <c r="D902" s="275"/>
      <c r="E902" s="275"/>
      <c r="F902" s="275"/>
      <c r="G902" s="275"/>
      <c r="H902" s="275"/>
      <c r="I902" s="275"/>
      <c r="J902" s="275"/>
      <c r="K902" s="275"/>
      <c r="L902" s="275"/>
      <c r="M902" s="275"/>
      <c r="N902" s="275"/>
    </row>
    <row r="903">
      <c r="B903" s="275"/>
      <c r="C903" s="275"/>
      <c r="D903" s="275"/>
      <c r="E903" s="275"/>
      <c r="F903" s="275"/>
      <c r="G903" s="275"/>
      <c r="H903" s="275"/>
      <c r="I903" s="275"/>
      <c r="J903" s="275"/>
      <c r="K903" s="275"/>
      <c r="L903" s="275"/>
      <c r="M903" s="275"/>
      <c r="N903" s="275"/>
    </row>
    <row r="904">
      <c r="B904" s="275"/>
      <c r="C904" s="275"/>
      <c r="D904" s="275"/>
      <c r="E904" s="275"/>
      <c r="F904" s="275"/>
      <c r="G904" s="275"/>
      <c r="H904" s="275"/>
      <c r="I904" s="275"/>
      <c r="J904" s="275"/>
      <c r="K904" s="275"/>
      <c r="L904" s="275"/>
      <c r="M904" s="275"/>
      <c r="N904" s="275"/>
    </row>
    <row r="905">
      <c r="B905" s="275"/>
      <c r="C905" s="275"/>
      <c r="D905" s="275"/>
      <c r="E905" s="275"/>
      <c r="F905" s="275"/>
      <c r="G905" s="275"/>
      <c r="H905" s="275"/>
      <c r="I905" s="275"/>
      <c r="J905" s="275"/>
      <c r="K905" s="275"/>
      <c r="L905" s="275"/>
      <c r="M905" s="275"/>
      <c r="N905" s="275"/>
    </row>
    <row r="906">
      <c r="B906" s="275"/>
      <c r="C906" s="275"/>
      <c r="D906" s="275"/>
      <c r="E906" s="275"/>
      <c r="F906" s="275"/>
      <c r="G906" s="275"/>
      <c r="H906" s="275"/>
      <c r="I906" s="275"/>
      <c r="J906" s="275"/>
      <c r="K906" s="275"/>
      <c r="L906" s="275"/>
      <c r="M906" s="275"/>
      <c r="N906" s="275"/>
    </row>
    <row r="907">
      <c r="B907" s="275"/>
      <c r="C907" s="275"/>
      <c r="D907" s="275"/>
      <c r="E907" s="275"/>
      <c r="F907" s="275"/>
      <c r="G907" s="275"/>
      <c r="H907" s="275"/>
      <c r="I907" s="275"/>
      <c r="J907" s="275"/>
      <c r="K907" s="275"/>
      <c r="L907" s="275"/>
      <c r="M907" s="275"/>
      <c r="N907" s="275"/>
    </row>
    <row r="908">
      <c r="B908" s="275"/>
      <c r="C908" s="275"/>
      <c r="D908" s="275"/>
      <c r="E908" s="275"/>
      <c r="F908" s="275"/>
      <c r="G908" s="275"/>
      <c r="H908" s="275"/>
      <c r="I908" s="275"/>
      <c r="J908" s="275"/>
      <c r="K908" s="275"/>
      <c r="L908" s="275"/>
      <c r="M908" s="275"/>
      <c r="N908" s="275"/>
    </row>
    <row r="909">
      <c r="B909" s="275"/>
      <c r="C909" s="275"/>
      <c r="D909" s="275"/>
      <c r="E909" s="275"/>
      <c r="F909" s="275"/>
      <c r="G909" s="275"/>
      <c r="H909" s="275"/>
      <c r="I909" s="275"/>
      <c r="J909" s="275"/>
      <c r="K909" s="275"/>
      <c r="L909" s="275"/>
      <c r="M909" s="275"/>
      <c r="N909" s="275"/>
    </row>
    <row r="910">
      <c r="B910" s="275"/>
      <c r="C910" s="275"/>
      <c r="D910" s="275"/>
      <c r="E910" s="275"/>
      <c r="F910" s="275"/>
      <c r="G910" s="275"/>
      <c r="H910" s="275"/>
      <c r="I910" s="275"/>
      <c r="J910" s="275"/>
      <c r="K910" s="275"/>
      <c r="L910" s="275"/>
      <c r="M910" s="275"/>
      <c r="N910" s="275"/>
    </row>
    <row r="911">
      <c r="B911" s="275"/>
      <c r="C911" s="275"/>
      <c r="D911" s="275"/>
      <c r="E911" s="275"/>
      <c r="F911" s="275"/>
      <c r="G911" s="275"/>
      <c r="H911" s="275"/>
      <c r="I911" s="275"/>
      <c r="J911" s="275"/>
      <c r="K911" s="275"/>
      <c r="L911" s="275"/>
      <c r="M911" s="275"/>
      <c r="N911" s="275"/>
    </row>
    <row r="912">
      <c r="B912" s="275"/>
      <c r="C912" s="275"/>
      <c r="D912" s="275"/>
      <c r="E912" s="275"/>
      <c r="F912" s="275"/>
      <c r="G912" s="275"/>
      <c r="H912" s="275"/>
      <c r="I912" s="275"/>
      <c r="J912" s="275"/>
      <c r="K912" s="275"/>
      <c r="L912" s="275"/>
      <c r="M912" s="275"/>
      <c r="N912" s="275"/>
    </row>
    <row r="913">
      <c r="B913" s="275"/>
      <c r="C913" s="275"/>
      <c r="D913" s="275"/>
      <c r="E913" s="275"/>
      <c r="F913" s="275"/>
      <c r="G913" s="275"/>
      <c r="H913" s="275"/>
      <c r="I913" s="275"/>
      <c r="J913" s="275"/>
      <c r="K913" s="275"/>
      <c r="L913" s="275"/>
      <c r="M913" s="275"/>
      <c r="N913" s="275"/>
    </row>
    <row r="914">
      <c r="B914" s="275"/>
      <c r="C914" s="275"/>
      <c r="D914" s="275"/>
      <c r="E914" s="275"/>
      <c r="F914" s="275"/>
      <c r="G914" s="275"/>
      <c r="H914" s="275"/>
      <c r="I914" s="275"/>
      <c r="J914" s="275"/>
      <c r="K914" s="275"/>
      <c r="L914" s="275"/>
      <c r="M914" s="275"/>
      <c r="N914" s="275"/>
    </row>
    <row r="915">
      <c r="B915" s="275"/>
      <c r="C915" s="275"/>
      <c r="D915" s="275"/>
      <c r="E915" s="275"/>
      <c r="F915" s="275"/>
      <c r="G915" s="275"/>
      <c r="H915" s="275"/>
      <c r="I915" s="275"/>
      <c r="J915" s="275"/>
      <c r="K915" s="275"/>
      <c r="L915" s="275"/>
      <c r="M915" s="275"/>
      <c r="N915" s="275"/>
    </row>
    <row r="916">
      <c r="B916" s="275"/>
      <c r="C916" s="275"/>
      <c r="D916" s="275"/>
      <c r="E916" s="275"/>
      <c r="F916" s="275"/>
      <c r="G916" s="275"/>
      <c r="H916" s="275"/>
      <c r="I916" s="275"/>
      <c r="J916" s="275"/>
      <c r="K916" s="275"/>
      <c r="L916" s="275"/>
      <c r="M916" s="275"/>
      <c r="N916" s="275"/>
    </row>
    <row r="917">
      <c r="B917" s="275"/>
      <c r="C917" s="275"/>
      <c r="D917" s="275"/>
      <c r="E917" s="275"/>
      <c r="F917" s="275"/>
      <c r="G917" s="275"/>
      <c r="H917" s="275"/>
      <c r="I917" s="275"/>
      <c r="J917" s="275"/>
      <c r="K917" s="275"/>
      <c r="L917" s="275"/>
      <c r="M917" s="275"/>
      <c r="N917" s="275"/>
    </row>
    <row r="918">
      <c r="B918" s="275"/>
      <c r="C918" s="275"/>
      <c r="D918" s="275"/>
      <c r="E918" s="275"/>
      <c r="F918" s="275"/>
      <c r="G918" s="275"/>
      <c r="H918" s="275"/>
      <c r="I918" s="275"/>
      <c r="J918" s="275"/>
      <c r="K918" s="275"/>
      <c r="L918" s="275"/>
      <c r="M918" s="275"/>
      <c r="N918" s="275"/>
    </row>
    <row r="919">
      <c r="B919" s="275"/>
      <c r="C919" s="275"/>
      <c r="D919" s="275"/>
      <c r="E919" s="275"/>
      <c r="F919" s="275"/>
      <c r="G919" s="275"/>
      <c r="H919" s="275"/>
      <c r="I919" s="275"/>
      <c r="J919" s="275"/>
      <c r="K919" s="275"/>
      <c r="L919" s="275"/>
      <c r="M919" s="275"/>
      <c r="N919" s="275"/>
    </row>
    <row r="920">
      <c r="B920" s="275"/>
      <c r="C920" s="275"/>
      <c r="D920" s="275"/>
      <c r="E920" s="275"/>
      <c r="F920" s="275"/>
      <c r="G920" s="275"/>
      <c r="H920" s="275"/>
      <c r="I920" s="275"/>
      <c r="J920" s="275"/>
      <c r="K920" s="275"/>
      <c r="L920" s="275"/>
      <c r="M920" s="275"/>
      <c r="N920" s="275"/>
    </row>
    <row r="921">
      <c r="B921" s="275"/>
      <c r="C921" s="275"/>
      <c r="D921" s="275"/>
      <c r="E921" s="275"/>
      <c r="F921" s="275"/>
      <c r="G921" s="275"/>
      <c r="H921" s="275"/>
      <c r="I921" s="275"/>
      <c r="J921" s="275"/>
      <c r="K921" s="275"/>
      <c r="L921" s="275"/>
      <c r="M921" s="275"/>
      <c r="N921" s="275"/>
    </row>
    <row r="922">
      <c r="B922" s="275"/>
      <c r="C922" s="275"/>
      <c r="D922" s="275"/>
      <c r="E922" s="275"/>
      <c r="F922" s="275"/>
      <c r="G922" s="275"/>
      <c r="H922" s="275"/>
      <c r="I922" s="275"/>
      <c r="J922" s="275"/>
      <c r="K922" s="275"/>
      <c r="L922" s="275"/>
      <c r="M922" s="275"/>
      <c r="N922" s="275"/>
    </row>
    <row r="923">
      <c r="B923" s="275"/>
      <c r="C923" s="275"/>
      <c r="D923" s="275"/>
      <c r="E923" s="275"/>
      <c r="F923" s="275"/>
      <c r="G923" s="275"/>
      <c r="H923" s="275"/>
      <c r="I923" s="275"/>
      <c r="J923" s="275"/>
      <c r="K923" s="275"/>
      <c r="L923" s="275"/>
      <c r="M923" s="275"/>
      <c r="N923" s="275"/>
    </row>
    <row r="924">
      <c r="B924" s="275"/>
      <c r="C924" s="275"/>
      <c r="D924" s="275"/>
      <c r="E924" s="275"/>
      <c r="F924" s="275"/>
      <c r="G924" s="275"/>
      <c r="H924" s="275"/>
      <c r="I924" s="275"/>
      <c r="J924" s="275"/>
      <c r="K924" s="275"/>
      <c r="L924" s="275"/>
      <c r="M924" s="275"/>
      <c r="N924" s="275"/>
    </row>
    <row r="925">
      <c r="B925" s="275"/>
      <c r="C925" s="275"/>
      <c r="D925" s="275"/>
      <c r="E925" s="275"/>
      <c r="F925" s="275"/>
      <c r="G925" s="275"/>
      <c r="H925" s="275"/>
      <c r="I925" s="275"/>
      <c r="J925" s="275"/>
      <c r="K925" s="275"/>
      <c r="L925" s="275"/>
      <c r="M925" s="275"/>
      <c r="N925" s="275"/>
    </row>
    <row r="926">
      <c r="B926" s="275"/>
      <c r="C926" s="275"/>
      <c r="D926" s="275"/>
      <c r="E926" s="275"/>
      <c r="F926" s="275"/>
      <c r="G926" s="275"/>
      <c r="H926" s="275"/>
      <c r="I926" s="275"/>
      <c r="J926" s="275"/>
      <c r="K926" s="275"/>
      <c r="L926" s="275"/>
      <c r="M926" s="275"/>
      <c r="N926" s="275"/>
    </row>
    <row r="927">
      <c r="B927" s="275"/>
      <c r="C927" s="275"/>
      <c r="D927" s="275"/>
      <c r="E927" s="275"/>
      <c r="F927" s="275"/>
      <c r="G927" s="275"/>
      <c r="H927" s="275"/>
      <c r="I927" s="275"/>
      <c r="J927" s="275"/>
      <c r="K927" s="275"/>
      <c r="L927" s="275"/>
      <c r="M927" s="275"/>
      <c r="N927" s="275"/>
    </row>
    <row r="928">
      <c r="B928" s="275"/>
      <c r="C928" s="275"/>
      <c r="D928" s="275"/>
      <c r="E928" s="275"/>
      <c r="F928" s="275"/>
      <c r="G928" s="275"/>
      <c r="H928" s="275"/>
      <c r="I928" s="275"/>
      <c r="J928" s="275"/>
      <c r="K928" s="275"/>
      <c r="L928" s="275"/>
      <c r="M928" s="275"/>
      <c r="N928" s="275"/>
    </row>
    <row r="929">
      <c r="B929" s="275"/>
      <c r="C929" s="275"/>
      <c r="D929" s="275"/>
      <c r="E929" s="275"/>
      <c r="F929" s="275"/>
      <c r="G929" s="275"/>
      <c r="H929" s="275"/>
      <c r="I929" s="275"/>
      <c r="J929" s="275"/>
      <c r="K929" s="275"/>
      <c r="L929" s="275"/>
      <c r="M929" s="275"/>
      <c r="N929" s="275"/>
    </row>
    <row r="930">
      <c r="B930" s="275"/>
      <c r="C930" s="275"/>
      <c r="D930" s="275"/>
      <c r="E930" s="275"/>
      <c r="F930" s="275"/>
      <c r="G930" s="275"/>
      <c r="H930" s="275"/>
      <c r="I930" s="275"/>
      <c r="J930" s="275"/>
      <c r="K930" s="275"/>
      <c r="L930" s="275"/>
      <c r="M930" s="275"/>
      <c r="N930" s="275"/>
    </row>
    <row r="931">
      <c r="B931" s="275"/>
      <c r="C931" s="275"/>
      <c r="D931" s="275"/>
      <c r="E931" s="275"/>
      <c r="F931" s="275"/>
      <c r="G931" s="275"/>
      <c r="H931" s="275"/>
      <c r="I931" s="275"/>
      <c r="J931" s="275"/>
      <c r="K931" s="275"/>
      <c r="L931" s="275"/>
      <c r="M931" s="275"/>
      <c r="N931" s="275"/>
    </row>
    <row r="932">
      <c r="B932" s="275"/>
      <c r="C932" s="275"/>
      <c r="D932" s="275"/>
      <c r="E932" s="275"/>
      <c r="F932" s="275"/>
      <c r="G932" s="275"/>
      <c r="H932" s="275"/>
      <c r="I932" s="275"/>
      <c r="J932" s="275"/>
      <c r="K932" s="275"/>
      <c r="L932" s="275"/>
      <c r="M932" s="275"/>
      <c r="N932" s="275"/>
    </row>
    <row r="933">
      <c r="B933" s="275"/>
      <c r="C933" s="275"/>
      <c r="D933" s="275"/>
      <c r="E933" s="275"/>
      <c r="F933" s="275"/>
      <c r="G933" s="275"/>
      <c r="H933" s="275"/>
      <c r="I933" s="275"/>
      <c r="J933" s="275"/>
      <c r="K933" s="275"/>
      <c r="L933" s="275"/>
      <c r="M933" s="275"/>
      <c r="N933" s="275"/>
    </row>
    <row r="934">
      <c r="B934" s="275"/>
      <c r="C934" s="275"/>
      <c r="D934" s="275"/>
      <c r="E934" s="275"/>
      <c r="F934" s="275"/>
      <c r="G934" s="275"/>
      <c r="H934" s="275"/>
      <c r="I934" s="275"/>
      <c r="J934" s="275"/>
      <c r="K934" s="275"/>
      <c r="L934" s="275"/>
      <c r="M934" s="275"/>
      <c r="N934" s="275"/>
    </row>
    <row r="935">
      <c r="B935" s="275"/>
      <c r="C935" s="275"/>
      <c r="D935" s="275"/>
      <c r="E935" s="275"/>
      <c r="F935" s="275"/>
      <c r="G935" s="275"/>
      <c r="H935" s="275"/>
      <c r="I935" s="275"/>
      <c r="J935" s="275"/>
      <c r="K935" s="275"/>
      <c r="L935" s="275"/>
      <c r="M935" s="275"/>
      <c r="N935" s="275"/>
    </row>
    <row r="936">
      <c r="B936" s="275"/>
      <c r="C936" s="275"/>
      <c r="D936" s="275"/>
      <c r="E936" s="275"/>
      <c r="F936" s="275"/>
      <c r="G936" s="275"/>
      <c r="H936" s="275"/>
      <c r="I936" s="275"/>
      <c r="J936" s="275"/>
      <c r="K936" s="275"/>
      <c r="L936" s="275"/>
      <c r="M936" s="275"/>
      <c r="N936" s="275"/>
    </row>
    <row r="937">
      <c r="B937" s="275"/>
      <c r="C937" s="275"/>
      <c r="D937" s="275"/>
      <c r="E937" s="275"/>
      <c r="F937" s="275"/>
      <c r="G937" s="275"/>
      <c r="H937" s="275"/>
      <c r="I937" s="275"/>
      <c r="J937" s="275"/>
      <c r="K937" s="275"/>
      <c r="L937" s="275"/>
      <c r="M937" s="275"/>
      <c r="N937" s="275"/>
    </row>
    <row r="938">
      <c r="B938" s="275"/>
      <c r="C938" s="275"/>
      <c r="D938" s="275"/>
      <c r="E938" s="275"/>
      <c r="F938" s="275"/>
      <c r="G938" s="275"/>
      <c r="H938" s="275"/>
      <c r="I938" s="275"/>
      <c r="J938" s="275"/>
      <c r="K938" s="275"/>
      <c r="L938" s="275"/>
      <c r="M938" s="275"/>
      <c r="N938" s="275"/>
    </row>
    <row r="939">
      <c r="B939" s="275"/>
      <c r="C939" s="275"/>
      <c r="D939" s="275"/>
      <c r="E939" s="275"/>
      <c r="F939" s="275"/>
      <c r="G939" s="275"/>
      <c r="H939" s="275"/>
      <c r="I939" s="275"/>
      <c r="J939" s="275"/>
      <c r="K939" s="275"/>
      <c r="L939" s="275"/>
      <c r="M939" s="275"/>
      <c r="N939" s="275"/>
    </row>
    <row r="940">
      <c r="B940" s="275"/>
      <c r="C940" s="275"/>
      <c r="D940" s="275"/>
      <c r="E940" s="275"/>
      <c r="F940" s="275"/>
      <c r="G940" s="275"/>
      <c r="H940" s="275"/>
      <c r="I940" s="275"/>
      <c r="J940" s="275"/>
      <c r="K940" s="275"/>
      <c r="L940" s="275"/>
      <c r="M940" s="275"/>
      <c r="N940" s="275"/>
    </row>
    <row r="941">
      <c r="B941" s="275"/>
      <c r="C941" s="275"/>
      <c r="D941" s="275"/>
      <c r="E941" s="275"/>
      <c r="F941" s="275"/>
      <c r="G941" s="275"/>
      <c r="H941" s="275"/>
      <c r="I941" s="275"/>
      <c r="J941" s="275"/>
      <c r="K941" s="275"/>
      <c r="L941" s="275"/>
      <c r="M941" s="275"/>
      <c r="N941" s="275"/>
    </row>
    <row r="942">
      <c r="B942" s="275"/>
      <c r="C942" s="275"/>
      <c r="D942" s="275"/>
      <c r="E942" s="275"/>
      <c r="F942" s="275"/>
      <c r="G942" s="275"/>
      <c r="H942" s="275"/>
      <c r="I942" s="275"/>
      <c r="J942" s="275"/>
      <c r="K942" s="275"/>
      <c r="L942" s="275"/>
      <c r="M942" s="275"/>
      <c r="N942" s="275"/>
    </row>
    <row r="943">
      <c r="B943" s="275"/>
      <c r="C943" s="275"/>
      <c r="D943" s="275"/>
      <c r="E943" s="275"/>
      <c r="F943" s="275"/>
      <c r="G943" s="275"/>
      <c r="H943" s="275"/>
      <c r="I943" s="275"/>
      <c r="J943" s="275"/>
      <c r="K943" s="275"/>
      <c r="L943" s="275"/>
      <c r="M943" s="275"/>
      <c r="N943" s="275"/>
    </row>
    <row r="944">
      <c r="B944" s="275"/>
      <c r="C944" s="275"/>
      <c r="D944" s="275"/>
      <c r="E944" s="275"/>
      <c r="F944" s="275"/>
      <c r="G944" s="275"/>
      <c r="H944" s="275"/>
      <c r="I944" s="275"/>
      <c r="J944" s="275"/>
      <c r="K944" s="275"/>
      <c r="L944" s="275"/>
      <c r="M944" s="275"/>
      <c r="N944" s="275"/>
    </row>
    <row r="945">
      <c r="B945" s="275"/>
      <c r="C945" s="275"/>
      <c r="D945" s="275"/>
      <c r="E945" s="275"/>
      <c r="F945" s="275"/>
      <c r="G945" s="275"/>
      <c r="H945" s="275"/>
      <c r="I945" s="275"/>
      <c r="J945" s="275"/>
      <c r="K945" s="275"/>
      <c r="L945" s="275"/>
      <c r="M945" s="275"/>
      <c r="N945" s="275"/>
    </row>
    <row r="946">
      <c r="B946" s="275"/>
      <c r="C946" s="275"/>
      <c r="D946" s="275"/>
      <c r="E946" s="275"/>
      <c r="F946" s="275"/>
      <c r="G946" s="275"/>
      <c r="H946" s="275"/>
      <c r="I946" s="275"/>
      <c r="J946" s="275"/>
      <c r="K946" s="275"/>
      <c r="L946" s="275"/>
      <c r="M946" s="275"/>
      <c r="N946" s="275"/>
    </row>
    <row r="947">
      <c r="B947" s="275"/>
      <c r="C947" s="275"/>
      <c r="D947" s="275"/>
      <c r="E947" s="275"/>
      <c r="F947" s="275"/>
      <c r="G947" s="275"/>
      <c r="H947" s="275"/>
      <c r="I947" s="275"/>
      <c r="J947" s="275"/>
      <c r="K947" s="275"/>
      <c r="L947" s="275"/>
      <c r="M947" s="275"/>
      <c r="N947" s="275"/>
    </row>
    <row r="948">
      <c r="B948" s="275"/>
      <c r="C948" s="275"/>
      <c r="D948" s="275"/>
      <c r="E948" s="275"/>
      <c r="F948" s="275"/>
      <c r="G948" s="275"/>
      <c r="H948" s="275"/>
      <c r="I948" s="275"/>
      <c r="J948" s="275"/>
      <c r="K948" s="275"/>
      <c r="L948" s="275"/>
      <c r="M948" s="275"/>
      <c r="N948" s="275"/>
    </row>
    <row r="949">
      <c r="B949" s="275"/>
      <c r="C949" s="275"/>
      <c r="D949" s="275"/>
      <c r="E949" s="275"/>
      <c r="F949" s="275"/>
      <c r="G949" s="275"/>
      <c r="H949" s="275"/>
      <c r="I949" s="275"/>
      <c r="J949" s="275"/>
      <c r="K949" s="275"/>
      <c r="L949" s="275"/>
      <c r="M949" s="275"/>
      <c r="N949" s="275"/>
    </row>
    <row r="950">
      <c r="B950" s="275"/>
      <c r="C950" s="275"/>
      <c r="D950" s="275"/>
      <c r="E950" s="275"/>
      <c r="F950" s="275"/>
      <c r="G950" s="275"/>
      <c r="H950" s="275"/>
      <c r="I950" s="275"/>
      <c r="J950" s="275"/>
      <c r="K950" s="275"/>
      <c r="L950" s="275"/>
      <c r="M950" s="275"/>
      <c r="N950" s="275"/>
    </row>
    <row r="951">
      <c r="B951" s="275"/>
      <c r="C951" s="275"/>
      <c r="D951" s="275"/>
      <c r="E951" s="275"/>
      <c r="F951" s="275"/>
      <c r="G951" s="275"/>
      <c r="H951" s="275"/>
      <c r="I951" s="275"/>
      <c r="J951" s="275"/>
      <c r="K951" s="275"/>
      <c r="L951" s="275"/>
      <c r="M951" s="275"/>
      <c r="N951" s="275"/>
    </row>
    <row r="952">
      <c r="B952" s="275"/>
      <c r="C952" s="275"/>
      <c r="D952" s="275"/>
      <c r="E952" s="275"/>
      <c r="F952" s="275"/>
      <c r="G952" s="275"/>
      <c r="H952" s="275"/>
      <c r="I952" s="275"/>
      <c r="J952" s="275"/>
      <c r="K952" s="275"/>
      <c r="L952" s="275"/>
      <c r="M952" s="275"/>
      <c r="N952" s="275"/>
    </row>
    <row r="953">
      <c r="B953" s="275"/>
      <c r="C953" s="275"/>
      <c r="D953" s="275"/>
      <c r="E953" s="275"/>
      <c r="F953" s="275"/>
      <c r="G953" s="275"/>
      <c r="H953" s="275"/>
      <c r="I953" s="275"/>
      <c r="J953" s="275"/>
      <c r="K953" s="275"/>
      <c r="L953" s="275"/>
      <c r="M953" s="275"/>
      <c r="N953" s="275"/>
    </row>
    <row r="954">
      <c r="B954" s="275"/>
      <c r="C954" s="275"/>
      <c r="D954" s="275"/>
      <c r="E954" s="275"/>
      <c r="F954" s="275"/>
      <c r="G954" s="275"/>
      <c r="H954" s="275"/>
      <c r="I954" s="275"/>
      <c r="J954" s="275"/>
      <c r="K954" s="275"/>
      <c r="L954" s="275"/>
      <c r="M954" s="275"/>
      <c r="N954" s="275"/>
    </row>
    <row r="955">
      <c r="B955" s="275"/>
      <c r="C955" s="275"/>
      <c r="D955" s="275"/>
      <c r="E955" s="275"/>
      <c r="F955" s="275"/>
      <c r="G955" s="275"/>
      <c r="H955" s="275"/>
      <c r="I955" s="275"/>
      <c r="J955" s="275"/>
      <c r="K955" s="275"/>
      <c r="L955" s="275"/>
      <c r="M955" s="275"/>
      <c r="N955" s="275"/>
    </row>
    <row r="956">
      <c r="B956" s="275"/>
      <c r="C956" s="275"/>
      <c r="D956" s="275"/>
      <c r="E956" s="275"/>
      <c r="F956" s="275"/>
      <c r="G956" s="275"/>
      <c r="H956" s="275"/>
      <c r="I956" s="275"/>
      <c r="J956" s="275"/>
      <c r="K956" s="275"/>
      <c r="L956" s="275"/>
      <c r="M956" s="275"/>
      <c r="N956" s="275"/>
    </row>
    <row r="957">
      <c r="B957" s="275"/>
      <c r="C957" s="275"/>
      <c r="D957" s="275"/>
      <c r="E957" s="275"/>
      <c r="F957" s="275"/>
      <c r="G957" s="275"/>
      <c r="H957" s="275"/>
      <c r="I957" s="275"/>
      <c r="J957" s="275"/>
      <c r="K957" s="275"/>
      <c r="L957" s="275"/>
      <c r="M957" s="275"/>
      <c r="N957" s="275"/>
    </row>
    <row r="958">
      <c r="B958" s="275"/>
      <c r="C958" s="275"/>
      <c r="D958" s="275"/>
      <c r="E958" s="275"/>
      <c r="F958" s="275"/>
      <c r="G958" s="275"/>
      <c r="H958" s="275"/>
      <c r="I958" s="275"/>
      <c r="J958" s="275"/>
      <c r="K958" s="275"/>
      <c r="L958" s="275"/>
      <c r="M958" s="275"/>
      <c r="N958" s="275"/>
    </row>
    <row r="959">
      <c r="B959" s="275"/>
      <c r="C959" s="275"/>
      <c r="D959" s="275"/>
      <c r="E959" s="275"/>
      <c r="F959" s="275"/>
      <c r="G959" s="275"/>
      <c r="H959" s="275"/>
      <c r="I959" s="275"/>
      <c r="J959" s="275"/>
      <c r="K959" s="275"/>
      <c r="L959" s="275"/>
      <c r="M959" s="275"/>
      <c r="N959" s="275"/>
    </row>
    <row r="960">
      <c r="B960" s="275"/>
      <c r="C960" s="275"/>
      <c r="D960" s="275"/>
      <c r="E960" s="275"/>
      <c r="F960" s="275"/>
      <c r="G960" s="275"/>
      <c r="H960" s="275"/>
      <c r="I960" s="275"/>
      <c r="J960" s="275"/>
      <c r="K960" s="275"/>
      <c r="L960" s="275"/>
      <c r="M960" s="275"/>
      <c r="N960" s="275"/>
    </row>
    <row r="961">
      <c r="B961" s="275"/>
      <c r="C961" s="275"/>
      <c r="D961" s="275"/>
      <c r="E961" s="275"/>
      <c r="F961" s="275"/>
      <c r="G961" s="275"/>
      <c r="H961" s="275"/>
      <c r="I961" s="275"/>
      <c r="J961" s="275"/>
      <c r="K961" s="275"/>
      <c r="L961" s="275"/>
      <c r="M961" s="275"/>
      <c r="N961" s="275"/>
    </row>
    <row r="962">
      <c r="B962" s="275"/>
      <c r="C962" s="275"/>
      <c r="D962" s="275"/>
      <c r="E962" s="275"/>
      <c r="F962" s="275"/>
      <c r="G962" s="275"/>
      <c r="H962" s="275"/>
      <c r="I962" s="275"/>
      <c r="J962" s="275"/>
      <c r="K962" s="275"/>
      <c r="L962" s="275"/>
      <c r="M962" s="275"/>
      <c r="N962" s="275"/>
    </row>
    <row r="963">
      <c r="B963" s="275"/>
      <c r="C963" s="275"/>
      <c r="D963" s="275"/>
      <c r="E963" s="275"/>
      <c r="F963" s="275"/>
      <c r="G963" s="275"/>
      <c r="H963" s="275"/>
      <c r="I963" s="275"/>
      <c r="J963" s="275"/>
      <c r="K963" s="275"/>
      <c r="L963" s="275"/>
      <c r="M963" s="275"/>
      <c r="N963" s="275"/>
    </row>
    <row r="964">
      <c r="B964" s="275"/>
      <c r="C964" s="275"/>
      <c r="D964" s="275"/>
      <c r="E964" s="275"/>
      <c r="F964" s="275"/>
      <c r="G964" s="275"/>
      <c r="H964" s="275"/>
      <c r="I964" s="275"/>
      <c r="J964" s="275"/>
      <c r="K964" s="275"/>
      <c r="L964" s="275"/>
      <c r="M964" s="275"/>
      <c r="N964" s="275"/>
    </row>
    <row r="965">
      <c r="B965" s="275"/>
      <c r="C965" s="275"/>
      <c r="D965" s="275"/>
      <c r="E965" s="275"/>
      <c r="F965" s="275"/>
      <c r="G965" s="275"/>
      <c r="H965" s="275"/>
      <c r="I965" s="275"/>
      <c r="J965" s="275"/>
      <c r="K965" s="275"/>
      <c r="L965" s="275"/>
      <c r="M965" s="275"/>
      <c r="N965" s="275"/>
    </row>
    <row r="966">
      <c r="B966" s="275"/>
      <c r="C966" s="275"/>
      <c r="D966" s="275"/>
      <c r="E966" s="275"/>
      <c r="F966" s="275"/>
      <c r="G966" s="275"/>
      <c r="H966" s="275"/>
      <c r="I966" s="275"/>
      <c r="J966" s="275"/>
      <c r="K966" s="275"/>
      <c r="L966" s="275"/>
      <c r="M966" s="275"/>
      <c r="N966" s="275"/>
    </row>
    <row r="967">
      <c r="B967" s="275"/>
      <c r="C967" s="275"/>
      <c r="D967" s="275"/>
      <c r="E967" s="275"/>
      <c r="F967" s="275"/>
      <c r="G967" s="275"/>
      <c r="H967" s="275"/>
      <c r="I967" s="275"/>
      <c r="J967" s="275"/>
      <c r="K967" s="275"/>
      <c r="L967" s="275"/>
      <c r="M967" s="275"/>
      <c r="N967" s="275"/>
    </row>
    <row r="968">
      <c r="B968" s="275"/>
      <c r="C968" s="275"/>
      <c r="D968" s="275"/>
      <c r="E968" s="275"/>
      <c r="F968" s="275"/>
      <c r="G968" s="275"/>
      <c r="H968" s="275"/>
      <c r="I968" s="275"/>
      <c r="J968" s="275"/>
      <c r="K968" s="275"/>
      <c r="L968" s="275"/>
      <c r="M968" s="275"/>
      <c r="N968" s="275"/>
    </row>
    <row r="969">
      <c r="B969" s="275"/>
      <c r="C969" s="275"/>
      <c r="D969" s="275"/>
      <c r="E969" s="275"/>
      <c r="F969" s="275"/>
      <c r="G969" s="275"/>
      <c r="H969" s="275"/>
      <c r="I969" s="275"/>
      <c r="J969" s="275"/>
      <c r="K969" s="275"/>
      <c r="L969" s="275"/>
      <c r="M969" s="275"/>
      <c r="N969" s="275"/>
    </row>
    <row r="970">
      <c r="B970" s="275"/>
      <c r="C970" s="275"/>
      <c r="D970" s="275"/>
      <c r="E970" s="275"/>
      <c r="F970" s="275"/>
      <c r="G970" s="275"/>
      <c r="H970" s="275"/>
      <c r="I970" s="275"/>
      <c r="J970" s="275"/>
      <c r="K970" s="275"/>
      <c r="L970" s="275"/>
      <c r="M970" s="275"/>
      <c r="N970" s="275"/>
    </row>
    <row r="971">
      <c r="B971" s="275"/>
      <c r="C971" s="275"/>
      <c r="D971" s="275"/>
      <c r="E971" s="275"/>
      <c r="F971" s="275"/>
      <c r="G971" s="275"/>
      <c r="H971" s="275"/>
      <c r="I971" s="275"/>
      <c r="J971" s="275"/>
      <c r="K971" s="275"/>
      <c r="L971" s="275"/>
      <c r="M971" s="275"/>
      <c r="N971" s="275"/>
    </row>
    <row r="972">
      <c r="B972" s="275"/>
      <c r="C972" s="275"/>
      <c r="D972" s="275"/>
      <c r="E972" s="275"/>
      <c r="F972" s="275"/>
      <c r="G972" s="275"/>
      <c r="H972" s="275"/>
      <c r="I972" s="275"/>
      <c r="J972" s="275"/>
      <c r="K972" s="275"/>
      <c r="L972" s="275"/>
      <c r="M972" s="275"/>
      <c r="N972" s="275"/>
    </row>
    <row r="973">
      <c r="B973" s="275"/>
      <c r="C973" s="275"/>
      <c r="D973" s="275"/>
      <c r="E973" s="275"/>
      <c r="F973" s="275"/>
      <c r="G973" s="275"/>
      <c r="H973" s="275"/>
      <c r="I973" s="275"/>
      <c r="J973" s="275"/>
      <c r="K973" s="275"/>
      <c r="L973" s="275"/>
      <c r="M973" s="275"/>
      <c r="N973" s="275"/>
    </row>
    <row r="974">
      <c r="B974" s="275"/>
      <c r="C974" s="275"/>
      <c r="D974" s="275"/>
      <c r="E974" s="275"/>
      <c r="F974" s="275"/>
      <c r="G974" s="275"/>
      <c r="H974" s="275"/>
      <c r="I974" s="275"/>
      <c r="J974" s="275"/>
      <c r="K974" s="275"/>
      <c r="L974" s="275"/>
      <c r="M974" s="275"/>
      <c r="N974" s="275"/>
    </row>
    <row r="975">
      <c r="B975" s="275"/>
      <c r="C975" s="275"/>
      <c r="D975" s="275"/>
      <c r="E975" s="275"/>
      <c r="F975" s="275"/>
      <c r="G975" s="275"/>
      <c r="H975" s="275"/>
      <c r="I975" s="275"/>
      <c r="J975" s="275"/>
      <c r="K975" s="275"/>
      <c r="L975" s="275"/>
      <c r="M975" s="275"/>
      <c r="N975" s="275"/>
    </row>
    <row r="976">
      <c r="B976" s="275"/>
      <c r="C976" s="275"/>
      <c r="D976" s="275"/>
      <c r="E976" s="275"/>
      <c r="F976" s="275"/>
      <c r="G976" s="275"/>
      <c r="H976" s="275"/>
      <c r="I976" s="275"/>
      <c r="J976" s="275"/>
      <c r="K976" s="275"/>
      <c r="L976" s="275"/>
      <c r="M976" s="275"/>
      <c r="N976" s="275"/>
    </row>
    <row r="977">
      <c r="B977" s="275"/>
      <c r="C977" s="275"/>
      <c r="D977" s="275"/>
      <c r="E977" s="275"/>
      <c r="F977" s="275"/>
      <c r="G977" s="275"/>
      <c r="H977" s="275"/>
      <c r="I977" s="275"/>
      <c r="J977" s="275"/>
      <c r="K977" s="275"/>
      <c r="L977" s="275"/>
      <c r="M977" s="275"/>
      <c r="N977" s="275"/>
    </row>
    <row r="978">
      <c r="B978" s="275"/>
      <c r="C978" s="275"/>
      <c r="D978" s="275"/>
      <c r="E978" s="275"/>
      <c r="F978" s="275"/>
      <c r="G978" s="275"/>
      <c r="H978" s="275"/>
      <c r="I978" s="275"/>
      <c r="J978" s="275"/>
      <c r="K978" s="275"/>
      <c r="L978" s="275"/>
      <c r="M978" s="275"/>
      <c r="N978" s="275"/>
    </row>
    <row r="979">
      <c r="B979" s="275"/>
      <c r="C979" s="275"/>
      <c r="D979" s="275"/>
      <c r="E979" s="275"/>
      <c r="F979" s="275"/>
      <c r="G979" s="275"/>
      <c r="H979" s="275"/>
      <c r="I979" s="275"/>
      <c r="J979" s="275"/>
      <c r="K979" s="275"/>
      <c r="L979" s="275"/>
      <c r="M979" s="275"/>
      <c r="N979" s="275"/>
    </row>
    <row r="980">
      <c r="B980" s="275"/>
      <c r="C980" s="275"/>
      <c r="D980" s="275"/>
      <c r="E980" s="275"/>
      <c r="F980" s="275"/>
      <c r="G980" s="275"/>
      <c r="H980" s="275"/>
      <c r="I980" s="275"/>
      <c r="J980" s="275"/>
      <c r="K980" s="275"/>
      <c r="L980" s="275"/>
      <c r="M980" s="275"/>
      <c r="N980" s="275"/>
    </row>
    <row r="981">
      <c r="B981" s="275"/>
      <c r="C981" s="275"/>
      <c r="D981" s="275"/>
      <c r="E981" s="275"/>
      <c r="F981" s="275"/>
      <c r="G981" s="275"/>
      <c r="H981" s="275"/>
      <c r="I981" s="275"/>
      <c r="J981" s="275"/>
      <c r="K981" s="275"/>
      <c r="L981" s="275"/>
      <c r="M981" s="275"/>
      <c r="N981" s="275"/>
    </row>
    <row r="982">
      <c r="B982" s="275"/>
      <c r="C982" s="275"/>
      <c r="D982" s="275"/>
      <c r="E982" s="275"/>
      <c r="F982" s="275"/>
      <c r="G982" s="275"/>
      <c r="H982" s="275"/>
      <c r="I982" s="275"/>
      <c r="J982" s="275"/>
      <c r="K982" s="275"/>
      <c r="L982" s="275"/>
      <c r="M982" s="275"/>
      <c r="N982" s="275"/>
    </row>
    <row r="983">
      <c r="B983" s="275"/>
      <c r="C983" s="275"/>
      <c r="D983" s="275"/>
      <c r="E983" s="275"/>
      <c r="F983" s="275"/>
      <c r="G983" s="275"/>
      <c r="H983" s="275"/>
      <c r="I983" s="275"/>
      <c r="J983" s="275"/>
      <c r="K983" s="275"/>
      <c r="L983" s="275"/>
      <c r="M983" s="275"/>
      <c r="N983" s="275"/>
    </row>
    <row r="984">
      <c r="B984" s="275"/>
      <c r="C984" s="275"/>
      <c r="D984" s="275"/>
      <c r="E984" s="275"/>
      <c r="F984" s="275"/>
      <c r="G984" s="275"/>
      <c r="H984" s="275"/>
      <c r="I984" s="275"/>
      <c r="J984" s="275"/>
      <c r="K984" s="275"/>
      <c r="L984" s="275"/>
      <c r="M984" s="275"/>
      <c r="N984" s="275"/>
    </row>
    <row r="985">
      <c r="B985" s="275"/>
      <c r="C985" s="275"/>
      <c r="D985" s="275"/>
      <c r="E985" s="275"/>
      <c r="F985" s="275"/>
      <c r="G985" s="275"/>
      <c r="H985" s="275"/>
      <c r="I985" s="275"/>
      <c r="J985" s="275"/>
      <c r="K985" s="275"/>
      <c r="L985" s="275"/>
      <c r="M985" s="275"/>
      <c r="N985" s="275"/>
    </row>
    <row r="986">
      <c r="B986" s="275"/>
      <c r="C986" s="275"/>
      <c r="D986" s="275"/>
      <c r="E986" s="275"/>
      <c r="F986" s="275"/>
      <c r="G986" s="275"/>
      <c r="H986" s="275"/>
      <c r="I986" s="275"/>
      <c r="J986" s="275"/>
      <c r="K986" s="275"/>
      <c r="L986" s="275"/>
      <c r="M986" s="275"/>
      <c r="N986" s="275"/>
    </row>
    <row r="987">
      <c r="B987" s="275"/>
      <c r="C987" s="275"/>
      <c r="D987" s="275"/>
      <c r="E987" s="275"/>
      <c r="F987" s="275"/>
      <c r="G987" s="275"/>
      <c r="H987" s="275"/>
      <c r="I987" s="275"/>
      <c r="J987" s="275"/>
      <c r="K987" s="275"/>
      <c r="L987" s="275"/>
      <c r="M987" s="275"/>
      <c r="N987" s="275"/>
    </row>
    <row r="988">
      <c r="B988" s="275"/>
      <c r="C988" s="275"/>
      <c r="D988" s="275"/>
      <c r="E988" s="275"/>
      <c r="F988" s="275"/>
      <c r="G988" s="275"/>
      <c r="H988" s="275"/>
      <c r="I988" s="275"/>
      <c r="J988" s="275"/>
      <c r="K988" s="275"/>
      <c r="L988" s="275"/>
      <c r="M988" s="275"/>
      <c r="N988" s="275"/>
    </row>
    <row r="989">
      <c r="B989" s="275"/>
      <c r="C989" s="275"/>
      <c r="D989" s="275"/>
      <c r="E989" s="275"/>
      <c r="F989" s="275"/>
      <c r="G989" s="275"/>
      <c r="H989" s="275"/>
      <c r="I989" s="275"/>
      <c r="J989" s="275"/>
      <c r="K989" s="275"/>
      <c r="L989" s="275"/>
      <c r="M989" s="275"/>
      <c r="N989" s="275"/>
    </row>
    <row r="990">
      <c r="B990" s="275"/>
      <c r="C990" s="275"/>
      <c r="D990" s="275"/>
      <c r="E990" s="275"/>
      <c r="F990" s="275"/>
      <c r="G990" s="275"/>
      <c r="H990" s="275"/>
      <c r="I990" s="275"/>
      <c r="J990" s="275"/>
      <c r="K990" s="275"/>
      <c r="L990" s="275"/>
      <c r="M990" s="275"/>
      <c r="N990" s="275"/>
    </row>
    <row r="991">
      <c r="B991" s="275"/>
      <c r="C991" s="275"/>
      <c r="D991" s="275"/>
      <c r="E991" s="275"/>
      <c r="F991" s="275"/>
      <c r="G991" s="275"/>
      <c r="H991" s="275"/>
      <c r="I991" s="275"/>
      <c r="J991" s="275"/>
      <c r="K991" s="275"/>
      <c r="L991" s="275"/>
      <c r="M991" s="275"/>
      <c r="N991" s="275"/>
    </row>
    <row r="992">
      <c r="B992" s="275"/>
      <c r="C992" s="275"/>
      <c r="D992" s="275"/>
      <c r="E992" s="275"/>
      <c r="F992" s="275"/>
      <c r="G992" s="275"/>
      <c r="H992" s="275"/>
      <c r="I992" s="275"/>
      <c r="J992" s="275"/>
      <c r="K992" s="275"/>
      <c r="L992" s="275"/>
      <c r="M992" s="275"/>
      <c r="N992" s="275"/>
    </row>
    <row r="993">
      <c r="B993" s="275"/>
      <c r="C993" s="275"/>
      <c r="D993" s="275"/>
      <c r="E993" s="275"/>
      <c r="F993" s="275"/>
      <c r="G993" s="275"/>
      <c r="H993" s="275"/>
      <c r="I993" s="275"/>
      <c r="J993" s="275"/>
      <c r="K993" s="275"/>
      <c r="L993" s="275"/>
      <c r="M993" s="275"/>
      <c r="N993" s="275"/>
    </row>
    <row r="994">
      <c r="B994" s="275"/>
      <c r="C994" s="275"/>
      <c r="D994" s="275"/>
      <c r="E994" s="275"/>
      <c r="F994" s="275"/>
      <c r="G994" s="275"/>
      <c r="H994" s="275"/>
      <c r="I994" s="275"/>
      <c r="J994" s="275"/>
      <c r="K994" s="275"/>
      <c r="L994" s="275"/>
      <c r="M994" s="275"/>
      <c r="N994" s="275"/>
    </row>
    <row r="995">
      <c r="B995" s="275"/>
      <c r="C995" s="275"/>
      <c r="D995" s="275"/>
      <c r="E995" s="275"/>
      <c r="F995" s="275"/>
      <c r="G995" s="275"/>
      <c r="H995" s="275"/>
      <c r="I995" s="275"/>
      <c r="J995" s="275"/>
      <c r="K995" s="275"/>
      <c r="L995" s="275"/>
      <c r="M995" s="275"/>
      <c r="N995" s="275"/>
    </row>
    <row r="996">
      <c r="B996" s="275"/>
      <c r="C996" s="275"/>
      <c r="D996" s="275"/>
      <c r="E996" s="275"/>
      <c r="F996" s="275"/>
      <c r="G996" s="275"/>
      <c r="H996" s="275"/>
      <c r="I996" s="275"/>
      <c r="J996" s="275"/>
      <c r="K996" s="275"/>
      <c r="L996" s="275"/>
      <c r="M996" s="275"/>
      <c r="N996" s="275"/>
    </row>
    <row r="997">
      <c r="B997" s="275"/>
      <c r="C997" s="275"/>
      <c r="D997" s="275"/>
      <c r="E997" s="275"/>
      <c r="F997" s="275"/>
      <c r="G997" s="275"/>
      <c r="H997" s="275"/>
      <c r="I997" s="275"/>
      <c r="J997" s="275"/>
      <c r="K997" s="275"/>
      <c r="L997" s="275"/>
      <c r="M997" s="275"/>
      <c r="N997" s="275"/>
    </row>
    <row r="998">
      <c r="B998" s="275"/>
      <c r="C998" s="275"/>
      <c r="D998" s="275"/>
      <c r="E998" s="275"/>
      <c r="F998" s="275"/>
      <c r="G998" s="275"/>
      <c r="H998" s="275"/>
      <c r="I998" s="275"/>
      <c r="J998" s="275"/>
      <c r="K998" s="275"/>
      <c r="L998" s="275"/>
      <c r="M998" s="275"/>
      <c r="N998" s="275"/>
    </row>
    <row r="999">
      <c r="B999" s="275"/>
      <c r="C999" s="275"/>
      <c r="D999" s="275"/>
      <c r="E999" s="275"/>
      <c r="F999" s="275"/>
      <c r="G999" s="275"/>
      <c r="H999" s="275"/>
      <c r="I999" s="275"/>
      <c r="J999" s="275"/>
      <c r="K999" s="275"/>
      <c r="L999" s="275"/>
      <c r="M999" s="275"/>
      <c r="N999" s="275"/>
    </row>
    <row r="1000">
      <c r="B1000" s="275"/>
      <c r="C1000" s="275"/>
      <c r="D1000" s="275"/>
      <c r="E1000" s="275"/>
      <c r="F1000" s="275"/>
      <c r="G1000" s="275"/>
      <c r="H1000" s="275"/>
      <c r="I1000" s="275"/>
      <c r="J1000" s="275"/>
      <c r="K1000" s="275"/>
      <c r="L1000" s="275"/>
      <c r="M1000" s="275"/>
      <c r="N1000" s="275"/>
    </row>
    <row r="1001">
      <c r="B1001" s="275"/>
      <c r="C1001" s="275"/>
      <c r="D1001" s="275"/>
      <c r="E1001" s="275"/>
      <c r="F1001" s="275"/>
      <c r="G1001" s="275"/>
      <c r="H1001" s="275"/>
      <c r="I1001" s="275"/>
      <c r="J1001" s="275"/>
      <c r="K1001" s="275"/>
      <c r="L1001" s="275"/>
      <c r="M1001" s="275"/>
      <c r="N1001" s="275"/>
    </row>
  </sheetData>
  <mergeCells count="4">
    <mergeCell ref="B1:K1"/>
    <mergeCell ref="B2:N2"/>
    <mergeCell ref="C9:E9"/>
    <mergeCell ref="C11:E11"/>
  </mergeCells>
  <dataValidations>
    <dataValidation type="list" allowBlank="1" showErrorMessage="1" sqref="M4:M7 E4:E8 E10 E12 I4:I12 M9:M12">
      <formula1>"~+5%,~+10%,~+15%,~+20%,&gt;+20%,~+/-0%,~-5%,~-10%,~-15%,~-20%,&gt;-20%"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5" width="12.63"/>
    <col customWidth="1" min="16" max="16" width="5.0"/>
    <col customWidth="1" min="17" max="17" width="19.75"/>
    <col customWidth="1" min="18" max="18" width="7.63"/>
    <col customWidth="1" min="19" max="19" width="8.13"/>
    <col customWidth="1" min="20" max="20" width="6.63"/>
  </cols>
  <sheetData>
    <row r="1">
      <c r="A1" s="378" t="s">
        <v>136</v>
      </c>
    </row>
    <row r="2">
      <c r="A2" s="379"/>
      <c r="B2" s="380" t="s">
        <v>137</v>
      </c>
      <c r="C2" s="381"/>
      <c r="D2" s="381"/>
      <c r="E2" s="382"/>
      <c r="F2" s="382"/>
      <c r="G2" s="382"/>
      <c r="H2" s="382"/>
      <c r="I2" s="382"/>
      <c r="J2" s="382"/>
      <c r="K2" s="382"/>
      <c r="L2" s="382"/>
      <c r="M2" s="382"/>
      <c r="N2" s="382"/>
      <c r="O2" s="382"/>
      <c r="P2" s="383"/>
      <c r="Q2" s="384"/>
      <c r="R2" s="384"/>
      <c r="S2" s="384"/>
      <c r="T2" s="384"/>
      <c r="U2" s="384"/>
      <c r="V2" s="384"/>
      <c r="W2" s="384"/>
      <c r="X2" s="384"/>
      <c r="Y2" s="384"/>
    </row>
    <row r="3">
      <c r="A3" s="385"/>
      <c r="B3" s="386"/>
      <c r="C3" s="386"/>
      <c r="D3" s="386"/>
      <c r="E3" s="386"/>
      <c r="F3" s="386"/>
      <c r="G3" s="386"/>
      <c r="H3" s="386"/>
      <c r="I3" s="386"/>
      <c r="J3" s="386"/>
      <c r="K3" s="386"/>
      <c r="L3" s="386"/>
      <c r="M3" s="386"/>
      <c r="N3" s="386"/>
      <c r="O3" s="386"/>
      <c r="P3" s="387"/>
      <c r="Q3" s="384"/>
      <c r="R3" s="384"/>
      <c r="S3" s="384"/>
      <c r="T3" s="384"/>
      <c r="U3" s="384"/>
      <c r="V3" s="384"/>
      <c r="W3" s="384"/>
      <c r="X3" s="384"/>
      <c r="Y3" s="384"/>
    </row>
    <row r="4">
      <c r="A4" s="385"/>
      <c r="B4" s="388" t="s">
        <v>1</v>
      </c>
      <c r="C4" s="150"/>
      <c r="D4" s="150"/>
      <c r="E4" s="150"/>
      <c r="F4" s="150"/>
      <c r="G4" s="150"/>
      <c r="H4" s="150"/>
      <c r="I4" s="150"/>
      <c r="J4" s="150"/>
      <c r="K4" s="151"/>
      <c r="L4" s="386"/>
      <c r="M4" s="386"/>
      <c r="N4" s="386"/>
      <c r="O4" s="386"/>
      <c r="P4" s="387"/>
      <c r="Q4" s="384"/>
      <c r="R4" s="384"/>
      <c r="S4" s="384"/>
      <c r="T4" s="384"/>
      <c r="U4" s="384"/>
      <c r="V4" s="384"/>
      <c r="W4" s="384"/>
      <c r="X4" s="384"/>
      <c r="Y4" s="384"/>
    </row>
    <row r="5">
      <c r="A5" s="385"/>
      <c r="B5" s="389" t="s">
        <v>2</v>
      </c>
      <c r="C5" s="390" t="s">
        <v>3</v>
      </c>
      <c r="D5" s="390" t="s">
        <v>4</v>
      </c>
      <c r="F5" s="390" t="s">
        <v>5</v>
      </c>
      <c r="H5" s="391" t="s">
        <v>138</v>
      </c>
      <c r="K5" s="13"/>
      <c r="L5" s="386"/>
      <c r="M5" s="392"/>
      <c r="N5" s="392"/>
      <c r="O5" s="386"/>
      <c r="P5" s="387"/>
      <c r="Q5" s="384"/>
      <c r="R5" s="384"/>
      <c r="S5" s="384"/>
      <c r="T5" s="384"/>
      <c r="U5" s="384"/>
      <c r="V5" s="384"/>
      <c r="W5" s="384"/>
      <c r="X5" s="384"/>
      <c r="Y5" s="384"/>
    </row>
    <row r="6">
      <c r="A6" s="385"/>
      <c r="B6" s="393"/>
      <c r="C6" s="394" t="s">
        <v>130</v>
      </c>
      <c r="D6" s="394" t="s">
        <v>130</v>
      </c>
      <c r="E6" s="395" t="s">
        <v>139</v>
      </c>
      <c r="F6" s="394" t="s">
        <v>130</v>
      </c>
      <c r="G6" s="395" t="s">
        <v>139</v>
      </c>
      <c r="H6" s="396" t="s">
        <v>140</v>
      </c>
      <c r="I6" s="396" t="s">
        <v>141</v>
      </c>
      <c r="J6" s="396" t="s">
        <v>142</v>
      </c>
      <c r="K6" s="397" t="s">
        <v>143</v>
      </c>
      <c r="L6" s="386"/>
      <c r="M6" s="386"/>
      <c r="N6" s="392"/>
      <c r="O6" s="386"/>
      <c r="P6" s="387"/>
      <c r="Q6" s="384"/>
      <c r="R6" s="384"/>
      <c r="S6" s="384"/>
      <c r="T6" s="384"/>
      <c r="U6" s="384"/>
      <c r="V6" s="384"/>
      <c r="W6" s="384"/>
      <c r="X6" s="384"/>
      <c r="Y6" s="384"/>
    </row>
    <row r="7">
      <c r="A7" s="385"/>
      <c r="B7" s="398" t="s">
        <v>11</v>
      </c>
      <c r="C7" s="399">
        <v>1022.0</v>
      </c>
      <c r="D7" s="399">
        <v>1.6</v>
      </c>
      <c r="E7" s="399">
        <f t="shared" ref="E7:E15" si="1">1.15*D7</f>
        <v>1.84</v>
      </c>
      <c r="F7" s="399">
        <v>4.0</v>
      </c>
      <c r="G7" s="400">
        <f t="shared" ref="G7:G15" si="2">1.15*F7</f>
        <v>4.6</v>
      </c>
      <c r="H7" s="399">
        <v>0.0</v>
      </c>
      <c r="K7" s="200"/>
      <c r="L7" s="386"/>
      <c r="M7" s="386"/>
      <c r="N7" s="386"/>
      <c r="O7" s="386"/>
      <c r="P7" s="387"/>
      <c r="Q7" s="384"/>
      <c r="R7" s="384"/>
      <c r="S7" s="384"/>
      <c r="T7" s="384"/>
      <c r="U7" s="384"/>
      <c r="V7" s="384"/>
      <c r="W7" s="384"/>
      <c r="X7" s="384"/>
      <c r="Y7" s="384"/>
    </row>
    <row r="8">
      <c r="A8" s="385"/>
      <c r="B8" s="212" t="s">
        <v>12</v>
      </c>
      <c r="C8" s="401">
        <v>775.0</v>
      </c>
      <c r="D8" s="401">
        <v>6.64</v>
      </c>
      <c r="E8" s="401">
        <f t="shared" si="1"/>
        <v>7.636</v>
      </c>
      <c r="F8" s="401">
        <v>6.55</v>
      </c>
      <c r="G8" s="213">
        <f t="shared" si="2"/>
        <v>7.5325</v>
      </c>
      <c r="K8" s="208"/>
      <c r="L8" s="386"/>
      <c r="M8" s="386"/>
      <c r="N8" s="386"/>
      <c r="O8" s="386"/>
      <c r="P8" s="387"/>
      <c r="Q8" s="384"/>
      <c r="R8" s="384"/>
      <c r="S8" s="384"/>
      <c r="T8" s="384"/>
      <c r="U8" s="384"/>
      <c r="V8" s="384"/>
      <c r="W8" s="384"/>
      <c r="X8" s="384"/>
      <c r="Y8" s="384"/>
    </row>
    <row r="9">
      <c r="A9" s="385"/>
      <c r="B9" s="398" t="s">
        <v>13</v>
      </c>
      <c r="C9" s="399">
        <v>396.0</v>
      </c>
      <c r="D9" s="399">
        <v>5.0</v>
      </c>
      <c r="E9" s="399">
        <f t="shared" si="1"/>
        <v>5.75</v>
      </c>
      <c r="F9" s="399">
        <v>3.5</v>
      </c>
      <c r="G9" s="400">
        <f t="shared" si="2"/>
        <v>4.025</v>
      </c>
      <c r="K9" s="200"/>
      <c r="L9" s="386"/>
      <c r="M9" s="386"/>
      <c r="N9" s="386"/>
      <c r="O9" s="386"/>
      <c r="P9" s="387"/>
      <c r="Q9" s="384"/>
      <c r="R9" s="384"/>
      <c r="S9" s="384"/>
      <c r="T9" s="384"/>
      <c r="U9" s="384"/>
      <c r="V9" s="384"/>
      <c r="W9" s="384"/>
      <c r="X9" s="384"/>
      <c r="Y9" s="384"/>
    </row>
    <row r="10">
      <c r="A10" s="385"/>
      <c r="B10" s="212" t="s">
        <v>14</v>
      </c>
      <c r="C10" s="401">
        <v>754.0</v>
      </c>
      <c r="D10" s="401">
        <v>5.82</v>
      </c>
      <c r="E10" s="401">
        <f t="shared" si="1"/>
        <v>6.693</v>
      </c>
      <c r="F10" s="401">
        <v>6.5</v>
      </c>
      <c r="G10" s="213">
        <f t="shared" si="2"/>
        <v>7.475</v>
      </c>
      <c r="H10" s="402">
        <v>3.0</v>
      </c>
      <c r="I10" s="402">
        <v>3.0</v>
      </c>
      <c r="J10" s="402">
        <v>3.0</v>
      </c>
      <c r="K10" s="403">
        <v>3.0</v>
      </c>
      <c r="L10" s="386"/>
      <c r="M10" s="386"/>
      <c r="N10" s="386"/>
      <c r="O10" s="386"/>
      <c r="P10" s="387"/>
      <c r="Q10" s="384"/>
      <c r="R10" s="384"/>
      <c r="S10" s="384"/>
      <c r="T10" s="384"/>
      <c r="U10" s="384"/>
      <c r="V10" s="384"/>
      <c r="W10" s="384"/>
      <c r="X10" s="384"/>
      <c r="Y10" s="384"/>
    </row>
    <row r="11">
      <c r="A11" s="385"/>
      <c r="B11" s="404" t="s">
        <v>15</v>
      </c>
      <c r="C11" s="405">
        <v>622.0</v>
      </c>
      <c r="D11" s="399">
        <v>7.4</v>
      </c>
      <c r="E11" s="399">
        <f t="shared" si="1"/>
        <v>8.51</v>
      </c>
      <c r="F11" s="399">
        <v>0.0</v>
      </c>
      <c r="G11" s="400">
        <f t="shared" si="2"/>
        <v>0</v>
      </c>
      <c r="H11" s="406">
        <f>E54*E41</f>
        <v>15.4748125</v>
      </c>
      <c r="I11" s="406">
        <f>E56*I41</f>
        <v>15.4748125</v>
      </c>
      <c r="J11" s="406">
        <f>J54</f>
        <v>6.947446154</v>
      </c>
      <c r="K11" s="407">
        <f>J55</f>
        <v>6.947446154</v>
      </c>
      <c r="L11" s="386"/>
      <c r="M11" s="386"/>
      <c r="N11" s="386"/>
      <c r="O11" s="386"/>
      <c r="P11" s="387"/>
      <c r="Q11" s="384"/>
      <c r="R11" s="384"/>
      <c r="S11" s="384"/>
      <c r="T11" s="384"/>
      <c r="U11" s="384"/>
      <c r="V11" s="384"/>
      <c r="W11" s="384"/>
      <c r="X11" s="384"/>
      <c r="Y11" s="384"/>
    </row>
    <row r="12">
      <c r="A12" s="385"/>
      <c r="B12" s="212" t="s">
        <v>16</v>
      </c>
      <c r="C12" s="213">
        <v>280.0</v>
      </c>
      <c r="D12" s="401">
        <v>3.13</v>
      </c>
      <c r="E12" s="401">
        <f t="shared" si="1"/>
        <v>3.5995</v>
      </c>
      <c r="F12" s="401">
        <v>2.63</v>
      </c>
      <c r="G12" s="213">
        <f t="shared" si="2"/>
        <v>3.0245</v>
      </c>
      <c r="H12" s="401">
        <v>0.0</v>
      </c>
      <c r="K12" s="208"/>
      <c r="L12" s="386"/>
      <c r="M12" s="386"/>
      <c r="N12" s="386"/>
      <c r="O12" s="386"/>
      <c r="P12" s="387"/>
      <c r="Q12" s="384"/>
      <c r="R12" s="384"/>
      <c r="S12" s="384"/>
      <c r="T12" s="384"/>
      <c r="U12" s="384"/>
      <c r="V12" s="384"/>
      <c r="W12" s="384"/>
      <c r="X12" s="384"/>
      <c r="Y12" s="384"/>
    </row>
    <row r="13">
      <c r="A13" s="385"/>
      <c r="B13" s="408" t="s">
        <v>17</v>
      </c>
      <c r="C13" s="399">
        <f>C12+C11+C14+0.5*(C15-250)+0.3*C10</f>
        <v>2122.7</v>
      </c>
      <c r="D13" s="399">
        <v>0.7</v>
      </c>
      <c r="E13" s="399">
        <f t="shared" si="1"/>
        <v>0.805</v>
      </c>
      <c r="F13" s="399">
        <v>0.95</v>
      </c>
      <c r="G13" s="400">
        <f t="shared" si="2"/>
        <v>1.0925</v>
      </c>
      <c r="K13" s="200"/>
      <c r="L13" s="386"/>
      <c r="M13" s="386"/>
      <c r="N13" s="386"/>
      <c r="O13" s="386"/>
      <c r="P13" s="387"/>
      <c r="Q13" s="384"/>
      <c r="X13" s="384"/>
      <c r="Y13" s="384"/>
    </row>
    <row r="14">
      <c r="A14" s="385"/>
      <c r="B14" s="404" t="s">
        <v>18</v>
      </c>
      <c r="C14" s="405">
        <v>622.0</v>
      </c>
      <c r="D14" s="401">
        <v>7.4</v>
      </c>
      <c r="E14" s="401">
        <f t="shared" si="1"/>
        <v>8.51</v>
      </c>
      <c r="F14" s="401">
        <v>0.0</v>
      </c>
      <c r="G14" s="213">
        <f t="shared" si="2"/>
        <v>0</v>
      </c>
      <c r="H14" s="409">
        <f>E54*E42</f>
        <v>24.7597</v>
      </c>
      <c r="I14" s="409">
        <f>E56*I42</f>
        <v>24.7597</v>
      </c>
      <c r="J14" s="409">
        <f>J56</f>
        <v>11.11591385</v>
      </c>
      <c r="K14" s="410">
        <f>J57</f>
        <v>11.11591385</v>
      </c>
      <c r="L14" s="386"/>
      <c r="M14" s="386"/>
      <c r="N14" s="386"/>
      <c r="O14" s="386"/>
      <c r="P14" s="387"/>
      <c r="Q14" s="384"/>
      <c r="X14" s="384"/>
      <c r="Y14" s="384"/>
    </row>
    <row r="15">
      <c r="A15" s="385"/>
      <c r="B15" s="398" t="s">
        <v>19</v>
      </c>
      <c r="C15" s="399">
        <v>995.0</v>
      </c>
      <c r="D15" s="399">
        <v>8.0</v>
      </c>
      <c r="E15" s="399">
        <f t="shared" si="1"/>
        <v>9.2</v>
      </c>
      <c r="F15" s="399">
        <v>11.11</v>
      </c>
      <c r="G15" s="400">
        <f t="shared" si="2"/>
        <v>12.7765</v>
      </c>
      <c r="H15" s="399">
        <v>0.0</v>
      </c>
      <c r="K15" s="200"/>
      <c r="L15" s="386"/>
      <c r="M15" s="386"/>
      <c r="N15" s="386"/>
      <c r="O15" s="386"/>
      <c r="P15" s="387"/>
      <c r="Q15" s="384"/>
      <c r="X15" s="384"/>
      <c r="Y15" s="384"/>
    </row>
    <row r="16">
      <c r="A16" s="385"/>
      <c r="B16" s="411" t="s">
        <v>144</v>
      </c>
      <c r="C16" s="412">
        <f>SUM(C7:C15)-C13</f>
        <v>5466</v>
      </c>
      <c r="D16" s="412">
        <f t="shared" ref="D16:K16" si="3">SUM(D7:D15)</f>
        <v>45.69</v>
      </c>
      <c r="E16" s="412">
        <f t="shared" si="3"/>
        <v>52.5435</v>
      </c>
      <c r="F16" s="412">
        <f t="shared" si="3"/>
        <v>35.24</v>
      </c>
      <c r="G16" s="412">
        <f t="shared" si="3"/>
        <v>40.526</v>
      </c>
      <c r="H16" s="412">
        <f t="shared" si="3"/>
        <v>43.2345125</v>
      </c>
      <c r="I16" s="412">
        <f t="shared" si="3"/>
        <v>43.2345125</v>
      </c>
      <c r="J16" s="412">
        <f t="shared" si="3"/>
        <v>21.06336</v>
      </c>
      <c r="K16" s="413">
        <f t="shared" si="3"/>
        <v>21.06336</v>
      </c>
      <c r="L16" s="386"/>
      <c r="M16" s="386"/>
      <c r="N16" s="386"/>
      <c r="O16" s="386"/>
      <c r="P16" s="387"/>
      <c r="Q16" s="384"/>
      <c r="X16" s="384"/>
      <c r="Y16" s="384"/>
    </row>
    <row r="17">
      <c r="A17" s="385"/>
      <c r="B17" s="414"/>
      <c r="C17" s="414"/>
      <c r="D17" s="415"/>
      <c r="E17" s="416"/>
      <c r="F17" s="400"/>
      <c r="G17" s="416"/>
      <c r="H17" s="416"/>
      <c r="I17" s="416"/>
      <c r="J17" s="416"/>
      <c r="K17" s="416"/>
      <c r="L17" s="417"/>
      <c r="M17" s="417"/>
      <c r="N17" s="417"/>
      <c r="O17" s="417"/>
      <c r="P17" s="387"/>
      <c r="Q17" s="384"/>
      <c r="R17" s="384"/>
      <c r="S17" s="384"/>
      <c r="T17" s="384"/>
      <c r="U17" s="384"/>
      <c r="V17" s="384"/>
      <c r="W17" s="384"/>
      <c r="X17" s="384"/>
      <c r="Y17" s="384"/>
    </row>
    <row r="18">
      <c r="A18" s="385"/>
      <c r="B18" s="418" t="s">
        <v>145</v>
      </c>
      <c r="C18" s="150"/>
      <c r="D18" s="150"/>
      <c r="E18" s="150"/>
      <c r="F18" s="150"/>
      <c r="G18" s="150"/>
      <c r="H18" s="150"/>
      <c r="I18" s="151"/>
      <c r="K18" s="418" t="s">
        <v>146</v>
      </c>
      <c r="L18" s="150"/>
      <c r="M18" s="151"/>
      <c r="P18" s="387"/>
      <c r="W18" s="384"/>
      <c r="X18" s="384"/>
      <c r="Y18" s="384"/>
    </row>
    <row r="19">
      <c r="A19" s="385"/>
      <c r="B19" s="419" t="s">
        <v>140</v>
      </c>
      <c r="D19" s="396" t="s">
        <v>142</v>
      </c>
      <c r="F19" s="396" t="s">
        <v>141</v>
      </c>
      <c r="H19" s="396" t="s">
        <v>143</v>
      </c>
      <c r="I19" s="13"/>
      <c r="K19" s="420" t="s">
        <v>130</v>
      </c>
      <c r="M19" s="421">
        <f>D16+F16</f>
        <v>80.93</v>
      </c>
      <c r="P19" s="387"/>
      <c r="W19" s="384"/>
      <c r="X19" s="384"/>
      <c r="Y19" s="384"/>
    </row>
    <row r="20">
      <c r="A20" s="385"/>
      <c r="B20" s="422" t="s">
        <v>130</v>
      </c>
      <c r="C20" s="395" t="s">
        <v>139</v>
      </c>
      <c r="D20" s="394" t="s">
        <v>130</v>
      </c>
      <c r="E20" s="395" t="s">
        <v>139</v>
      </c>
      <c r="F20" s="394" t="s">
        <v>130</v>
      </c>
      <c r="G20" s="395" t="s">
        <v>139</v>
      </c>
      <c r="H20" s="394" t="s">
        <v>130</v>
      </c>
      <c r="I20" s="423" t="s">
        <v>139</v>
      </c>
      <c r="K20" s="424" t="s">
        <v>139</v>
      </c>
      <c r="L20" s="7"/>
      <c r="M20" s="425">
        <f>E16+G16</f>
        <v>93.0695</v>
      </c>
      <c r="P20" s="387"/>
      <c r="W20" s="384"/>
      <c r="X20" s="384"/>
      <c r="Y20" s="384"/>
    </row>
    <row r="21">
      <c r="A21" s="426"/>
      <c r="B21" s="427">
        <f>B32+H16</f>
        <v>124.1645125</v>
      </c>
      <c r="C21" s="428">
        <f>C32+H16</f>
        <v>136.3040125</v>
      </c>
      <c r="D21" s="428">
        <f>B32+J16</f>
        <v>101.99336</v>
      </c>
      <c r="E21" s="428">
        <f>C32+J16</f>
        <v>114.13286</v>
      </c>
      <c r="F21" s="428">
        <f>B32+I16</f>
        <v>124.1645125</v>
      </c>
      <c r="G21" s="428">
        <f>C32+I16</f>
        <v>136.3040125</v>
      </c>
      <c r="H21" s="428">
        <f>B32+K16</f>
        <v>101.99336</v>
      </c>
      <c r="I21" s="429">
        <f>C32+K16</f>
        <v>114.13286</v>
      </c>
      <c r="P21" s="430"/>
      <c r="W21" s="431"/>
      <c r="X21" s="431"/>
      <c r="Y21" s="431"/>
    </row>
    <row r="22">
      <c r="A22" s="385"/>
      <c r="B22" s="414"/>
      <c r="C22" s="414"/>
      <c r="D22" s="415"/>
      <c r="E22" s="416"/>
      <c r="F22" s="400"/>
      <c r="G22" s="416"/>
      <c r="H22" s="416"/>
      <c r="I22" s="416"/>
      <c r="J22" s="416"/>
      <c r="K22" s="416"/>
      <c r="L22" s="416"/>
      <c r="M22" s="416"/>
      <c r="N22" s="416"/>
      <c r="O22" s="416"/>
      <c r="P22" s="387"/>
      <c r="W22" s="384"/>
      <c r="X22" s="384"/>
      <c r="Y22" s="384"/>
    </row>
    <row r="23">
      <c r="A23" s="385"/>
      <c r="B23" s="432" t="s">
        <v>22</v>
      </c>
      <c r="C23" s="150"/>
      <c r="D23" s="433" t="s">
        <v>140</v>
      </c>
      <c r="E23" s="150"/>
      <c r="F23" s="433" t="s">
        <v>142</v>
      </c>
      <c r="G23" s="150"/>
      <c r="H23" s="433" t="s">
        <v>141</v>
      </c>
      <c r="I23" s="150"/>
      <c r="J23" s="433" t="s">
        <v>143</v>
      </c>
      <c r="K23" s="151"/>
      <c r="P23" s="387"/>
      <c r="Q23" s="384"/>
      <c r="V23" s="384"/>
      <c r="W23" s="384"/>
      <c r="X23" s="384"/>
      <c r="Y23" s="384"/>
    </row>
    <row r="24">
      <c r="A24" s="385"/>
      <c r="B24" s="434"/>
      <c r="D24" s="394" t="s">
        <v>130</v>
      </c>
      <c r="E24" s="395" t="s">
        <v>139</v>
      </c>
      <c r="F24" s="394" t="s">
        <v>130</v>
      </c>
      <c r="G24" s="395" t="s">
        <v>139</v>
      </c>
      <c r="H24" s="394" t="s">
        <v>130</v>
      </c>
      <c r="I24" s="395" t="s">
        <v>139</v>
      </c>
      <c r="J24" s="394" t="s">
        <v>130</v>
      </c>
      <c r="K24" s="423" t="s">
        <v>139</v>
      </c>
      <c r="P24" s="387"/>
      <c r="Q24" s="384"/>
      <c r="V24" s="384"/>
      <c r="W24" s="384"/>
      <c r="X24" s="384"/>
      <c r="Y24" s="384"/>
    </row>
    <row r="25">
      <c r="A25" s="385"/>
      <c r="B25" s="89" t="s">
        <v>24</v>
      </c>
      <c r="D25" s="431">
        <f>1000*$B32-$F15</f>
        <v>80918.89</v>
      </c>
      <c r="E25" s="431">
        <f>1000*$C32-$G15</f>
        <v>93056.7235</v>
      </c>
      <c r="F25" s="431">
        <f>1000*$B32-$F15</f>
        <v>80918.89</v>
      </c>
      <c r="G25" s="431">
        <f>1000*$C32-$G15</f>
        <v>93056.7235</v>
      </c>
      <c r="H25" s="431">
        <f>1000*$B32-$F15</f>
        <v>80918.89</v>
      </c>
      <c r="I25" s="431">
        <f>1000*$C32-$G15</f>
        <v>93056.7235</v>
      </c>
      <c r="J25" s="431">
        <f>1000*$B32-$F15</f>
        <v>80918.89</v>
      </c>
      <c r="K25" s="435">
        <f>1000*$C32-$G15</f>
        <v>93056.7235</v>
      </c>
      <c r="P25" s="387"/>
      <c r="Q25" s="384"/>
      <c r="V25" s="384"/>
      <c r="W25" s="384"/>
      <c r="X25" s="384"/>
      <c r="Y25" s="384"/>
    </row>
    <row r="26">
      <c r="A26" s="385"/>
      <c r="B26" s="436" t="s">
        <v>25</v>
      </c>
      <c r="D26" s="437">
        <f t="shared" ref="D26:K26" si="4">1000*B21</f>
        <v>124164.5125</v>
      </c>
      <c r="E26" s="437">
        <f t="shared" si="4"/>
        <v>136304.0125</v>
      </c>
      <c r="F26" s="437">
        <f t="shared" si="4"/>
        <v>101993.36</v>
      </c>
      <c r="G26" s="437">
        <f t="shared" si="4"/>
        <v>114132.86</v>
      </c>
      <c r="H26" s="437">
        <f t="shared" si="4"/>
        <v>124164.5125</v>
      </c>
      <c r="I26" s="437">
        <f t="shared" si="4"/>
        <v>136304.0125</v>
      </c>
      <c r="J26" s="437">
        <f t="shared" si="4"/>
        <v>101993.36</v>
      </c>
      <c r="K26" s="438">
        <f t="shared" si="4"/>
        <v>114132.86</v>
      </c>
      <c r="P26" s="387"/>
      <c r="Q26" s="384"/>
      <c r="V26" s="384"/>
      <c r="W26" s="384"/>
      <c r="X26" s="384"/>
      <c r="Y26" s="384"/>
    </row>
    <row r="27">
      <c r="A27" s="385"/>
      <c r="B27" s="97" t="s">
        <v>26</v>
      </c>
      <c r="C27" s="7"/>
      <c r="D27" s="439">
        <f t="shared" ref="D27:K27" si="5">$C16</f>
        <v>5466</v>
      </c>
      <c r="E27" s="439">
        <f t="shared" si="5"/>
        <v>5466</v>
      </c>
      <c r="F27" s="439">
        <f t="shared" si="5"/>
        <v>5466</v>
      </c>
      <c r="G27" s="439">
        <f t="shared" si="5"/>
        <v>5466</v>
      </c>
      <c r="H27" s="439">
        <f t="shared" si="5"/>
        <v>5466</v>
      </c>
      <c r="I27" s="439">
        <f t="shared" si="5"/>
        <v>5466</v>
      </c>
      <c r="J27" s="439">
        <f t="shared" si="5"/>
        <v>5466</v>
      </c>
      <c r="K27" s="440">
        <f t="shared" si="5"/>
        <v>5466</v>
      </c>
      <c r="P27" s="387"/>
      <c r="Q27" s="384"/>
      <c r="V27" s="384"/>
      <c r="W27" s="384"/>
      <c r="X27" s="384"/>
      <c r="Y27" s="384"/>
    </row>
    <row r="28">
      <c r="A28" s="385"/>
      <c r="B28" s="414"/>
      <c r="C28" s="414"/>
      <c r="D28" s="415"/>
      <c r="E28" s="416"/>
      <c r="F28" s="400"/>
      <c r="G28" s="416"/>
      <c r="H28" s="416"/>
      <c r="I28" s="416"/>
      <c r="J28" s="416"/>
      <c r="K28" s="392"/>
      <c r="L28" s="392"/>
      <c r="M28" s="392"/>
      <c r="N28" s="416"/>
      <c r="O28" s="416"/>
      <c r="P28" s="387"/>
      <c r="Q28" s="384"/>
      <c r="V28" s="384"/>
      <c r="W28" s="384"/>
      <c r="X28" s="384"/>
      <c r="Y28" s="384"/>
    </row>
    <row r="29">
      <c r="A29" s="385"/>
      <c r="B29" s="414"/>
      <c r="C29" s="414"/>
      <c r="D29" s="415"/>
      <c r="E29" s="416"/>
      <c r="F29" s="400"/>
      <c r="G29" s="416"/>
      <c r="H29" s="392"/>
      <c r="I29" s="392"/>
      <c r="J29" s="392"/>
      <c r="K29" s="392"/>
      <c r="L29" s="392"/>
      <c r="M29" s="392"/>
      <c r="N29" s="392"/>
      <c r="O29" s="416"/>
      <c r="P29" s="387"/>
      <c r="Q29" s="384"/>
      <c r="R29" s="384"/>
      <c r="U29" s="384"/>
      <c r="V29" s="384"/>
      <c r="W29" s="384"/>
      <c r="X29" s="384"/>
      <c r="Y29" s="384"/>
    </row>
    <row r="30">
      <c r="A30" s="385"/>
      <c r="B30" s="418" t="s">
        <v>146</v>
      </c>
      <c r="C30" s="151"/>
      <c r="E30" s="418" t="s">
        <v>17</v>
      </c>
      <c r="F30" s="150"/>
      <c r="G30" s="150"/>
      <c r="H30" s="150"/>
      <c r="I30" s="150"/>
      <c r="J30" s="151"/>
      <c r="L30" s="418" t="s">
        <v>147</v>
      </c>
      <c r="M30" s="150"/>
      <c r="N30" s="151"/>
      <c r="O30" s="416"/>
      <c r="P30" s="387"/>
      <c r="Q30" s="384"/>
      <c r="R30" s="384"/>
      <c r="U30" s="384"/>
      <c r="V30" s="384"/>
      <c r="W30" s="384"/>
      <c r="X30" s="384"/>
      <c r="Y30" s="384"/>
    </row>
    <row r="31">
      <c r="A31" s="385"/>
      <c r="B31" s="422" t="s">
        <v>130</v>
      </c>
      <c r="C31" s="423" t="s">
        <v>139</v>
      </c>
      <c r="E31" s="420" t="s">
        <v>148</v>
      </c>
      <c r="G31" s="441">
        <f>D13+F13</f>
        <v>1.65</v>
      </c>
      <c r="H31" s="420" t="s">
        <v>149</v>
      </c>
      <c r="J31" s="421">
        <f>F12+G31</f>
        <v>4.28</v>
      </c>
      <c r="L31" s="420" t="s">
        <v>150</v>
      </c>
      <c r="N31" s="421">
        <v>243.0</v>
      </c>
      <c r="O31" s="392"/>
      <c r="P31" s="387"/>
      <c r="Q31" s="384"/>
      <c r="R31" s="384"/>
      <c r="S31" s="384"/>
      <c r="T31" s="384"/>
      <c r="U31" s="384"/>
      <c r="V31" s="384"/>
      <c r="W31" s="384"/>
      <c r="X31" s="384"/>
      <c r="Y31" s="384"/>
    </row>
    <row r="32">
      <c r="A32" s="385"/>
      <c r="B32" s="427">
        <f t="shared" ref="B32:C32" si="6">D16+F16</f>
        <v>80.93</v>
      </c>
      <c r="C32" s="429">
        <f t="shared" si="6"/>
        <v>93.0695</v>
      </c>
      <c r="E32" s="442" t="s">
        <v>151</v>
      </c>
      <c r="F32" s="7"/>
      <c r="G32" s="443">
        <f>E13+G13</f>
        <v>1.8975</v>
      </c>
      <c r="H32" s="442" t="s">
        <v>152</v>
      </c>
      <c r="I32" s="7"/>
      <c r="J32" s="425">
        <f>G12+G32</f>
        <v>4.922</v>
      </c>
      <c r="L32" s="442" t="s">
        <v>23</v>
      </c>
      <c r="M32" s="7"/>
      <c r="N32" s="425">
        <f>C16/N31</f>
        <v>22.49382716</v>
      </c>
      <c r="O32" s="392"/>
      <c r="P32" s="387"/>
      <c r="Q32" s="384"/>
      <c r="R32" s="384"/>
      <c r="S32" s="384"/>
      <c r="T32" s="384"/>
      <c r="U32" s="384"/>
      <c r="V32" s="384"/>
      <c r="W32" s="384"/>
      <c r="X32" s="384"/>
      <c r="Y32" s="384"/>
    </row>
    <row r="33">
      <c r="A33" s="385"/>
      <c r="B33" s="392"/>
      <c r="C33" s="392"/>
      <c r="D33" s="392"/>
      <c r="E33" s="392"/>
      <c r="F33" s="392"/>
      <c r="G33" s="392"/>
      <c r="H33" s="416"/>
      <c r="I33" s="416"/>
      <c r="J33" s="416"/>
      <c r="K33" s="416"/>
      <c r="L33" s="416"/>
      <c r="M33" s="416"/>
      <c r="N33" s="416"/>
      <c r="O33" s="416"/>
      <c r="P33" s="387"/>
      <c r="Q33" s="384"/>
      <c r="R33" s="384"/>
      <c r="S33" s="384"/>
      <c r="T33" s="384"/>
      <c r="U33" s="384"/>
      <c r="V33" s="384"/>
      <c r="W33" s="384"/>
      <c r="X33" s="384"/>
      <c r="Y33" s="384"/>
    </row>
    <row r="34">
      <c r="A34" s="444"/>
      <c r="B34" s="445"/>
      <c r="C34" s="445"/>
      <c r="D34" s="446"/>
      <c r="E34" s="447"/>
      <c r="F34" s="448"/>
      <c r="G34" s="447"/>
      <c r="H34" s="447"/>
      <c r="I34" s="447"/>
      <c r="J34" s="447"/>
      <c r="K34" s="447"/>
      <c r="L34" s="447"/>
      <c r="M34" s="447"/>
      <c r="N34" s="447"/>
      <c r="O34" s="447"/>
      <c r="P34" s="449"/>
      <c r="Q34" s="384"/>
      <c r="R34" s="384"/>
      <c r="S34" s="384"/>
      <c r="T34" s="384"/>
      <c r="U34" s="384"/>
      <c r="V34" s="384"/>
      <c r="W34" s="384"/>
      <c r="X34" s="384"/>
      <c r="Y34" s="384"/>
    </row>
    <row r="35">
      <c r="A35" s="379"/>
      <c r="B35" s="450"/>
      <c r="C35" s="450"/>
      <c r="D35" s="451"/>
      <c r="E35" s="452"/>
      <c r="F35" s="453"/>
      <c r="G35" s="452"/>
      <c r="H35" s="452"/>
      <c r="I35" s="452"/>
      <c r="J35" s="452"/>
      <c r="K35" s="452"/>
      <c r="L35" s="452"/>
      <c r="M35" s="452"/>
      <c r="N35" s="452"/>
      <c r="O35" s="452"/>
      <c r="P35" s="383"/>
      <c r="Q35" s="384"/>
      <c r="R35" s="384"/>
      <c r="S35" s="384"/>
      <c r="T35" s="384"/>
      <c r="U35" s="384"/>
      <c r="V35" s="384"/>
      <c r="W35" s="384"/>
      <c r="X35" s="384"/>
      <c r="Y35" s="384"/>
    </row>
    <row r="36">
      <c r="A36" s="385"/>
      <c r="B36" s="454" t="s">
        <v>153</v>
      </c>
      <c r="E36" s="416"/>
      <c r="F36" s="400"/>
      <c r="G36" s="416"/>
      <c r="H36" s="416"/>
      <c r="I36" s="416"/>
      <c r="J36" s="416"/>
      <c r="K36" s="416"/>
      <c r="L36" s="455" t="s">
        <v>154</v>
      </c>
      <c r="M36" s="150"/>
      <c r="N36" s="150"/>
      <c r="O36" s="151"/>
      <c r="P36" s="387"/>
      <c r="Q36" s="384"/>
      <c r="R36" s="384"/>
      <c r="S36" s="384"/>
      <c r="T36" s="384"/>
      <c r="U36" s="384"/>
      <c r="V36" s="384"/>
      <c r="W36" s="384"/>
      <c r="X36" s="384"/>
      <c r="Y36" s="384"/>
    </row>
    <row r="37">
      <c r="A37" s="385"/>
      <c r="J37" s="416"/>
      <c r="K37" s="416"/>
      <c r="L37" s="456" t="s">
        <v>155</v>
      </c>
      <c r="O37" s="457">
        <v>24.7</v>
      </c>
      <c r="P37" s="387"/>
      <c r="Q37" s="384"/>
      <c r="R37" s="384"/>
      <c r="S37" s="384"/>
      <c r="T37" s="384"/>
      <c r="U37" s="384"/>
      <c r="V37" s="384"/>
      <c r="W37" s="384"/>
      <c r="X37" s="384"/>
      <c r="Y37" s="384"/>
    </row>
    <row r="38">
      <c r="A38" s="385"/>
      <c r="B38" s="455" t="s">
        <v>156</v>
      </c>
      <c r="C38" s="150"/>
      <c r="D38" s="150"/>
      <c r="E38" s="150"/>
      <c r="F38" s="150"/>
      <c r="G38" s="150"/>
      <c r="H38" s="150"/>
      <c r="I38" s="151"/>
      <c r="L38" s="458" t="s">
        <v>157</v>
      </c>
      <c r="O38" s="459">
        <v>2.0</v>
      </c>
      <c r="P38" s="387"/>
      <c r="Q38" s="384"/>
      <c r="R38" s="384"/>
      <c r="S38" s="384"/>
      <c r="T38" s="384"/>
      <c r="U38" s="384"/>
      <c r="V38" s="384"/>
      <c r="W38" s="384"/>
      <c r="X38" s="384"/>
      <c r="Y38" s="384"/>
    </row>
    <row r="39">
      <c r="A39" s="385"/>
      <c r="B39" s="460" t="s">
        <v>49</v>
      </c>
      <c r="E39" s="431">
        <v>5000.0</v>
      </c>
      <c r="F39" s="461" t="s">
        <v>57</v>
      </c>
      <c r="I39" s="459">
        <v>7500.0</v>
      </c>
      <c r="L39" s="458" t="s">
        <v>158</v>
      </c>
      <c r="O39" s="457">
        <v>0.5</v>
      </c>
      <c r="P39" s="387"/>
      <c r="Q39" s="384"/>
      <c r="R39" s="384"/>
      <c r="S39" s="384"/>
      <c r="T39" s="384"/>
      <c r="U39" s="384"/>
      <c r="V39" s="384"/>
      <c r="W39" s="384"/>
      <c r="X39" s="384"/>
      <c r="Y39" s="384"/>
    </row>
    <row r="40">
      <c r="A40" s="385"/>
      <c r="B40" s="460" t="s">
        <v>51</v>
      </c>
      <c r="E40" s="462">
        <v>2.205</v>
      </c>
      <c r="F40" s="461" t="s">
        <v>58</v>
      </c>
      <c r="I40" s="463">
        <f>I39/E39*E40</f>
        <v>3.3075</v>
      </c>
      <c r="L40" s="458" t="s">
        <v>159</v>
      </c>
      <c r="O40" s="457">
        <v>0.5</v>
      </c>
      <c r="P40" s="387"/>
      <c r="Q40" s="384"/>
      <c r="R40" s="384"/>
      <c r="S40" s="384"/>
      <c r="T40" s="384"/>
      <c r="U40" s="384"/>
      <c r="V40" s="384"/>
      <c r="W40" s="384"/>
      <c r="X40" s="384"/>
      <c r="Y40" s="384"/>
    </row>
    <row r="41">
      <c r="A41" s="385"/>
      <c r="B41" s="460" t="s">
        <v>53</v>
      </c>
      <c r="E41" s="462">
        <f>E40/(1+E48)</f>
        <v>0.8480769231</v>
      </c>
      <c r="F41" s="464" t="s">
        <v>59</v>
      </c>
      <c r="I41" s="435">
        <f>I39/E39*E41</f>
        <v>1.272115385</v>
      </c>
      <c r="L41" s="458" t="s">
        <v>160</v>
      </c>
      <c r="O41" s="457">
        <v>0.5</v>
      </c>
      <c r="P41" s="387"/>
      <c r="Q41" s="384"/>
      <c r="R41" s="384"/>
      <c r="S41" s="384"/>
      <c r="T41" s="384"/>
      <c r="U41" s="384"/>
      <c r="V41" s="384"/>
      <c r="W41" s="384"/>
      <c r="X41" s="384"/>
      <c r="Y41" s="384"/>
    </row>
    <row r="42">
      <c r="A42" s="385"/>
      <c r="B42" s="460" t="s">
        <v>55</v>
      </c>
      <c r="E42" s="431">
        <f>E40-E41</f>
        <v>1.356923077</v>
      </c>
      <c r="F42" s="464" t="s">
        <v>60</v>
      </c>
      <c r="I42" s="435">
        <f>E42*I39/E39</f>
        <v>2.035384615</v>
      </c>
      <c r="L42" s="458" t="s">
        <v>161</v>
      </c>
      <c r="O42" s="457">
        <v>0.5</v>
      </c>
      <c r="P42" s="387"/>
      <c r="Q42" s="384"/>
      <c r="R42" s="384"/>
      <c r="S42" s="384"/>
      <c r="T42" s="384"/>
      <c r="U42" s="384"/>
      <c r="V42" s="384"/>
      <c r="W42" s="384"/>
      <c r="X42" s="384"/>
      <c r="Y42" s="384"/>
    </row>
    <row r="43">
      <c r="A43" s="385"/>
      <c r="B43" s="460" t="s">
        <v>162</v>
      </c>
      <c r="E43" s="431">
        <f t="shared" ref="E43:E44" si="7">1000*E41/E49</f>
        <v>1.047008547</v>
      </c>
      <c r="F43" s="464" t="s">
        <v>163</v>
      </c>
      <c r="I43" s="435">
        <f t="shared" ref="I43:I44" si="8">1000*I41/E49</f>
        <v>1.570512821</v>
      </c>
      <c r="L43" s="456" t="s">
        <v>164</v>
      </c>
      <c r="O43" s="435">
        <f>O37-O38-O39-O41</f>
        <v>21.7</v>
      </c>
      <c r="P43" s="387"/>
      <c r="Q43" s="384"/>
      <c r="R43" s="384"/>
      <c r="S43" s="384"/>
      <c r="T43" s="384"/>
      <c r="U43" s="384"/>
      <c r="V43" s="384"/>
      <c r="W43" s="384"/>
      <c r="X43" s="384"/>
      <c r="Y43" s="384"/>
    </row>
    <row r="44">
      <c r="A44" s="385"/>
      <c r="B44" s="465" t="s">
        <v>165</v>
      </c>
      <c r="C44" s="7"/>
      <c r="D44" s="7"/>
      <c r="E44" s="428">
        <f t="shared" si="7"/>
        <v>1.189240208</v>
      </c>
      <c r="F44" s="466" t="s">
        <v>166</v>
      </c>
      <c r="G44" s="7"/>
      <c r="H44" s="7"/>
      <c r="I44" s="429">
        <f t="shared" si="8"/>
        <v>1.783860311</v>
      </c>
      <c r="L44" s="456" t="s">
        <v>167</v>
      </c>
      <c r="O44" s="457">
        <f>O43/O37</f>
        <v>0.8785425101</v>
      </c>
      <c r="P44" s="387"/>
      <c r="Q44" s="384"/>
      <c r="R44" s="384"/>
      <c r="S44" s="384"/>
      <c r="T44" s="384"/>
      <c r="U44" s="384"/>
      <c r="V44" s="384"/>
      <c r="W44" s="384"/>
      <c r="X44" s="384"/>
      <c r="Y44" s="384"/>
    </row>
    <row r="45">
      <c r="A45" s="385"/>
      <c r="B45" s="384"/>
      <c r="C45" s="384"/>
      <c r="D45" s="384" t="s">
        <v>94</v>
      </c>
      <c r="E45" s="384"/>
      <c r="F45" s="386"/>
      <c r="G45" s="386"/>
      <c r="L45" s="467" t="s">
        <v>168</v>
      </c>
      <c r="M45" s="7"/>
      <c r="N45" s="7"/>
      <c r="O45" s="429">
        <f>O43+O42+O40</f>
        <v>22.7</v>
      </c>
      <c r="P45" s="387"/>
      <c r="Q45" s="384"/>
      <c r="R45" s="384"/>
      <c r="U45" s="384"/>
      <c r="V45" s="384"/>
      <c r="W45" s="384"/>
      <c r="X45" s="384"/>
      <c r="Y45" s="384"/>
    </row>
    <row r="46">
      <c r="A46" s="385"/>
      <c r="B46" s="455" t="s">
        <v>169</v>
      </c>
      <c r="C46" s="150"/>
      <c r="D46" s="150"/>
      <c r="E46" s="151"/>
      <c r="G46" s="468" t="s">
        <v>170</v>
      </c>
      <c r="H46" s="469"/>
      <c r="I46" s="469"/>
      <c r="J46" s="470"/>
      <c r="L46" s="462"/>
      <c r="M46" s="462"/>
      <c r="N46" s="462"/>
      <c r="O46" s="462"/>
      <c r="P46" s="387"/>
      <c r="Q46" s="384"/>
      <c r="R46" s="384"/>
      <c r="X46" s="384"/>
      <c r="Y46" s="384"/>
    </row>
    <row r="47">
      <c r="A47" s="385"/>
      <c r="B47" s="471" t="s">
        <v>63</v>
      </c>
      <c r="E47" s="435">
        <v>98.92</v>
      </c>
      <c r="G47" s="472" t="s">
        <v>171</v>
      </c>
      <c r="J47" s="473">
        <v>40960.0</v>
      </c>
      <c r="L47" s="455" t="s">
        <v>172</v>
      </c>
      <c r="M47" s="150"/>
      <c r="N47" s="150"/>
      <c r="O47" s="151"/>
      <c r="P47" s="387"/>
      <c r="Q47" s="384"/>
      <c r="R47" s="384"/>
      <c r="U47" s="384"/>
      <c r="V47" s="384"/>
      <c r="W47" s="384"/>
      <c r="X47" s="384"/>
      <c r="Y47" s="384"/>
    </row>
    <row r="48">
      <c r="A48" s="385"/>
      <c r="B48" s="460" t="s">
        <v>173</v>
      </c>
      <c r="E48" s="457">
        <v>1.6</v>
      </c>
      <c r="G48" s="472" t="s">
        <v>174</v>
      </c>
      <c r="J48" s="474">
        <f>E54*E39</f>
        <v>91234.72222</v>
      </c>
      <c r="K48" s="384"/>
      <c r="L48" s="456" t="s">
        <v>155</v>
      </c>
      <c r="O48" s="457">
        <f>O37</f>
        <v>24.7</v>
      </c>
      <c r="P48" s="387"/>
      <c r="Q48" s="384"/>
      <c r="R48" s="384"/>
      <c r="U48" s="384"/>
      <c r="V48" s="384"/>
      <c r="W48" s="384"/>
      <c r="X48" s="384"/>
      <c r="Y48" s="384"/>
    </row>
    <row r="49">
      <c r="A49" s="385"/>
      <c r="B49" s="460" t="s">
        <v>46</v>
      </c>
      <c r="E49" s="435">
        <v>810.0</v>
      </c>
      <c r="G49" s="472" t="s">
        <v>175</v>
      </c>
      <c r="J49" s="474">
        <f>E56*I39</f>
        <v>91234.72222</v>
      </c>
      <c r="K49" s="384"/>
      <c r="L49" s="458" t="s">
        <v>157</v>
      </c>
      <c r="O49" s="459">
        <f>O48-O57</f>
        <v>13.95774422</v>
      </c>
      <c r="P49" s="387"/>
      <c r="Q49" s="384"/>
      <c r="R49" s="384"/>
      <c r="S49" s="386"/>
      <c r="T49" s="386"/>
      <c r="U49" s="384"/>
      <c r="V49" s="384"/>
      <c r="W49" s="384"/>
      <c r="X49" s="384"/>
      <c r="Y49" s="384"/>
    </row>
    <row r="50">
      <c r="A50" s="385"/>
      <c r="B50" s="475" t="s">
        <v>47</v>
      </c>
      <c r="C50" s="7"/>
      <c r="D50" s="7"/>
      <c r="E50" s="429">
        <v>1141.0</v>
      </c>
      <c r="G50" s="472" t="s">
        <v>176</v>
      </c>
      <c r="J50" s="473">
        <v>235.0</v>
      </c>
      <c r="K50" s="384"/>
      <c r="L50" s="458" t="s">
        <v>158</v>
      </c>
      <c r="O50" s="457">
        <f t="shared" ref="O50:O53" si="9">O39</f>
        <v>0.5</v>
      </c>
      <c r="P50" s="387"/>
      <c r="Q50" s="384"/>
      <c r="R50" s="384"/>
      <c r="U50" s="384"/>
      <c r="V50" s="384"/>
      <c r="W50" s="384"/>
      <c r="X50" s="384"/>
      <c r="Y50" s="384"/>
    </row>
    <row r="51">
      <c r="A51" s="385"/>
      <c r="G51" s="476" t="s">
        <v>177</v>
      </c>
      <c r="H51" s="477"/>
      <c r="I51" s="477"/>
      <c r="J51" s="478">
        <v>255.0</v>
      </c>
      <c r="K51" s="384"/>
      <c r="L51" s="458" t="s">
        <v>159</v>
      </c>
      <c r="O51" s="457">
        <f t="shared" si="9"/>
        <v>0.5</v>
      </c>
      <c r="P51" s="387"/>
      <c r="Q51" s="384"/>
      <c r="R51" s="384"/>
      <c r="U51" s="384"/>
      <c r="V51" s="384"/>
      <c r="W51" s="384"/>
      <c r="X51" s="384"/>
      <c r="Y51" s="384"/>
    </row>
    <row r="52">
      <c r="A52" s="385"/>
      <c r="B52" s="455" t="s">
        <v>178</v>
      </c>
      <c r="C52" s="150"/>
      <c r="D52" s="150"/>
      <c r="E52" s="151"/>
      <c r="K52" s="384"/>
      <c r="L52" s="458" t="s">
        <v>160</v>
      </c>
      <c r="O52" s="457">
        <f t="shared" si="9"/>
        <v>0.5</v>
      </c>
      <c r="P52" s="387"/>
      <c r="Q52" s="384"/>
      <c r="R52" s="384"/>
      <c r="U52" s="384"/>
      <c r="V52" s="384"/>
      <c r="W52" s="384"/>
      <c r="X52" s="384"/>
      <c r="Y52" s="384"/>
    </row>
    <row r="53">
      <c r="A53" s="385"/>
      <c r="B53" s="460" t="s">
        <v>179</v>
      </c>
      <c r="E53" s="457">
        <v>0.25</v>
      </c>
      <c r="G53" s="455" t="s">
        <v>180</v>
      </c>
      <c r="H53" s="150"/>
      <c r="I53" s="150"/>
      <c r="J53" s="151"/>
      <c r="K53" s="384"/>
      <c r="L53" s="458" t="s">
        <v>161</v>
      </c>
      <c r="O53" s="457">
        <f t="shared" si="9"/>
        <v>0.5</v>
      </c>
      <c r="P53" s="387"/>
      <c r="Q53" s="384"/>
      <c r="R53" s="384"/>
      <c r="U53" s="384"/>
      <c r="V53" s="384"/>
      <c r="W53" s="384"/>
      <c r="X53" s="384"/>
      <c r="Y53" s="384"/>
    </row>
    <row r="54">
      <c r="A54" s="385"/>
      <c r="B54" s="460" t="s">
        <v>181</v>
      </c>
      <c r="E54" s="457">
        <f>O43/E44</f>
        <v>18.24694444</v>
      </c>
      <c r="G54" s="460" t="s">
        <v>182</v>
      </c>
      <c r="J54" s="457">
        <f>E55*E41</f>
        <v>6.947446154</v>
      </c>
      <c r="K54" s="384"/>
      <c r="L54" s="456" t="s">
        <v>183</v>
      </c>
      <c r="O54" s="435">
        <f>J56/E50*1000</f>
        <v>9.742255781</v>
      </c>
      <c r="P54" s="387"/>
      <c r="Q54" s="384"/>
      <c r="R54" s="384"/>
      <c r="U54" s="384"/>
      <c r="V54" s="384"/>
      <c r="W54" s="384"/>
      <c r="X54" s="384"/>
      <c r="Y54" s="384"/>
    </row>
    <row r="55">
      <c r="A55" s="385"/>
      <c r="B55" s="460" t="s">
        <v>184</v>
      </c>
      <c r="E55" s="457">
        <f>J47/E39</f>
        <v>8.192</v>
      </c>
      <c r="G55" s="460" t="s">
        <v>185</v>
      </c>
      <c r="J55" s="435">
        <f>E57*I41</f>
        <v>6.947446154</v>
      </c>
      <c r="K55" s="384"/>
      <c r="L55" s="456" t="s">
        <v>186</v>
      </c>
      <c r="O55" s="435">
        <f>J55/E49*1000</f>
        <v>8.577094017</v>
      </c>
      <c r="P55" s="387"/>
      <c r="Q55" s="384"/>
      <c r="R55" s="384"/>
      <c r="S55" s="384"/>
      <c r="T55" s="384"/>
      <c r="U55" s="384"/>
      <c r="V55" s="384"/>
      <c r="W55" s="384"/>
      <c r="X55" s="384"/>
      <c r="Y55" s="384"/>
    </row>
    <row r="56">
      <c r="A56" s="385"/>
      <c r="B56" s="460" t="s">
        <v>187</v>
      </c>
      <c r="E56" s="457">
        <f>O43/MAX(I44,I43)</f>
        <v>12.16462963</v>
      </c>
      <c r="G56" s="460" t="s">
        <v>188</v>
      </c>
      <c r="J56" s="435">
        <f>E55*E42</f>
        <v>11.11591385</v>
      </c>
      <c r="K56" s="384"/>
      <c r="L56" s="456" t="s">
        <v>167</v>
      </c>
      <c r="O56" s="457">
        <f>O54/O48</f>
        <v>0.394423311</v>
      </c>
      <c r="P56" s="387"/>
      <c r="Q56" s="384"/>
      <c r="R56" s="384"/>
      <c r="S56" s="384"/>
      <c r="T56" s="384"/>
      <c r="U56" s="384"/>
      <c r="V56" s="384"/>
      <c r="W56" s="384"/>
      <c r="X56" s="384"/>
      <c r="Y56" s="384"/>
    </row>
    <row r="57">
      <c r="A57" s="385"/>
      <c r="B57" s="465" t="s">
        <v>189</v>
      </c>
      <c r="C57" s="7"/>
      <c r="D57" s="7"/>
      <c r="E57" s="479">
        <f>J47/I39</f>
        <v>5.461333333</v>
      </c>
      <c r="F57" s="386"/>
      <c r="G57" s="465" t="s">
        <v>190</v>
      </c>
      <c r="H57" s="7"/>
      <c r="I57" s="7"/>
      <c r="J57" s="429">
        <f>E57*I42</f>
        <v>11.11591385</v>
      </c>
      <c r="K57" s="384"/>
      <c r="L57" s="467" t="s">
        <v>168</v>
      </c>
      <c r="M57" s="7"/>
      <c r="N57" s="7"/>
      <c r="O57" s="429">
        <f>MAX(O54,O55)+O53+O51</f>
        <v>10.74225578</v>
      </c>
      <c r="P57" s="387"/>
      <c r="Q57" s="384"/>
      <c r="R57" s="384"/>
      <c r="S57" s="384"/>
      <c r="T57" s="384"/>
      <c r="U57" s="384"/>
      <c r="V57" s="384"/>
      <c r="W57" s="384"/>
      <c r="X57" s="384"/>
      <c r="Y57" s="384"/>
    </row>
    <row r="58">
      <c r="A58" s="444"/>
      <c r="B58" s="386"/>
      <c r="C58" s="386"/>
      <c r="D58" s="386"/>
      <c r="E58" s="386"/>
      <c r="F58" s="386"/>
      <c r="G58" s="386"/>
      <c r="H58" s="384"/>
      <c r="I58" s="384"/>
      <c r="J58" s="384"/>
      <c r="K58" s="480"/>
      <c r="L58" s="480"/>
      <c r="M58" s="480"/>
      <c r="N58" s="480"/>
      <c r="O58" s="480"/>
      <c r="P58" s="449"/>
      <c r="Q58" s="384"/>
      <c r="R58" s="384"/>
      <c r="S58" s="384"/>
      <c r="T58" s="384"/>
      <c r="U58" s="384"/>
      <c r="V58" s="384"/>
      <c r="W58" s="384"/>
      <c r="X58" s="384"/>
      <c r="Y58" s="384"/>
    </row>
    <row r="59">
      <c r="A59" s="379"/>
      <c r="B59" s="481"/>
      <c r="C59" s="481"/>
      <c r="D59" s="481"/>
      <c r="E59" s="481"/>
      <c r="F59" s="481"/>
      <c r="G59" s="481"/>
      <c r="H59" s="481"/>
      <c r="I59" s="481"/>
      <c r="J59" s="481"/>
      <c r="K59" s="481"/>
      <c r="L59" s="481"/>
      <c r="M59" s="481"/>
      <c r="N59" s="481"/>
      <c r="O59" s="481"/>
      <c r="P59" s="383"/>
      <c r="Q59" s="384"/>
      <c r="R59" s="384"/>
      <c r="S59" s="384"/>
      <c r="T59" s="384"/>
      <c r="U59" s="384"/>
      <c r="V59" s="384"/>
      <c r="W59" s="384"/>
      <c r="X59" s="384"/>
      <c r="Y59" s="384"/>
    </row>
    <row r="60">
      <c r="A60" s="385"/>
      <c r="B60" s="454" t="s">
        <v>191</v>
      </c>
      <c r="D60" s="384"/>
      <c r="E60" s="384"/>
      <c r="F60" s="384"/>
      <c r="G60" s="384"/>
      <c r="H60" s="384"/>
      <c r="I60" s="384"/>
      <c r="J60" s="384"/>
      <c r="K60" s="384"/>
      <c r="L60" s="384"/>
      <c r="M60" s="384"/>
      <c r="N60" s="384"/>
      <c r="O60" s="384"/>
      <c r="P60" s="387"/>
      <c r="Q60" s="384"/>
      <c r="R60" s="384"/>
      <c r="S60" s="384"/>
      <c r="T60" s="384"/>
      <c r="U60" s="384"/>
      <c r="V60" s="384"/>
      <c r="W60" s="384"/>
      <c r="X60" s="384"/>
      <c r="Y60" s="384"/>
    </row>
    <row r="61">
      <c r="A61" s="385"/>
      <c r="B61" s="392"/>
      <c r="C61" s="392"/>
      <c r="D61" s="392"/>
      <c r="G61" s="392"/>
      <c r="H61" s="384"/>
      <c r="I61" s="384"/>
      <c r="J61" s="384"/>
      <c r="K61" s="384"/>
      <c r="L61" s="384"/>
      <c r="M61" s="384"/>
      <c r="N61" s="384"/>
      <c r="O61" s="384"/>
      <c r="P61" s="387"/>
      <c r="Q61" s="384"/>
      <c r="R61" s="384"/>
      <c r="S61" s="384"/>
      <c r="T61" s="384"/>
      <c r="U61" s="384"/>
      <c r="V61" s="384"/>
      <c r="W61" s="384"/>
      <c r="X61" s="384"/>
      <c r="Y61" s="384"/>
    </row>
    <row r="62">
      <c r="A62" s="385"/>
      <c r="B62" s="482" t="s">
        <v>65</v>
      </c>
      <c r="C62" s="150"/>
      <c r="D62" s="150"/>
      <c r="E62" s="150"/>
      <c r="F62" s="150"/>
      <c r="G62" s="151"/>
      <c r="I62" s="483" t="s">
        <v>66</v>
      </c>
      <c r="J62" s="150"/>
      <c r="K62" s="150"/>
      <c r="L62" s="150"/>
      <c r="M62" s="150"/>
      <c r="N62" s="151"/>
      <c r="O62" s="384"/>
      <c r="P62" s="387"/>
      <c r="Q62" s="384"/>
      <c r="R62" s="384"/>
      <c r="S62" s="384"/>
      <c r="T62" s="384"/>
      <c r="U62" s="384"/>
      <c r="V62" s="384"/>
      <c r="W62" s="384"/>
      <c r="X62" s="384"/>
      <c r="Y62" s="384"/>
    </row>
    <row r="63">
      <c r="A63" s="385"/>
      <c r="B63" s="484" t="s">
        <v>192</v>
      </c>
      <c r="D63" s="396" t="s">
        <v>140</v>
      </c>
      <c r="E63" s="396" t="s">
        <v>142</v>
      </c>
      <c r="F63" s="396" t="s">
        <v>141</v>
      </c>
      <c r="G63" s="397" t="s">
        <v>143</v>
      </c>
      <c r="I63" s="485" t="s">
        <v>68</v>
      </c>
      <c r="K63" s="396" t="s">
        <v>140</v>
      </c>
      <c r="L63" s="396" t="s">
        <v>142</v>
      </c>
      <c r="M63" s="396" t="s">
        <v>141</v>
      </c>
      <c r="N63" s="397" t="s">
        <v>143</v>
      </c>
      <c r="P63" s="486"/>
      <c r="R63" s="384"/>
      <c r="S63" s="384"/>
      <c r="T63" s="384"/>
      <c r="U63" s="384"/>
      <c r="V63" s="384"/>
      <c r="W63" s="384"/>
      <c r="X63" s="384"/>
      <c r="Y63" s="384"/>
    </row>
    <row r="64">
      <c r="A64" s="385"/>
      <c r="B64" s="487" t="s">
        <v>69</v>
      </c>
      <c r="D64" s="488">
        <f>H10+H11+H14</f>
        <v>43.2345125</v>
      </c>
      <c r="E64" s="488">
        <f>J10+J11+J14</f>
        <v>21.06336</v>
      </c>
      <c r="F64" s="488">
        <f>I10+I11+I14</f>
        <v>43.2345125</v>
      </c>
      <c r="G64" s="489">
        <f>K10+K11+K14</f>
        <v>21.06336</v>
      </c>
      <c r="I64" s="490" t="s">
        <v>70</v>
      </c>
      <c r="J64" s="7"/>
      <c r="K64" s="428">
        <f>E47/25.84</f>
        <v>3.828173375</v>
      </c>
      <c r="L64" s="428">
        <f t="shared" ref="L64:N64" si="10">K64</f>
        <v>3.828173375</v>
      </c>
      <c r="M64" s="428">
        <f t="shared" si="10"/>
        <v>3.828173375</v>
      </c>
      <c r="N64" s="429">
        <f t="shared" si="10"/>
        <v>3.828173375</v>
      </c>
      <c r="P64" s="486"/>
      <c r="U64" s="4"/>
    </row>
    <row r="65">
      <c r="A65" s="385"/>
      <c r="B65" s="487" t="s">
        <v>71</v>
      </c>
      <c r="D65" s="488">
        <f>SUM(C10:C15)-C13</f>
        <v>3273</v>
      </c>
      <c r="E65" s="488">
        <f>D65</f>
        <v>3273</v>
      </c>
      <c r="F65" s="488">
        <f>D65</f>
        <v>3273</v>
      </c>
      <c r="G65" s="489">
        <f>F65</f>
        <v>3273</v>
      </c>
      <c r="I65" s="431"/>
      <c r="J65" s="431"/>
      <c r="K65" s="431"/>
      <c r="L65" s="431"/>
      <c r="M65" s="431"/>
      <c r="P65" s="486"/>
      <c r="U65" s="4"/>
    </row>
    <row r="66">
      <c r="A66" s="385"/>
      <c r="B66" s="487" t="s">
        <v>73</v>
      </c>
      <c r="D66" s="488">
        <f t="shared" ref="D66:G66" si="11">D64</f>
        <v>43.2345125</v>
      </c>
      <c r="E66" s="488">
        <f t="shared" si="11"/>
        <v>21.06336</v>
      </c>
      <c r="F66" s="488">
        <f t="shared" si="11"/>
        <v>43.2345125</v>
      </c>
      <c r="G66" s="489">
        <f t="shared" si="11"/>
        <v>21.06336</v>
      </c>
      <c r="I66" s="431"/>
      <c r="J66" s="431"/>
      <c r="K66" s="431"/>
      <c r="L66" s="431"/>
      <c r="M66" s="431"/>
      <c r="P66" s="486"/>
      <c r="U66" s="4"/>
    </row>
    <row r="67">
      <c r="A67" s="385"/>
      <c r="B67" s="491" t="s">
        <v>75</v>
      </c>
      <c r="C67" s="7"/>
      <c r="D67" s="492">
        <f>E54</f>
        <v>18.24694444</v>
      </c>
      <c r="E67" s="492">
        <f>E55</f>
        <v>8.192</v>
      </c>
      <c r="F67" s="492">
        <f>E56</f>
        <v>12.16462963</v>
      </c>
      <c r="G67" s="429">
        <f>E57</f>
        <v>5.461333333</v>
      </c>
      <c r="I67" s="168"/>
      <c r="J67" s="493"/>
      <c r="K67" s="493"/>
      <c r="L67" s="493"/>
      <c r="M67" s="384"/>
      <c r="N67" s="384"/>
      <c r="P67" s="486"/>
      <c r="U67" s="4"/>
    </row>
    <row r="68">
      <c r="A68" s="444"/>
      <c r="B68" s="480"/>
      <c r="C68" s="480"/>
      <c r="D68" s="480"/>
      <c r="E68" s="494"/>
      <c r="F68" s="494"/>
      <c r="G68" s="480"/>
      <c r="H68" s="494"/>
      <c r="I68" s="480"/>
      <c r="J68" s="480"/>
      <c r="K68" s="480"/>
      <c r="L68" s="480"/>
      <c r="M68" s="480"/>
      <c r="N68" s="480"/>
      <c r="O68" s="480"/>
      <c r="P68" s="495"/>
      <c r="U68" s="4"/>
      <c r="V68" s="4"/>
      <c r="W68" s="4"/>
      <c r="X68" s="62"/>
      <c r="Y68" s="62"/>
    </row>
    <row r="69">
      <c r="A69" s="379"/>
      <c r="B69" s="481"/>
      <c r="C69" s="481"/>
      <c r="D69" s="481"/>
      <c r="E69" s="496"/>
      <c r="F69" s="496"/>
      <c r="G69" s="481"/>
      <c r="H69" s="496"/>
      <c r="I69" s="481"/>
      <c r="J69" s="481"/>
      <c r="K69" s="481"/>
      <c r="L69" s="481"/>
      <c r="M69" s="496"/>
      <c r="N69" s="481"/>
      <c r="O69" s="481"/>
      <c r="P69" s="497"/>
      <c r="U69" s="4"/>
      <c r="V69" s="4"/>
      <c r="W69" s="4"/>
      <c r="X69" s="62"/>
      <c r="Y69" s="62"/>
    </row>
    <row r="70">
      <c r="A70" s="385"/>
      <c r="B70" s="454" t="s">
        <v>193</v>
      </c>
      <c r="D70" s="384"/>
      <c r="E70" s="384"/>
      <c r="F70" s="384"/>
      <c r="G70" s="384"/>
      <c r="H70" s="384"/>
      <c r="I70" s="384"/>
      <c r="J70" s="384"/>
      <c r="K70" s="384"/>
      <c r="L70" s="384"/>
      <c r="N70" s="384"/>
      <c r="O70" s="384"/>
      <c r="P70" s="486"/>
      <c r="U70" s="4"/>
      <c r="V70" s="4"/>
      <c r="W70" s="4"/>
      <c r="X70" s="62"/>
      <c r="Y70" s="62"/>
    </row>
    <row r="71">
      <c r="A71" s="385"/>
      <c r="B71" s="414"/>
      <c r="C71" s="414"/>
      <c r="D71" s="414"/>
      <c r="E71" s="414"/>
      <c r="F71" s="414"/>
      <c r="G71" s="414"/>
      <c r="H71" s="414"/>
      <c r="I71" s="414"/>
      <c r="J71" s="414"/>
      <c r="K71" s="414"/>
      <c r="L71" s="384"/>
      <c r="M71" s="384"/>
      <c r="N71" s="384"/>
      <c r="O71" s="384"/>
      <c r="P71" s="387"/>
      <c r="Q71" s="384"/>
      <c r="R71" s="384"/>
      <c r="S71" s="384"/>
      <c r="T71" s="384"/>
      <c r="W71" s="384"/>
      <c r="X71" s="384"/>
      <c r="Y71" s="384"/>
    </row>
    <row r="72">
      <c r="A72" s="385"/>
      <c r="B72" s="483" t="s">
        <v>77</v>
      </c>
      <c r="C72" s="150"/>
      <c r="D72" s="150"/>
      <c r="E72" s="150"/>
      <c r="F72" s="150"/>
      <c r="G72" s="150"/>
      <c r="H72" s="150"/>
      <c r="I72" s="150"/>
      <c r="J72" s="150"/>
      <c r="K72" s="151"/>
      <c r="L72" s="384"/>
      <c r="M72" s="455" t="s">
        <v>194</v>
      </c>
      <c r="N72" s="150"/>
      <c r="O72" s="151"/>
      <c r="P72" s="387"/>
      <c r="Q72" s="384"/>
      <c r="R72" s="384"/>
      <c r="S72" s="384"/>
      <c r="T72" s="384"/>
      <c r="W72" s="384"/>
      <c r="X72" s="384"/>
      <c r="Y72" s="384"/>
    </row>
    <row r="73">
      <c r="A73" s="385"/>
      <c r="B73" s="498" t="s">
        <v>29</v>
      </c>
      <c r="D73" s="394" t="s">
        <v>140</v>
      </c>
      <c r="F73" s="394" t="s">
        <v>142</v>
      </c>
      <c r="H73" s="394" t="s">
        <v>141</v>
      </c>
      <c r="J73" s="394" t="s">
        <v>143</v>
      </c>
      <c r="K73" s="13"/>
      <c r="L73" s="414"/>
      <c r="M73" s="499" t="s">
        <v>195</v>
      </c>
      <c r="O73" s="13"/>
      <c r="P73" s="387"/>
      <c r="Q73" s="384"/>
      <c r="R73" s="384"/>
      <c r="S73" s="384"/>
      <c r="T73" s="384"/>
      <c r="W73" s="384"/>
      <c r="X73" s="384"/>
      <c r="Y73" s="384"/>
    </row>
    <row r="74">
      <c r="A74" s="385"/>
      <c r="B74" s="434"/>
      <c r="D74" s="394" t="s">
        <v>130</v>
      </c>
      <c r="E74" s="500" t="s">
        <v>139</v>
      </c>
      <c r="F74" s="394" t="s">
        <v>130</v>
      </c>
      <c r="G74" s="500" t="s">
        <v>139</v>
      </c>
      <c r="H74" s="394" t="s">
        <v>130</v>
      </c>
      <c r="I74" s="500" t="s">
        <v>139</v>
      </c>
      <c r="J74" s="394" t="s">
        <v>130</v>
      </c>
      <c r="K74" s="501" t="s">
        <v>139</v>
      </c>
      <c r="L74" s="502"/>
      <c r="M74" s="434"/>
      <c r="O74" s="13"/>
      <c r="P74" s="486"/>
      <c r="R74" s="384"/>
      <c r="S74" s="384"/>
      <c r="T74" s="384"/>
      <c r="W74" s="384"/>
      <c r="X74" s="384"/>
      <c r="Y74" s="384"/>
    </row>
    <row r="75">
      <c r="A75" s="385"/>
      <c r="B75" s="126" t="s">
        <v>83</v>
      </c>
      <c r="D75" s="236">
        <v>27.1</v>
      </c>
      <c r="E75" s="236">
        <v>25.5</v>
      </c>
      <c r="F75" s="236">
        <v>31.0</v>
      </c>
      <c r="G75" s="236">
        <v>28.9</v>
      </c>
      <c r="H75" s="236">
        <v>35.1</v>
      </c>
      <c r="I75" s="236">
        <v>33.1</v>
      </c>
      <c r="J75" s="236">
        <v>39.3</v>
      </c>
      <c r="K75" s="249">
        <v>37.2</v>
      </c>
      <c r="L75" s="502"/>
      <c r="M75" s="434"/>
      <c r="O75" s="13"/>
      <c r="P75" s="486"/>
      <c r="R75" s="384"/>
      <c r="S75" s="384"/>
      <c r="T75" s="384"/>
      <c r="W75" s="384"/>
      <c r="X75" s="384"/>
      <c r="Y75" s="384"/>
    </row>
    <row r="76">
      <c r="A76" s="385"/>
      <c r="B76" s="503" t="s">
        <v>86</v>
      </c>
      <c r="D76" s="504">
        <v>13412.0</v>
      </c>
      <c r="E76" s="504">
        <v>11288.0</v>
      </c>
      <c r="F76" s="504">
        <v>4574.0</v>
      </c>
      <c r="G76" s="504">
        <v>3692.0</v>
      </c>
      <c r="H76" s="504">
        <v>12600.0</v>
      </c>
      <c r="I76" s="504">
        <v>11923.0</v>
      </c>
      <c r="J76" s="504">
        <v>4530.0</v>
      </c>
      <c r="K76" s="505">
        <v>3999.0</v>
      </c>
      <c r="L76" s="502"/>
      <c r="M76" s="499" t="s">
        <v>196</v>
      </c>
      <c r="O76" s="13"/>
      <c r="P76" s="486"/>
      <c r="R76" s="384"/>
      <c r="S76" s="384"/>
      <c r="T76" s="384"/>
      <c r="W76" s="384"/>
      <c r="X76" s="384"/>
      <c r="Y76" s="384"/>
    </row>
    <row r="77">
      <c r="A77" s="385"/>
      <c r="B77" s="126" t="s">
        <v>89</v>
      </c>
      <c r="D77" s="506">
        <v>539.0</v>
      </c>
      <c r="E77" s="506">
        <v>487.0</v>
      </c>
      <c r="F77" s="507">
        <v>317.0</v>
      </c>
      <c r="G77" s="507">
        <v>279.0</v>
      </c>
      <c r="H77" s="506">
        <v>618.0</v>
      </c>
      <c r="I77" s="506">
        <v>559.0</v>
      </c>
      <c r="J77" s="507">
        <v>344.0</v>
      </c>
      <c r="K77" s="508">
        <v>304.0</v>
      </c>
      <c r="L77" s="502"/>
      <c r="M77" s="434"/>
      <c r="O77" s="13"/>
      <c r="P77" s="486"/>
      <c r="R77" s="384"/>
      <c r="S77" s="384"/>
      <c r="T77" s="384"/>
      <c r="W77" s="384"/>
      <c r="X77" s="384"/>
      <c r="Y77" s="384"/>
    </row>
    <row r="78">
      <c r="A78" s="509"/>
      <c r="B78" s="126" t="s">
        <v>92</v>
      </c>
      <c r="D78" s="510">
        <v>33.0</v>
      </c>
      <c r="E78" s="510">
        <v>28.3</v>
      </c>
      <c r="F78" s="510">
        <v>41.6</v>
      </c>
      <c r="G78" s="510">
        <v>36.2</v>
      </c>
      <c r="H78" s="510">
        <v>53.0</v>
      </c>
      <c r="I78" s="510">
        <v>47.6</v>
      </c>
      <c r="J78" s="510">
        <v>68.3</v>
      </c>
      <c r="K78" s="511">
        <v>60.1</v>
      </c>
      <c r="L78" s="512"/>
      <c r="M78" s="434"/>
      <c r="O78" s="13"/>
      <c r="P78" s="513"/>
      <c r="Q78" s="514"/>
      <c r="R78" s="515"/>
      <c r="S78" s="515"/>
      <c r="T78" s="515"/>
      <c r="U78" s="514"/>
      <c r="V78" s="514"/>
      <c r="W78" s="515"/>
      <c r="X78" s="515"/>
      <c r="Y78" s="515"/>
    </row>
    <row r="79">
      <c r="A79" s="385"/>
      <c r="B79" s="143" t="s">
        <v>197</v>
      </c>
      <c r="D79" s="510">
        <v>56.9</v>
      </c>
      <c r="E79" s="510">
        <v>43.7</v>
      </c>
      <c r="F79" s="516">
        <v>32.5</v>
      </c>
      <c r="G79" s="516">
        <v>31.1</v>
      </c>
      <c r="H79" s="510">
        <v>41.0</v>
      </c>
      <c r="I79" s="510">
        <v>50.8</v>
      </c>
      <c r="J79" s="516">
        <v>30.8</v>
      </c>
      <c r="K79" s="517">
        <v>29.6</v>
      </c>
      <c r="L79" s="502"/>
      <c r="M79" s="434"/>
      <c r="O79" s="13"/>
      <c r="P79" s="486"/>
      <c r="S79" s="384"/>
      <c r="T79" s="384"/>
      <c r="U79" s="384"/>
      <c r="V79" s="384"/>
      <c r="W79" s="384"/>
      <c r="X79" s="384"/>
      <c r="Y79" s="384"/>
    </row>
    <row r="80">
      <c r="A80" s="385"/>
      <c r="B80" s="126" t="s">
        <v>90</v>
      </c>
      <c r="D80" s="236">
        <v>1.686</v>
      </c>
      <c r="E80" s="236">
        <v>1.511</v>
      </c>
      <c r="F80" s="236">
        <v>0.944</v>
      </c>
      <c r="G80" s="236">
        <v>0.829</v>
      </c>
      <c r="H80" s="236">
        <v>1.901</v>
      </c>
      <c r="I80" s="236">
        <v>1.712</v>
      </c>
      <c r="J80" s="236">
        <v>1.021</v>
      </c>
      <c r="K80" s="249">
        <v>0.901</v>
      </c>
      <c r="L80" s="414"/>
      <c r="M80" s="434"/>
      <c r="O80" s="13"/>
      <c r="P80" s="387"/>
      <c r="S80" s="384"/>
      <c r="T80" s="384"/>
      <c r="U80" s="384"/>
      <c r="V80" s="384"/>
      <c r="W80" s="384"/>
      <c r="X80" s="384"/>
      <c r="Y80" s="384"/>
    </row>
    <row r="81">
      <c r="A81" s="385"/>
      <c r="B81" s="490" t="s">
        <v>93</v>
      </c>
      <c r="C81" s="7"/>
      <c r="D81" s="518">
        <f t="shared" ref="D81:K81" si="12">D78/9.81</f>
        <v>3.363914373</v>
      </c>
      <c r="E81" s="518">
        <f t="shared" si="12"/>
        <v>2.884811417</v>
      </c>
      <c r="F81" s="518">
        <f t="shared" si="12"/>
        <v>4.240570846</v>
      </c>
      <c r="G81" s="518">
        <f t="shared" si="12"/>
        <v>3.69011213</v>
      </c>
      <c r="H81" s="518">
        <f t="shared" si="12"/>
        <v>5.402650357</v>
      </c>
      <c r="I81" s="518">
        <f t="shared" si="12"/>
        <v>4.852191641</v>
      </c>
      <c r="J81" s="518">
        <f t="shared" si="12"/>
        <v>6.962283384</v>
      </c>
      <c r="K81" s="519">
        <f t="shared" si="12"/>
        <v>6.126401631</v>
      </c>
      <c r="L81" s="502"/>
      <c r="M81" s="499" t="s">
        <v>198</v>
      </c>
      <c r="O81" s="13"/>
      <c r="P81" s="486"/>
      <c r="R81" s="384"/>
      <c r="S81" s="384"/>
      <c r="T81" s="384"/>
      <c r="U81" s="384"/>
      <c r="V81" s="384"/>
      <c r="W81" s="384"/>
      <c r="X81" s="384"/>
      <c r="Y81" s="384"/>
    </row>
    <row r="82">
      <c r="A82" s="385"/>
      <c r="B82" s="502"/>
      <c r="C82" s="502"/>
      <c r="D82" s="502"/>
      <c r="E82" s="502"/>
      <c r="F82" s="502"/>
      <c r="G82" s="414"/>
      <c r="H82" s="414"/>
      <c r="I82" s="414"/>
      <c r="J82" s="414"/>
      <c r="K82" s="414"/>
      <c r="L82" s="74"/>
      <c r="M82" s="434"/>
      <c r="O82" s="13"/>
      <c r="P82" s="520"/>
      <c r="S82" s="384"/>
      <c r="T82" s="384"/>
      <c r="U82" s="384"/>
      <c r="V82" s="384"/>
      <c r="W82" s="384"/>
      <c r="X82" s="384"/>
      <c r="Y82" s="384"/>
    </row>
    <row r="83">
      <c r="A83" s="385"/>
      <c r="B83" s="483" t="s">
        <v>78</v>
      </c>
      <c r="C83" s="150"/>
      <c r="D83" s="150"/>
      <c r="E83" s="150"/>
      <c r="F83" s="150"/>
      <c r="G83" s="150"/>
      <c r="H83" s="150"/>
      <c r="I83" s="150"/>
      <c r="J83" s="150"/>
      <c r="K83" s="151"/>
      <c r="L83" s="414"/>
      <c r="M83" s="499" t="s">
        <v>199</v>
      </c>
      <c r="O83" s="13"/>
      <c r="P83" s="387"/>
      <c r="S83" s="384"/>
      <c r="T83" s="384"/>
      <c r="U83" s="384"/>
      <c r="V83" s="384"/>
      <c r="W83" s="384"/>
      <c r="X83" s="384"/>
      <c r="Y83" s="384"/>
    </row>
    <row r="84">
      <c r="A84" s="385"/>
      <c r="B84" s="498" t="s">
        <v>29</v>
      </c>
      <c r="D84" s="394" t="s">
        <v>140</v>
      </c>
      <c r="F84" s="394" t="s">
        <v>142</v>
      </c>
      <c r="H84" s="394" t="s">
        <v>141</v>
      </c>
      <c r="J84" s="394" t="s">
        <v>143</v>
      </c>
      <c r="K84" s="13"/>
      <c r="L84" s="414"/>
      <c r="M84" s="434"/>
      <c r="O84" s="13"/>
      <c r="P84" s="387"/>
      <c r="S84" s="384"/>
      <c r="T84" s="384"/>
      <c r="U84" s="384"/>
      <c r="V84" s="384"/>
      <c r="W84" s="384"/>
      <c r="X84" s="384"/>
      <c r="Y84" s="384"/>
    </row>
    <row r="85">
      <c r="A85" s="385"/>
      <c r="B85" s="434"/>
      <c r="D85" s="394" t="s">
        <v>130</v>
      </c>
      <c r="E85" s="500" t="s">
        <v>139</v>
      </c>
      <c r="F85" s="394" t="s">
        <v>130</v>
      </c>
      <c r="G85" s="500" t="s">
        <v>139</v>
      </c>
      <c r="H85" s="394" t="s">
        <v>130</v>
      </c>
      <c r="I85" s="500" t="s">
        <v>139</v>
      </c>
      <c r="J85" s="394" t="s">
        <v>130</v>
      </c>
      <c r="K85" s="501" t="s">
        <v>139</v>
      </c>
      <c r="L85" s="384"/>
      <c r="M85" s="499" t="s">
        <v>200</v>
      </c>
      <c r="O85" s="13"/>
      <c r="P85" s="387"/>
      <c r="S85" s="384"/>
      <c r="T85" s="384"/>
      <c r="U85" s="384"/>
      <c r="V85" s="384"/>
      <c r="W85" s="384"/>
      <c r="X85" s="384"/>
      <c r="Y85" s="384"/>
    </row>
    <row r="86">
      <c r="A86" s="385"/>
      <c r="B86" s="521" t="s">
        <v>81</v>
      </c>
      <c r="D86" s="522">
        <v>38262.0</v>
      </c>
      <c r="E86" s="522">
        <v>34104.0</v>
      </c>
      <c r="F86" s="522">
        <v>15231.0</v>
      </c>
      <c r="G86" s="522">
        <v>13071.0</v>
      </c>
      <c r="H86" s="522">
        <v>38006.0</v>
      </c>
      <c r="I86" s="522">
        <v>34775.0</v>
      </c>
      <c r="J86" s="522">
        <v>15047.0</v>
      </c>
      <c r="K86" s="523">
        <v>13440.0</v>
      </c>
      <c r="L86" s="384"/>
      <c r="M86" s="434"/>
      <c r="O86" s="13"/>
      <c r="P86" s="387"/>
      <c r="S86" s="384"/>
      <c r="T86" s="384"/>
      <c r="U86" s="384"/>
      <c r="V86" s="384"/>
      <c r="W86" s="384"/>
      <c r="X86" s="384"/>
      <c r="Y86" s="384"/>
    </row>
    <row r="87">
      <c r="A87" s="385"/>
      <c r="B87" s="524" t="s">
        <v>84</v>
      </c>
      <c r="D87" s="525">
        <v>1762.1</v>
      </c>
      <c r="E87" s="525">
        <v>1602.3</v>
      </c>
      <c r="F87" s="525">
        <v>1069.0</v>
      </c>
      <c r="G87" s="525">
        <v>939.5</v>
      </c>
      <c r="H87" s="525">
        <v>1984.1</v>
      </c>
      <c r="I87" s="525">
        <v>1806.3</v>
      </c>
      <c r="J87" s="525">
        <v>1142.5</v>
      </c>
      <c r="K87" s="526">
        <v>1014.4</v>
      </c>
      <c r="L87" s="384"/>
      <c r="M87" s="434"/>
      <c r="O87" s="13"/>
      <c r="P87" s="387"/>
      <c r="S87" s="384"/>
      <c r="T87" s="384"/>
      <c r="U87" s="384"/>
      <c r="V87" s="384"/>
      <c r="W87" s="384"/>
      <c r="X87" s="384"/>
      <c r="Y87" s="384"/>
    </row>
    <row r="88">
      <c r="A88" s="509"/>
      <c r="B88" s="527" t="s">
        <v>197</v>
      </c>
      <c r="D88" s="528">
        <v>52.7</v>
      </c>
      <c r="E88" s="528">
        <v>51.1</v>
      </c>
      <c r="F88" s="528">
        <v>32.8</v>
      </c>
      <c r="G88" s="528">
        <v>31.3</v>
      </c>
      <c r="H88" s="528">
        <v>48.7</v>
      </c>
      <c r="I88" s="528">
        <v>47.7</v>
      </c>
      <c r="J88" s="528">
        <v>31.1</v>
      </c>
      <c r="K88" s="529">
        <v>30.1</v>
      </c>
      <c r="L88" s="515"/>
      <c r="M88" s="434"/>
      <c r="O88" s="13"/>
      <c r="P88" s="530"/>
      <c r="Q88" s="515"/>
      <c r="R88" s="515"/>
      <c r="S88" s="515"/>
      <c r="T88" s="515"/>
      <c r="U88" s="515"/>
      <c r="V88" s="515"/>
      <c r="W88" s="515"/>
      <c r="X88" s="515"/>
      <c r="Y88" s="515"/>
    </row>
    <row r="89">
      <c r="A89" s="385"/>
      <c r="B89" s="527" t="s">
        <v>201</v>
      </c>
      <c r="D89" s="531">
        <v>1.678</v>
      </c>
      <c r="E89" s="531">
        <v>1.5157</v>
      </c>
      <c r="F89" s="531">
        <v>0.9718</v>
      </c>
      <c r="G89" s="531">
        <v>0.8524</v>
      </c>
      <c r="H89" s="531">
        <v>1.86</v>
      </c>
      <c r="I89" s="531">
        <v>1.686</v>
      </c>
      <c r="J89" s="531">
        <v>1.0341</v>
      </c>
      <c r="K89" s="532">
        <v>0.9171</v>
      </c>
      <c r="L89" s="384"/>
      <c r="M89" s="499" t="s">
        <v>202</v>
      </c>
      <c r="O89" s="13"/>
      <c r="P89" s="387"/>
      <c r="Q89" s="384"/>
      <c r="R89" s="384"/>
      <c r="S89" s="384"/>
      <c r="T89" s="384"/>
      <c r="U89" s="384"/>
      <c r="V89" s="384"/>
      <c r="W89" s="384"/>
      <c r="X89" s="384"/>
      <c r="Y89" s="384"/>
    </row>
    <row r="90">
      <c r="A90" s="385"/>
      <c r="B90" s="527" t="s">
        <v>203</v>
      </c>
      <c r="D90" s="531">
        <v>91.7</v>
      </c>
      <c r="E90" s="531">
        <v>86.4</v>
      </c>
      <c r="F90" s="531">
        <v>101.8</v>
      </c>
      <c r="G90" s="531">
        <v>94.6</v>
      </c>
      <c r="H90" s="531">
        <v>116.1</v>
      </c>
      <c r="I90" s="531">
        <v>111.2</v>
      </c>
      <c r="J90" s="531">
        <v>129.4</v>
      </c>
      <c r="K90" s="532">
        <v>123.0</v>
      </c>
      <c r="L90" s="384"/>
      <c r="M90" s="434"/>
      <c r="O90" s="13"/>
      <c r="P90" s="387"/>
      <c r="Q90" s="384"/>
      <c r="R90" s="384"/>
      <c r="S90" s="384"/>
      <c r="T90" s="384"/>
      <c r="U90" s="384"/>
      <c r="V90" s="384"/>
      <c r="W90" s="384"/>
      <c r="X90" s="384"/>
      <c r="Y90" s="384"/>
    </row>
    <row r="91">
      <c r="A91" s="385"/>
      <c r="B91" s="527" t="s">
        <v>204</v>
      </c>
      <c r="D91" s="531">
        <f t="shared" ref="D91:K91" si="13">D90/3.281</f>
        <v>27.9487961</v>
      </c>
      <c r="E91" s="531">
        <f t="shared" si="13"/>
        <v>26.33343493</v>
      </c>
      <c r="F91" s="531">
        <f t="shared" si="13"/>
        <v>31.02712588</v>
      </c>
      <c r="G91" s="531">
        <f t="shared" si="13"/>
        <v>28.83267297</v>
      </c>
      <c r="H91" s="531">
        <f t="shared" si="13"/>
        <v>35.38555319</v>
      </c>
      <c r="I91" s="531">
        <f t="shared" si="13"/>
        <v>33.89210607</v>
      </c>
      <c r="J91" s="531">
        <f t="shared" si="13"/>
        <v>39.43919537</v>
      </c>
      <c r="K91" s="532">
        <f t="shared" si="13"/>
        <v>37.48857056</v>
      </c>
      <c r="L91" s="384"/>
      <c r="M91" s="434"/>
      <c r="O91" s="13"/>
      <c r="P91" s="387"/>
      <c r="Q91" s="384"/>
      <c r="R91" s="384"/>
      <c r="S91" s="384"/>
      <c r="T91" s="384"/>
      <c r="U91" s="384"/>
      <c r="V91" s="384"/>
      <c r="W91" s="384"/>
      <c r="X91" s="384"/>
      <c r="Y91" s="384"/>
    </row>
    <row r="92">
      <c r="A92" s="385"/>
      <c r="B92" s="521" t="s">
        <v>86</v>
      </c>
      <c r="D92" s="522">
        <f t="shared" ref="D92:K92" si="14">D86/3.281</f>
        <v>11661.68851</v>
      </c>
      <c r="E92" s="522">
        <f t="shared" si="14"/>
        <v>10394.39195</v>
      </c>
      <c r="F92" s="522">
        <f t="shared" si="14"/>
        <v>4642.182262</v>
      </c>
      <c r="G92" s="522">
        <f t="shared" si="14"/>
        <v>3983.846388</v>
      </c>
      <c r="H92" s="522">
        <f t="shared" si="14"/>
        <v>11583.66352</v>
      </c>
      <c r="I92" s="522">
        <f t="shared" si="14"/>
        <v>10598.90277</v>
      </c>
      <c r="J92" s="522">
        <f t="shared" si="14"/>
        <v>4586.101798</v>
      </c>
      <c r="K92" s="523">
        <f t="shared" si="14"/>
        <v>4096.3121</v>
      </c>
      <c r="L92" s="384"/>
      <c r="M92" s="434"/>
      <c r="O92" s="13"/>
      <c r="P92" s="387"/>
      <c r="Q92" s="384"/>
      <c r="R92" s="384"/>
      <c r="S92" s="384"/>
      <c r="T92" s="384"/>
      <c r="U92" s="384"/>
      <c r="V92" s="384"/>
      <c r="W92" s="384"/>
      <c r="X92" s="384"/>
      <c r="Y92" s="384"/>
    </row>
    <row r="93">
      <c r="A93" s="385"/>
      <c r="B93" s="490" t="s">
        <v>89</v>
      </c>
      <c r="C93" s="7"/>
      <c r="D93" s="518">
        <f t="shared" ref="D93:K93" si="15">D87/3.281</f>
        <v>537.0618714</v>
      </c>
      <c r="E93" s="518">
        <f t="shared" si="15"/>
        <v>488.3572082</v>
      </c>
      <c r="F93" s="518">
        <f t="shared" si="15"/>
        <v>325.8153002</v>
      </c>
      <c r="G93" s="518">
        <f t="shared" si="15"/>
        <v>286.3456263</v>
      </c>
      <c r="H93" s="518">
        <f t="shared" si="15"/>
        <v>604.7241695</v>
      </c>
      <c r="I93" s="518">
        <f t="shared" si="15"/>
        <v>550.533374</v>
      </c>
      <c r="J93" s="518">
        <f t="shared" si="15"/>
        <v>348.217007</v>
      </c>
      <c r="K93" s="519">
        <f t="shared" si="15"/>
        <v>309.1740323</v>
      </c>
      <c r="L93" s="384"/>
      <c r="M93" s="434"/>
      <c r="O93" s="13"/>
      <c r="P93" s="387"/>
      <c r="Q93" s="384"/>
      <c r="R93" s="384"/>
      <c r="S93" s="384"/>
      <c r="T93" s="384"/>
      <c r="U93" s="384"/>
      <c r="V93" s="384"/>
      <c r="W93" s="384"/>
      <c r="X93" s="384"/>
      <c r="Y93" s="384"/>
    </row>
    <row r="94">
      <c r="A94" s="509"/>
      <c r="B94" s="384"/>
      <c r="C94" s="384"/>
      <c r="D94" s="384"/>
      <c r="E94" s="384"/>
      <c r="F94" s="384"/>
      <c r="G94" s="384"/>
      <c r="H94" s="384"/>
      <c r="I94" s="384"/>
      <c r="J94" s="384"/>
      <c r="K94" s="384"/>
      <c r="L94" s="515"/>
      <c r="M94" s="499" t="s">
        <v>205</v>
      </c>
      <c r="O94" s="13"/>
      <c r="P94" s="530"/>
      <c r="Q94" s="515"/>
      <c r="R94" s="515"/>
      <c r="S94" s="515"/>
      <c r="T94" s="515"/>
      <c r="U94" s="515"/>
      <c r="V94" s="515"/>
      <c r="W94" s="515"/>
      <c r="X94" s="515"/>
      <c r="Y94" s="515"/>
    </row>
    <row r="95">
      <c r="A95" s="385"/>
      <c r="B95" s="384"/>
      <c r="C95" s="384"/>
      <c r="D95" s="384"/>
      <c r="E95" s="384"/>
      <c r="F95" s="384"/>
      <c r="G95" s="384"/>
      <c r="H95" s="384"/>
      <c r="I95" s="384"/>
      <c r="J95" s="384"/>
      <c r="K95" s="384"/>
      <c r="L95" s="384"/>
      <c r="M95" s="434"/>
      <c r="O95" s="13"/>
      <c r="P95" s="387"/>
      <c r="Q95" s="384"/>
      <c r="R95" s="384"/>
      <c r="S95" s="384"/>
      <c r="T95" s="384"/>
      <c r="U95" s="384"/>
      <c r="V95" s="384"/>
      <c r="W95" s="384"/>
      <c r="X95" s="384"/>
      <c r="Y95" s="384"/>
    </row>
    <row r="96">
      <c r="A96" s="385"/>
      <c r="B96" s="533" t="s">
        <v>206</v>
      </c>
      <c r="C96" s="150"/>
      <c r="D96" s="150"/>
      <c r="E96" s="150"/>
      <c r="F96" s="150"/>
      <c r="G96" s="150"/>
      <c r="H96" s="150"/>
      <c r="I96" s="150"/>
      <c r="J96" s="150"/>
      <c r="K96" s="151"/>
      <c r="L96" s="384"/>
      <c r="M96" s="434"/>
      <c r="O96" s="13"/>
      <c r="P96" s="387"/>
      <c r="Q96" s="384"/>
      <c r="R96" s="384"/>
      <c r="S96" s="384"/>
      <c r="T96" s="384"/>
      <c r="U96" s="384"/>
      <c r="V96" s="384"/>
      <c r="W96" s="384"/>
      <c r="X96" s="384"/>
      <c r="Y96" s="384"/>
    </row>
    <row r="97">
      <c r="A97" s="385"/>
      <c r="B97" s="498" t="s">
        <v>29</v>
      </c>
      <c r="D97" s="394" t="s">
        <v>140</v>
      </c>
      <c r="F97" s="394" t="s">
        <v>142</v>
      </c>
      <c r="H97" s="394" t="s">
        <v>141</v>
      </c>
      <c r="J97" s="394" t="s">
        <v>143</v>
      </c>
      <c r="K97" s="13"/>
      <c r="L97" s="384"/>
      <c r="M97" s="434"/>
      <c r="O97" s="13"/>
      <c r="P97" s="387"/>
      <c r="Q97" s="384"/>
      <c r="R97" s="384"/>
      <c r="S97" s="384"/>
      <c r="T97" s="534"/>
      <c r="U97" s="384"/>
      <c r="V97" s="384"/>
      <c r="W97" s="384"/>
      <c r="X97" s="384"/>
      <c r="Y97" s="384"/>
    </row>
    <row r="98">
      <c r="A98" s="385"/>
      <c r="B98" s="434"/>
      <c r="D98" s="394" t="s">
        <v>130</v>
      </c>
      <c r="E98" s="500" t="s">
        <v>139</v>
      </c>
      <c r="F98" s="394" t="s">
        <v>130</v>
      </c>
      <c r="G98" s="500" t="s">
        <v>139</v>
      </c>
      <c r="H98" s="394" t="s">
        <v>130</v>
      </c>
      <c r="I98" s="500" t="s">
        <v>139</v>
      </c>
      <c r="J98" s="394" t="s">
        <v>130</v>
      </c>
      <c r="K98" s="501" t="s">
        <v>139</v>
      </c>
      <c r="L98" s="384"/>
      <c r="M98" s="434"/>
      <c r="O98" s="13"/>
      <c r="P98" s="387"/>
      <c r="Q98" s="384"/>
      <c r="R98" s="384"/>
      <c r="S98" s="384"/>
      <c r="T98" s="384"/>
      <c r="U98" s="384"/>
      <c r="V98" s="384"/>
      <c r="W98" s="384"/>
      <c r="X98" s="384"/>
      <c r="Y98" s="384"/>
    </row>
    <row r="99">
      <c r="A99" s="385"/>
      <c r="B99" s="535" t="s">
        <v>82</v>
      </c>
      <c r="D99" s="536">
        <f t="shared" ref="D99:K99" si="16">-(D76-D92)/D76</f>
        <v>-0.1305033918</v>
      </c>
      <c r="E99" s="536">
        <f t="shared" si="16"/>
        <v>-0.0791644265</v>
      </c>
      <c r="F99" s="536">
        <f t="shared" si="16"/>
        <v>0.01490648481</v>
      </c>
      <c r="G99" s="536">
        <f t="shared" si="16"/>
        <v>0.07904831752</v>
      </c>
      <c r="H99" s="536">
        <f t="shared" si="16"/>
        <v>-0.08066162562</v>
      </c>
      <c r="I99" s="536">
        <f t="shared" si="16"/>
        <v>-0.1110540322</v>
      </c>
      <c r="J99" s="536">
        <f t="shared" si="16"/>
        <v>0.01238450292</v>
      </c>
      <c r="K99" s="537">
        <f t="shared" si="16"/>
        <v>0.02433410852</v>
      </c>
      <c r="L99" s="384"/>
      <c r="M99" s="434"/>
      <c r="O99" s="13"/>
      <c r="P99" s="387"/>
      <c r="Q99" s="384"/>
      <c r="R99" s="384"/>
      <c r="S99" s="384"/>
      <c r="T99" s="384"/>
      <c r="U99" s="384"/>
      <c r="V99" s="384"/>
      <c r="W99" s="384"/>
      <c r="X99" s="384"/>
      <c r="Y99" s="384"/>
    </row>
    <row r="100">
      <c r="A100" s="385"/>
      <c r="B100" s="538" t="s">
        <v>207</v>
      </c>
      <c r="D100" s="536">
        <f t="shared" ref="D100:K100" si="17">-(D80-D89)/D80</f>
        <v>-0.004744958482</v>
      </c>
      <c r="E100" s="536">
        <f t="shared" si="17"/>
        <v>0.003110522833</v>
      </c>
      <c r="F100" s="536">
        <f t="shared" si="17"/>
        <v>0.02944915254</v>
      </c>
      <c r="G100" s="536">
        <f t="shared" si="17"/>
        <v>0.02822677925</v>
      </c>
      <c r="H100" s="536">
        <f t="shared" si="17"/>
        <v>-0.021567596</v>
      </c>
      <c r="I100" s="536">
        <f t="shared" si="17"/>
        <v>-0.01518691589</v>
      </c>
      <c r="J100" s="536">
        <f t="shared" si="17"/>
        <v>0.01283055828</v>
      </c>
      <c r="K100" s="537">
        <f t="shared" si="17"/>
        <v>0.01786903441</v>
      </c>
      <c r="L100" s="384"/>
      <c r="M100" s="539"/>
      <c r="O100" s="13"/>
      <c r="P100" s="387"/>
      <c r="Q100" s="384"/>
      <c r="R100" s="384"/>
      <c r="S100" s="384"/>
      <c r="T100" s="384"/>
      <c r="U100" s="384"/>
      <c r="V100" s="384"/>
      <c r="W100" s="384"/>
      <c r="X100" s="384"/>
      <c r="Y100" s="384"/>
    </row>
    <row r="101">
      <c r="A101" s="385"/>
      <c r="B101" s="538" t="s">
        <v>208</v>
      </c>
      <c r="D101" s="536">
        <f t="shared" ref="D101:K101" si="18">-(D79-D88)/D79</f>
        <v>-0.07381370826</v>
      </c>
      <c r="E101" s="536">
        <f t="shared" si="18"/>
        <v>0.1693363844</v>
      </c>
      <c r="F101" s="536">
        <f t="shared" si="18"/>
        <v>0.009230769231</v>
      </c>
      <c r="G101" s="536">
        <f t="shared" si="18"/>
        <v>0.006430868167</v>
      </c>
      <c r="H101" s="536">
        <f t="shared" si="18"/>
        <v>0.187804878</v>
      </c>
      <c r="I101" s="536">
        <f t="shared" si="18"/>
        <v>-0.06102362205</v>
      </c>
      <c r="J101" s="536">
        <f t="shared" si="18"/>
        <v>0.00974025974</v>
      </c>
      <c r="K101" s="537">
        <f t="shared" si="18"/>
        <v>0.01689189189</v>
      </c>
      <c r="L101" s="384"/>
      <c r="M101" s="539"/>
      <c r="O101" s="13"/>
      <c r="P101" s="387"/>
      <c r="Q101" s="384"/>
      <c r="R101" s="384"/>
      <c r="S101" s="384"/>
      <c r="T101" s="384"/>
      <c r="U101" s="384"/>
      <c r="V101" s="384"/>
      <c r="W101" s="384"/>
      <c r="X101" s="384"/>
      <c r="Y101" s="384"/>
    </row>
    <row r="102">
      <c r="A102" s="385"/>
      <c r="B102" s="540" t="s">
        <v>209</v>
      </c>
      <c r="C102" s="7"/>
      <c r="D102" s="541">
        <f t="shared" ref="D102:K102" si="19">-(D75-D91)/D75</f>
        <v>0.03132088925</v>
      </c>
      <c r="E102" s="541">
        <f t="shared" si="19"/>
        <v>0.03268372268</v>
      </c>
      <c r="F102" s="541">
        <f t="shared" si="19"/>
        <v>0.0008750282664</v>
      </c>
      <c r="G102" s="541">
        <f t="shared" si="19"/>
        <v>-0.002329655171</v>
      </c>
      <c r="H102" s="541">
        <f t="shared" si="19"/>
        <v>0.008135418376</v>
      </c>
      <c r="I102" s="541">
        <f t="shared" si="19"/>
        <v>0.02393069683</v>
      </c>
      <c r="J102" s="541">
        <f t="shared" si="19"/>
        <v>0.003541866852</v>
      </c>
      <c r="K102" s="542">
        <f t="shared" si="19"/>
        <v>0.007757273058</v>
      </c>
      <c r="L102" s="384"/>
      <c r="M102" s="543"/>
      <c r="N102" s="7"/>
      <c r="O102" s="8"/>
      <c r="P102" s="486"/>
      <c r="X102" s="384"/>
      <c r="Y102" s="384"/>
    </row>
    <row r="103">
      <c r="A103" s="385"/>
      <c r="L103" s="384"/>
      <c r="O103" s="384"/>
      <c r="P103" s="486"/>
      <c r="X103" s="384"/>
      <c r="Y103" s="384"/>
    </row>
    <row r="104">
      <c r="A104" s="444"/>
      <c r="B104" s="494"/>
      <c r="C104" s="494"/>
      <c r="D104" s="494"/>
      <c r="E104" s="494"/>
      <c r="F104" s="494"/>
      <c r="G104" s="494"/>
      <c r="H104" s="494"/>
      <c r="I104" s="494"/>
      <c r="J104" s="494"/>
      <c r="K104" s="494"/>
      <c r="L104" s="480"/>
      <c r="M104" s="494"/>
      <c r="N104" s="494"/>
      <c r="O104" s="480"/>
      <c r="P104" s="495"/>
      <c r="X104" s="384"/>
      <c r="Y104" s="384"/>
    </row>
    <row r="105">
      <c r="A105" s="384"/>
      <c r="B105" s="384"/>
      <c r="C105" s="384"/>
      <c r="D105" s="384"/>
      <c r="E105" s="384"/>
      <c r="F105" s="384"/>
      <c r="G105" s="384"/>
      <c r="H105" s="384"/>
      <c r="I105" s="384"/>
      <c r="J105" s="384"/>
      <c r="K105" s="384"/>
      <c r="L105" s="384"/>
      <c r="O105" s="384"/>
      <c r="X105" s="384"/>
      <c r="Y105" s="384"/>
    </row>
    <row r="106">
      <c r="A106" s="384"/>
      <c r="B106" s="384"/>
      <c r="C106" s="384"/>
      <c r="D106" s="384"/>
      <c r="E106" s="384"/>
      <c r="F106" s="384"/>
      <c r="G106" s="384"/>
      <c r="H106" s="384"/>
      <c r="I106" s="384"/>
      <c r="J106" s="384"/>
      <c r="K106" s="384"/>
      <c r="L106" s="384"/>
      <c r="M106" s="384"/>
      <c r="N106" s="384"/>
      <c r="O106" s="384"/>
      <c r="X106" s="384"/>
      <c r="Y106" s="384"/>
    </row>
    <row r="107">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row>
    <row r="108">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row>
    <row r="898">
      <c r="A898" s="384"/>
      <c r="B898" s="384"/>
      <c r="C898" s="384"/>
      <c r="D898" s="384"/>
      <c r="E898" s="384"/>
      <c r="F898" s="384"/>
      <c r="G898" s="384"/>
      <c r="H898" s="384"/>
      <c r="I898" s="384"/>
      <c r="J898" s="384"/>
      <c r="K898" s="384"/>
      <c r="L898" s="384"/>
      <c r="M898" s="384"/>
      <c r="N898" s="384"/>
      <c r="O898" s="384"/>
      <c r="P898" s="384"/>
      <c r="Q898" s="384"/>
      <c r="R898" s="384"/>
      <c r="S898" s="384"/>
      <c r="T898" s="384"/>
      <c r="U898" s="384"/>
      <c r="V898" s="384"/>
      <c r="W898" s="384"/>
      <c r="X898" s="384"/>
      <c r="Y898" s="384"/>
    </row>
    <row r="899">
      <c r="A899" s="384"/>
      <c r="B899" s="384"/>
      <c r="C899" s="384"/>
      <c r="D899" s="384"/>
      <c r="E899" s="384"/>
      <c r="F899" s="384"/>
      <c r="G899" s="384"/>
      <c r="H899" s="384"/>
      <c r="I899" s="384"/>
      <c r="J899" s="384"/>
      <c r="K899" s="384"/>
      <c r="L899" s="384"/>
      <c r="M899" s="384"/>
      <c r="N899" s="384"/>
      <c r="O899" s="384"/>
      <c r="P899" s="384"/>
      <c r="Q899" s="384"/>
      <c r="R899" s="384"/>
      <c r="S899" s="384"/>
      <c r="T899" s="384"/>
      <c r="U899" s="384"/>
      <c r="V899" s="384"/>
      <c r="W899" s="384"/>
      <c r="X899" s="384"/>
      <c r="Y899" s="384"/>
    </row>
    <row r="900">
      <c r="A900" s="384"/>
      <c r="B900" s="384"/>
      <c r="C900" s="384"/>
      <c r="D900" s="384"/>
      <c r="E900" s="384"/>
      <c r="F900" s="384"/>
      <c r="G900" s="384"/>
      <c r="H900" s="384"/>
      <c r="I900" s="384"/>
      <c r="J900" s="384"/>
      <c r="K900" s="384"/>
      <c r="L900" s="384"/>
      <c r="M900" s="384"/>
      <c r="N900" s="384"/>
      <c r="O900" s="384"/>
      <c r="P900" s="384"/>
      <c r="Q900" s="384"/>
      <c r="R900" s="384"/>
      <c r="S900" s="384"/>
      <c r="T900" s="384"/>
      <c r="U900" s="384"/>
      <c r="V900" s="384"/>
      <c r="W900" s="384"/>
      <c r="X900" s="384"/>
      <c r="Y900" s="384"/>
    </row>
    <row r="901">
      <c r="A901" s="384"/>
      <c r="B901" s="384"/>
      <c r="C901" s="384"/>
      <c r="D901" s="384"/>
      <c r="E901" s="384"/>
      <c r="F901" s="384"/>
      <c r="G901" s="384"/>
      <c r="H901" s="384"/>
      <c r="I901" s="384"/>
      <c r="J901" s="384"/>
      <c r="K901" s="384"/>
      <c r="L901" s="384"/>
      <c r="M901" s="384"/>
      <c r="N901" s="384"/>
      <c r="O901" s="384"/>
      <c r="P901" s="384"/>
      <c r="Q901" s="384"/>
      <c r="R901" s="384"/>
      <c r="S901" s="384"/>
      <c r="T901" s="384"/>
      <c r="U901" s="384"/>
      <c r="V901" s="384"/>
      <c r="W901" s="384"/>
      <c r="X901" s="384"/>
      <c r="Y901" s="384"/>
    </row>
    <row r="902">
      <c r="A902" s="384"/>
      <c r="B902" s="384"/>
      <c r="C902" s="384"/>
      <c r="D902" s="384"/>
      <c r="E902" s="384"/>
      <c r="F902" s="384"/>
      <c r="G902" s="384"/>
      <c r="H902" s="384"/>
      <c r="I902" s="384"/>
      <c r="J902" s="384"/>
      <c r="K902" s="384"/>
      <c r="L902" s="384"/>
      <c r="M902" s="384"/>
      <c r="N902" s="384"/>
      <c r="O902" s="384"/>
      <c r="P902" s="384"/>
      <c r="Q902" s="384"/>
      <c r="R902" s="384"/>
      <c r="S902" s="384"/>
      <c r="T902" s="384"/>
      <c r="U902" s="384"/>
      <c r="V902" s="384"/>
      <c r="W902" s="384"/>
      <c r="X902" s="384"/>
      <c r="Y902" s="384"/>
    </row>
    <row r="903">
      <c r="A903" s="384"/>
      <c r="B903" s="384"/>
      <c r="C903" s="384"/>
      <c r="D903" s="384"/>
      <c r="E903" s="384"/>
      <c r="F903" s="384"/>
      <c r="G903" s="384"/>
      <c r="H903" s="384"/>
      <c r="I903" s="384"/>
      <c r="J903" s="384"/>
      <c r="K903" s="384"/>
      <c r="L903" s="384"/>
      <c r="M903" s="384"/>
      <c r="N903" s="384"/>
      <c r="O903" s="384"/>
      <c r="P903" s="384"/>
      <c r="Q903" s="384"/>
      <c r="R903" s="384"/>
      <c r="S903" s="384"/>
      <c r="T903" s="384"/>
      <c r="U903" s="384"/>
      <c r="V903" s="384"/>
      <c r="W903" s="384"/>
      <c r="X903" s="384"/>
      <c r="Y903" s="384"/>
    </row>
    <row r="904">
      <c r="A904" s="384"/>
      <c r="B904" s="384"/>
      <c r="C904" s="384"/>
      <c r="D904" s="384"/>
      <c r="E904" s="384"/>
      <c r="F904" s="384"/>
      <c r="G904" s="384"/>
      <c r="H904" s="384"/>
      <c r="I904" s="384"/>
      <c r="J904" s="384"/>
      <c r="K904" s="384"/>
      <c r="L904" s="384"/>
      <c r="M904" s="384"/>
      <c r="N904" s="384"/>
      <c r="O904" s="384"/>
      <c r="P904" s="384"/>
      <c r="Q904" s="384"/>
      <c r="R904" s="384"/>
      <c r="S904" s="384"/>
      <c r="T904" s="384"/>
      <c r="U904" s="384"/>
      <c r="V904" s="384"/>
      <c r="W904" s="384"/>
      <c r="X904" s="384"/>
      <c r="Y904" s="384"/>
    </row>
    <row r="905">
      <c r="A905" s="384"/>
      <c r="B905" s="384"/>
      <c r="C905" s="384"/>
      <c r="D905" s="384"/>
      <c r="E905" s="384"/>
      <c r="F905" s="384"/>
      <c r="G905" s="384"/>
      <c r="H905" s="384"/>
      <c r="I905" s="384"/>
      <c r="J905" s="384"/>
      <c r="K905" s="384"/>
      <c r="L905" s="384"/>
      <c r="M905" s="384"/>
      <c r="N905" s="384"/>
      <c r="O905" s="384"/>
      <c r="P905" s="384"/>
      <c r="Q905" s="384"/>
      <c r="R905" s="384"/>
      <c r="S905" s="384"/>
      <c r="T905" s="384"/>
      <c r="U905" s="384"/>
      <c r="V905" s="384"/>
      <c r="W905" s="384"/>
      <c r="X905" s="384"/>
      <c r="Y905" s="384"/>
    </row>
    <row r="906">
      <c r="A906" s="384"/>
      <c r="B906" s="384"/>
      <c r="C906" s="384"/>
      <c r="D906" s="384"/>
      <c r="E906" s="384"/>
      <c r="F906" s="384"/>
      <c r="G906" s="384"/>
      <c r="H906" s="384"/>
      <c r="I906" s="384"/>
      <c r="J906" s="384"/>
      <c r="K906" s="384"/>
      <c r="L906" s="384"/>
      <c r="M906" s="384"/>
      <c r="N906" s="384"/>
      <c r="O906" s="384"/>
      <c r="P906" s="384"/>
      <c r="Q906" s="384"/>
      <c r="R906" s="384"/>
      <c r="S906" s="384"/>
      <c r="T906" s="384"/>
      <c r="U906" s="384"/>
      <c r="V906" s="384"/>
      <c r="W906" s="384"/>
      <c r="X906" s="384"/>
      <c r="Y906" s="384"/>
    </row>
    <row r="907">
      <c r="A907" s="384"/>
      <c r="B907" s="384"/>
      <c r="C907" s="384"/>
      <c r="D907" s="384"/>
      <c r="E907" s="384"/>
      <c r="F907" s="384"/>
      <c r="G907" s="384"/>
      <c r="H907" s="384"/>
      <c r="I907" s="384"/>
      <c r="J907" s="384"/>
      <c r="K907" s="384"/>
      <c r="L907" s="384"/>
      <c r="M907" s="384"/>
      <c r="N907" s="384"/>
      <c r="O907" s="384"/>
      <c r="P907" s="384"/>
      <c r="Q907" s="384"/>
      <c r="R907" s="384"/>
      <c r="S907" s="384"/>
      <c r="T907" s="384"/>
      <c r="U907" s="384"/>
      <c r="V907" s="384"/>
      <c r="W907" s="384"/>
      <c r="X907" s="384"/>
      <c r="Y907" s="384"/>
    </row>
    <row r="908">
      <c r="A908" s="384"/>
      <c r="B908" s="384"/>
      <c r="C908" s="384"/>
      <c r="D908" s="384"/>
      <c r="E908" s="384"/>
      <c r="F908" s="384"/>
      <c r="G908" s="384"/>
      <c r="H908" s="384"/>
      <c r="I908" s="384"/>
      <c r="J908" s="384"/>
      <c r="K908" s="384"/>
      <c r="L908" s="384"/>
      <c r="M908" s="384"/>
      <c r="N908" s="384"/>
      <c r="O908" s="384"/>
      <c r="P908" s="384"/>
      <c r="Q908" s="384"/>
      <c r="R908" s="384"/>
      <c r="S908" s="384"/>
      <c r="T908" s="384"/>
      <c r="U908" s="384"/>
      <c r="V908" s="384"/>
      <c r="W908" s="384"/>
      <c r="X908" s="384"/>
      <c r="Y908" s="384"/>
    </row>
    <row r="909">
      <c r="A909" s="384"/>
      <c r="B909" s="384"/>
      <c r="C909" s="384"/>
      <c r="D909" s="384"/>
      <c r="E909" s="384"/>
      <c r="F909" s="384"/>
      <c r="G909" s="384"/>
      <c r="H909" s="384"/>
      <c r="I909" s="384"/>
      <c r="J909" s="384"/>
      <c r="K909" s="384"/>
      <c r="L909" s="384"/>
      <c r="M909" s="384"/>
      <c r="N909" s="384"/>
      <c r="O909" s="384"/>
      <c r="P909" s="384"/>
      <c r="Q909" s="384"/>
      <c r="R909" s="384"/>
      <c r="S909" s="384"/>
      <c r="T909" s="384"/>
      <c r="U909" s="384"/>
      <c r="V909" s="384"/>
      <c r="W909" s="384"/>
      <c r="X909" s="384"/>
      <c r="Y909" s="384"/>
    </row>
    <row r="910">
      <c r="A910" s="384"/>
      <c r="B910" s="384"/>
      <c r="C910" s="384"/>
      <c r="D910" s="384"/>
      <c r="E910" s="384"/>
      <c r="F910" s="384"/>
      <c r="G910" s="384"/>
      <c r="H910" s="384"/>
      <c r="I910" s="384"/>
      <c r="J910" s="384"/>
      <c r="K910" s="384"/>
      <c r="L910" s="384"/>
      <c r="M910" s="384"/>
      <c r="N910" s="384"/>
      <c r="O910" s="384"/>
      <c r="P910" s="384"/>
      <c r="Q910" s="384"/>
      <c r="R910" s="384"/>
      <c r="S910" s="384"/>
      <c r="T910" s="384"/>
      <c r="U910" s="384"/>
      <c r="V910" s="384"/>
      <c r="W910" s="384"/>
      <c r="X910" s="384"/>
      <c r="Y910" s="384"/>
    </row>
    <row r="911">
      <c r="A911" s="384"/>
      <c r="B911" s="384"/>
      <c r="C911" s="384"/>
      <c r="D911" s="384"/>
      <c r="E911" s="384"/>
      <c r="F911" s="384"/>
      <c r="G911" s="384"/>
      <c r="H911" s="384"/>
      <c r="I911" s="384"/>
      <c r="J911" s="384"/>
      <c r="K911" s="384"/>
      <c r="L911" s="384"/>
      <c r="M911" s="384"/>
      <c r="N911" s="384"/>
      <c r="O911" s="384"/>
      <c r="P911" s="384"/>
      <c r="Q911" s="384"/>
      <c r="R911" s="384"/>
      <c r="S911" s="384"/>
      <c r="T911" s="384"/>
      <c r="U911" s="384"/>
      <c r="V911" s="384"/>
      <c r="W911" s="384"/>
      <c r="X911" s="384"/>
      <c r="Y911" s="384"/>
    </row>
    <row r="912">
      <c r="A912" s="384"/>
      <c r="B912" s="384"/>
      <c r="C912" s="384"/>
      <c r="D912" s="384"/>
      <c r="E912" s="384"/>
      <c r="F912" s="384"/>
      <c r="G912" s="384"/>
      <c r="H912" s="384"/>
      <c r="I912" s="384"/>
      <c r="J912" s="384"/>
      <c r="K912" s="384"/>
      <c r="L912" s="384"/>
      <c r="M912" s="384"/>
      <c r="N912" s="384"/>
      <c r="O912" s="384"/>
      <c r="P912" s="384"/>
      <c r="Q912" s="384"/>
      <c r="R912" s="384"/>
      <c r="S912" s="384"/>
      <c r="T912" s="384"/>
      <c r="U912" s="384"/>
      <c r="V912" s="384"/>
      <c r="W912" s="384"/>
      <c r="X912" s="384"/>
      <c r="Y912" s="384"/>
    </row>
    <row r="913">
      <c r="A913" s="384"/>
      <c r="B913" s="384"/>
      <c r="C913" s="384"/>
      <c r="D913" s="384"/>
      <c r="E913" s="384"/>
      <c r="F913" s="384"/>
      <c r="G913" s="384"/>
      <c r="H913" s="384"/>
      <c r="I913" s="384"/>
      <c r="J913" s="384"/>
      <c r="K913" s="384"/>
      <c r="L913" s="384"/>
      <c r="M913" s="384"/>
      <c r="N913" s="384"/>
      <c r="O913" s="384"/>
      <c r="P913" s="384"/>
      <c r="Q913" s="384"/>
      <c r="R913" s="384"/>
      <c r="S913" s="384"/>
      <c r="T913" s="384"/>
      <c r="U913" s="384"/>
      <c r="V913" s="384"/>
      <c r="W913" s="384"/>
      <c r="X913" s="384"/>
      <c r="Y913" s="384"/>
    </row>
    <row r="914">
      <c r="A914" s="384"/>
      <c r="B914" s="384"/>
      <c r="C914" s="384"/>
      <c r="D914" s="384"/>
      <c r="E914" s="384"/>
      <c r="F914" s="384"/>
      <c r="G914" s="384"/>
      <c r="H914" s="384"/>
      <c r="I914" s="384"/>
      <c r="J914" s="384"/>
      <c r="K914" s="384"/>
      <c r="L914" s="384"/>
      <c r="M914" s="384"/>
      <c r="N914" s="384"/>
      <c r="O914" s="384"/>
      <c r="P914" s="384"/>
      <c r="Q914" s="384"/>
      <c r="R914" s="384"/>
      <c r="S914" s="384"/>
      <c r="T914" s="384"/>
      <c r="U914" s="384"/>
      <c r="V914" s="384"/>
      <c r="W914" s="384"/>
      <c r="X914" s="384"/>
      <c r="Y914" s="384"/>
    </row>
    <row r="915">
      <c r="A915" s="384"/>
      <c r="B915" s="384"/>
      <c r="C915" s="384"/>
      <c r="D915" s="384"/>
      <c r="E915" s="384"/>
      <c r="F915" s="384"/>
      <c r="G915" s="384"/>
      <c r="H915" s="384"/>
      <c r="I915" s="384"/>
      <c r="J915" s="384"/>
      <c r="K915" s="384"/>
      <c r="L915" s="384"/>
      <c r="M915" s="384"/>
      <c r="N915" s="384"/>
      <c r="O915" s="384"/>
      <c r="P915" s="384"/>
      <c r="Q915" s="384"/>
      <c r="R915" s="384"/>
      <c r="S915" s="384"/>
      <c r="T915" s="384"/>
      <c r="U915" s="384"/>
      <c r="V915" s="384"/>
      <c r="W915" s="384"/>
      <c r="X915" s="384"/>
      <c r="Y915" s="384"/>
    </row>
    <row r="916">
      <c r="A916" s="384"/>
      <c r="B916" s="384"/>
      <c r="C916" s="384"/>
      <c r="D916" s="384"/>
      <c r="E916" s="384"/>
      <c r="F916" s="384"/>
      <c r="G916" s="384"/>
      <c r="H916" s="384"/>
      <c r="I916" s="384"/>
      <c r="J916" s="384"/>
      <c r="K916" s="384"/>
      <c r="L916" s="384"/>
      <c r="M916" s="384"/>
      <c r="N916" s="384"/>
      <c r="O916" s="384"/>
      <c r="P916" s="384"/>
      <c r="Q916" s="384"/>
      <c r="R916" s="384"/>
      <c r="S916" s="384"/>
      <c r="T916" s="384"/>
      <c r="U916" s="384"/>
      <c r="V916" s="384"/>
      <c r="W916" s="384"/>
      <c r="X916" s="384"/>
      <c r="Y916" s="384"/>
    </row>
    <row r="917">
      <c r="A917" s="384"/>
      <c r="B917" s="384"/>
      <c r="C917" s="384"/>
      <c r="D917" s="384"/>
      <c r="E917" s="384"/>
      <c r="F917" s="384"/>
      <c r="G917" s="384"/>
      <c r="H917" s="384"/>
      <c r="I917" s="384"/>
      <c r="J917" s="384"/>
      <c r="K917" s="384"/>
      <c r="L917" s="384"/>
      <c r="M917" s="384"/>
      <c r="N917" s="384"/>
      <c r="O917" s="384"/>
      <c r="P917" s="384"/>
      <c r="Q917" s="384"/>
      <c r="R917" s="384"/>
      <c r="S917" s="384"/>
      <c r="T917" s="384"/>
      <c r="U917" s="384"/>
      <c r="V917" s="384"/>
      <c r="W917" s="384"/>
      <c r="X917" s="384"/>
      <c r="Y917" s="384"/>
    </row>
    <row r="918">
      <c r="A918" s="384"/>
      <c r="B918" s="384"/>
      <c r="C918" s="384"/>
      <c r="D918" s="384"/>
      <c r="E918" s="384"/>
      <c r="F918" s="384"/>
      <c r="G918" s="384"/>
      <c r="H918" s="384"/>
      <c r="I918" s="384"/>
      <c r="J918" s="384"/>
      <c r="K918" s="384"/>
      <c r="L918" s="384"/>
      <c r="M918" s="384"/>
      <c r="N918" s="384"/>
      <c r="O918" s="384"/>
      <c r="P918" s="384"/>
      <c r="Q918" s="384"/>
      <c r="R918" s="384"/>
      <c r="S918" s="384"/>
      <c r="T918" s="384"/>
      <c r="U918" s="384"/>
      <c r="V918" s="384"/>
      <c r="W918" s="384"/>
      <c r="X918" s="384"/>
      <c r="Y918" s="384"/>
    </row>
    <row r="919">
      <c r="A919" s="384"/>
      <c r="B919" s="384"/>
      <c r="C919" s="384"/>
      <c r="D919" s="384"/>
      <c r="E919" s="384"/>
      <c r="F919" s="384"/>
      <c r="G919" s="384"/>
      <c r="H919" s="384"/>
      <c r="I919" s="384"/>
      <c r="J919" s="384"/>
      <c r="K919" s="384"/>
      <c r="L919" s="384"/>
      <c r="M919" s="384"/>
      <c r="N919" s="384"/>
      <c r="O919" s="384"/>
      <c r="P919" s="384"/>
      <c r="Q919" s="384"/>
      <c r="R919" s="384"/>
      <c r="S919" s="384"/>
      <c r="T919" s="384"/>
      <c r="U919" s="384"/>
      <c r="V919" s="384"/>
      <c r="W919" s="384"/>
      <c r="X919" s="384"/>
      <c r="Y919" s="384"/>
    </row>
    <row r="920">
      <c r="A920" s="384"/>
      <c r="B920" s="384"/>
      <c r="C920" s="384"/>
      <c r="D920" s="384"/>
      <c r="E920" s="384"/>
      <c r="F920" s="384"/>
      <c r="G920" s="384"/>
      <c r="H920" s="384"/>
      <c r="I920" s="384"/>
      <c r="J920" s="384"/>
      <c r="K920" s="384"/>
      <c r="L920" s="384"/>
      <c r="M920" s="384"/>
      <c r="N920" s="384"/>
      <c r="O920" s="384"/>
      <c r="P920" s="384"/>
      <c r="Q920" s="384"/>
      <c r="R920" s="384"/>
      <c r="S920" s="384"/>
      <c r="T920" s="384"/>
      <c r="U920" s="384"/>
      <c r="V920" s="384"/>
      <c r="W920" s="384"/>
      <c r="X920" s="384"/>
      <c r="Y920" s="384"/>
    </row>
    <row r="921">
      <c r="A921" s="384"/>
      <c r="B921" s="384"/>
      <c r="C921" s="384"/>
      <c r="D921" s="384"/>
      <c r="E921" s="384"/>
      <c r="F921" s="384"/>
      <c r="G921" s="384"/>
      <c r="H921" s="384"/>
      <c r="I921" s="384"/>
      <c r="J921" s="384"/>
      <c r="K921" s="384"/>
      <c r="L921" s="384"/>
      <c r="M921" s="384"/>
      <c r="N921" s="384"/>
      <c r="O921" s="384"/>
      <c r="P921" s="384"/>
      <c r="Q921" s="384"/>
      <c r="R921" s="384"/>
      <c r="S921" s="384"/>
      <c r="T921" s="384"/>
      <c r="U921" s="384"/>
      <c r="V921" s="384"/>
      <c r="W921" s="384"/>
      <c r="X921" s="384"/>
      <c r="Y921" s="384"/>
    </row>
    <row r="922">
      <c r="A922" s="384"/>
      <c r="B922" s="384"/>
      <c r="C922" s="384"/>
      <c r="D922" s="384"/>
      <c r="E922" s="384"/>
      <c r="F922" s="384"/>
      <c r="G922" s="384"/>
      <c r="H922" s="384"/>
      <c r="I922" s="384"/>
      <c r="J922" s="384"/>
      <c r="K922" s="384"/>
      <c r="L922" s="384"/>
      <c r="M922" s="384"/>
      <c r="N922" s="384"/>
      <c r="O922" s="384"/>
      <c r="P922" s="384"/>
      <c r="Q922" s="384"/>
      <c r="R922" s="384"/>
      <c r="S922" s="384"/>
      <c r="T922" s="384"/>
      <c r="U922" s="384"/>
      <c r="V922" s="384"/>
      <c r="W922" s="384"/>
      <c r="X922" s="384"/>
      <c r="Y922" s="384"/>
    </row>
    <row r="923">
      <c r="A923" s="384"/>
      <c r="B923" s="384"/>
      <c r="C923" s="384"/>
      <c r="D923" s="384"/>
      <c r="E923" s="384"/>
      <c r="F923" s="384"/>
      <c r="G923" s="384"/>
      <c r="H923" s="384"/>
      <c r="I923" s="384"/>
      <c r="J923" s="384"/>
      <c r="K923" s="384"/>
      <c r="L923" s="384"/>
      <c r="M923" s="384"/>
      <c r="N923" s="384"/>
      <c r="O923" s="384"/>
      <c r="P923" s="384"/>
      <c r="Q923" s="384"/>
      <c r="R923" s="384"/>
      <c r="S923" s="384"/>
      <c r="T923" s="384"/>
      <c r="U923" s="384"/>
      <c r="V923" s="384"/>
      <c r="W923" s="384"/>
      <c r="X923" s="384"/>
      <c r="Y923" s="384"/>
    </row>
    <row r="924">
      <c r="A924" s="384"/>
      <c r="B924" s="384"/>
      <c r="C924" s="384"/>
      <c r="D924" s="384"/>
      <c r="E924" s="384"/>
      <c r="F924" s="384"/>
      <c r="G924" s="384"/>
      <c r="H924" s="384"/>
      <c r="I924" s="384"/>
      <c r="J924" s="384"/>
      <c r="K924" s="384"/>
      <c r="L924" s="384"/>
      <c r="M924" s="384"/>
      <c r="N924" s="384"/>
      <c r="O924" s="384"/>
      <c r="P924" s="384"/>
      <c r="Q924" s="384"/>
      <c r="R924" s="384"/>
      <c r="S924" s="384"/>
      <c r="T924" s="384"/>
      <c r="U924" s="384"/>
      <c r="V924" s="384"/>
      <c r="W924" s="384"/>
      <c r="X924" s="384"/>
      <c r="Y924" s="384"/>
    </row>
    <row r="925">
      <c r="A925" s="384"/>
      <c r="B925" s="384"/>
      <c r="C925" s="384"/>
      <c r="D925" s="384"/>
      <c r="E925" s="384"/>
      <c r="F925" s="384"/>
      <c r="G925" s="384"/>
      <c r="H925" s="384"/>
      <c r="I925" s="384"/>
      <c r="J925" s="384"/>
      <c r="K925" s="384"/>
      <c r="L925" s="384"/>
      <c r="M925" s="384"/>
      <c r="N925" s="384"/>
      <c r="O925" s="384"/>
      <c r="P925" s="384"/>
      <c r="Q925" s="384"/>
      <c r="R925" s="384"/>
      <c r="S925" s="384"/>
      <c r="T925" s="384"/>
      <c r="U925" s="384"/>
      <c r="V925" s="384"/>
      <c r="W925" s="384"/>
      <c r="X925" s="384"/>
      <c r="Y925" s="384"/>
    </row>
    <row r="926">
      <c r="A926" s="384"/>
      <c r="B926" s="384"/>
      <c r="C926" s="384"/>
      <c r="D926" s="384"/>
      <c r="E926" s="384"/>
      <c r="F926" s="384"/>
      <c r="G926" s="384"/>
      <c r="H926" s="384"/>
      <c r="I926" s="384"/>
      <c r="J926" s="384"/>
      <c r="K926" s="384"/>
      <c r="L926" s="384"/>
      <c r="M926" s="384"/>
      <c r="N926" s="384"/>
      <c r="O926" s="384"/>
      <c r="P926" s="384"/>
      <c r="Q926" s="384"/>
      <c r="R926" s="384"/>
      <c r="S926" s="384"/>
      <c r="T926" s="384"/>
      <c r="U926" s="384"/>
      <c r="V926" s="384"/>
      <c r="W926" s="384"/>
      <c r="X926" s="384"/>
      <c r="Y926" s="384"/>
    </row>
    <row r="927">
      <c r="A927" s="384"/>
      <c r="B927" s="384"/>
      <c r="C927" s="384"/>
      <c r="D927" s="384"/>
      <c r="E927" s="384"/>
      <c r="F927" s="384"/>
      <c r="G927" s="384"/>
      <c r="H927" s="384"/>
      <c r="I927" s="384"/>
      <c r="J927" s="384"/>
      <c r="K927" s="384"/>
      <c r="L927" s="384"/>
      <c r="M927" s="384"/>
      <c r="N927" s="384"/>
      <c r="O927" s="384"/>
      <c r="P927" s="384"/>
      <c r="Q927" s="384"/>
      <c r="R927" s="384"/>
      <c r="S927" s="384"/>
      <c r="T927" s="384"/>
      <c r="U927" s="384"/>
      <c r="V927" s="384"/>
      <c r="W927" s="384"/>
      <c r="X927" s="384"/>
      <c r="Y927" s="384"/>
    </row>
    <row r="928">
      <c r="A928" s="384"/>
      <c r="B928" s="384"/>
      <c r="C928" s="384"/>
      <c r="D928" s="384"/>
      <c r="E928" s="384"/>
      <c r="F928" s="384"/>
      <c r="G928" s="384"/>
      <c r="H928" s="384"/>
      <c r="I928" s="384"/>
      <c r="J928" s="384"/>
      <c r="K928" s="384"/>
      <c r="L928" s="384"/>
      <c r="M928" s="384"/>
      <c r="N928" s="384"/>
      <c r="O928" s="384"/>
      <c r="P928" s="384"/>
      <c r="Q928" s="384"/>
      <c r="R928" s="384"/>
      <c r="S928" s="384"/>
      <c r="T928" s="384"/>
      <c r="U928" s="384"/>
      <c r="V928" s="384"/>
      <c r="W928" s="384"/>
      <c r="X928" s="384"/>
      <c r="Y928" s="384"/>
    </row>
    <row r="929">
      <c r="A929" s="384"/>
      <c r="B929" s="384"/>
      <c r="C929" s="384"/>
      <c r="D929" s="384"/>
      <c r="E929" s="384"/>
      <c r="F929" s="384"/>
      <c r="G929" s="384"/>
      <c r="H929" s="384"/>
      <c r="I929" s="384"/>
      <c r="J929" s="384"/>
      <c r="K929" s="384"/>
      <c r="L929" s="384"/>
      <c r="M929" s="384"/>
      <c r="N929" s="384"/>
      <c r="O929" s="384"/>
      <c r="P929" s="384"/>
      <c r="Q929" s="384"/>
      <c r="R929" s="384"/>
      <c r="S929" s="384"/>
      <c r="T929" s="384"/>
      <c r="U929" s="384"/>
      <c r="V929" s="384"/>
      <c r="W929" s="384"/>
      <c r="X929" s="384"/>
      <c r="Y929" s="384"/>
    </row>
  </sheetData>
  <mergeCells count="150">
    <mergeCell ref="L36:O36"/>
    <mergeCell ref="L37:N37"/>
    <mergeCell ref="L38:N38"/>
    <mergeCell ref="L39:N39"/>
    <mergeCell ref="L40:N40"/>
    <mergeCell ref="L41:N41"/>
    <mergeCell ref="L42:N42"/>
    <mergeCell ref="L53:N53"/>
    <mergeCell ref="L54:N54"/>
    <mergeCell ref="L55:N55"/>
    <mergeCell ref="L56:N56"/>
    <mergeCell ref="L57:N57"/>
    <mergeCell ref="L43:N43"/>
    <mergeCell ref="L44:N44"/>
    <mergeCell ref="L45:N45"/>
    <mergeCell ref="L47:O47"/>
    <mergeCell ref="L48:N48"/>
    <mergeCell ref="L49:N49"/>
    <mergeCell ref="L50:N50"/>
    <mergeCell ref="A1:Y1"/>
    <mergeCell ref="B2:D2"/>
    <mergeCell ref="B4:K4"/>
    <mergeCell ref="D5:E5"/>
    <mergeCell ref="F5:G5"/>
    <mergeCell ref="H5:K5"/>
    <mergeCell ref="H7:K9"/>
    <mergeCell ref="H12:K13"/>
    <mergeCell ref="H15:K15"/>
    <mergeCell ref="B18:I18"/>
    <mergeCell ref="K18:M18"/>
    <mergeCell ref="B19:C19"/>
    <mergeCell ref="D19:E19"/>
    <mergeCell ref="F19:G19"/>
    <mergeCell ref="H19:I19"/>
    <mergeCell ref="K19:L19"/>
    <mergeCell ref="K20:L20"/>
    <mergeCell ref="D23:E23"/>
    <mergeCell ref="F23:G23"/>
    <mergeCell ref="H23:I23"/>
    <mergeCell ref="J23:K23"/>
    <mergeCell ref="B23:C24"/>
    <mergeCell ref="B25:C25"/>
    <mergeCell ref="B26:C26"/>
    <mergeCell ref="B27:C27"/>
    <mergeCell ref="B30:C30"/>
    <mergeCell ref="E30:J30"/>
    <mergeCell ref="L30:N30"/>
    <mergeCell ref="E31:F31"/>
    <mergeCell ref="H31:I31"/>
    <mergeCell ref="L31:M31"/>
    <mergeCell ref="E32:F32"/>
    <mergeCell ref="H32:I32"/>
    <mergeCell ref="L32:M32"/>
    <mergeCell ref="B36:D36"/>
    <mergeCell ref="B43:D43"/>
    <mergeCell ref="F43:H43"/>
    <mergeCell ref="L51:N51"/>
    <mergeCell ref="L52:N52"/>
    <mergeCell ref="F41:H41"/>
    <mergeCell ref="F42:H42"/>
    <mergeCell ref="B38:I38"/>
    <mergeCell ref="B39:D39"/>
    <mergeCell ref="F39:H39"/>
    <mergeCell ref="B40:D40"/>
    <mergeCell ref="F40:H40"/>
    <mergeCell ref="B41:D41"/>
    <mergeCell ref="B42:D42"/>
    <mergeCell ref="G49:I49"/>
    <mergeCell ref="G50:I50"/>
    <mergeCell ref="G51:I51"/>
    <mergeCell ref="G53:J53"/>
    <mergeCell ref="G54:I54"/>
    <mergeCell ref="G55:I55"/>
    <mergeCell ref="G56:I56"/>
    <mergeCell ref="G57:I57"/>
    <mergeCell ref="B44:D44"/>
    <mergeCell ref="F44:H44"/>
    <mergeCell ref="B46:E46"/>
    <mergeCell ref="G46:J46"/>
    <mergeCell ref="B47:D47"/>
    <mergeCell ref="G47:I47"/>
    <mergeCell ref="G48:I48"/>
    <mergeCell ref="B48:D48"/>
    <mergeCell ref="B49:D49"/>
    <mergeCell ref="B50:D50"/>
    <mergeCell ref="B52:E52"/>
    <mergeCell ref="B53:D53"/>
    <mergeCell ref="B54:D54"/>
    <mergeCell ref="B55:D55"/>
    <mergeCell ref="I63:J63"/>
    <mergeCell ref="I64:J64"/>
    <mergeCell ref="B56:D56"/>
    <mergeCell ref="B57:D57"/>
    <mergeCell ref="B60:C60"/>
    <mergeCell ref="B62:G62"/>
    <mergeCell ref="I62:N62"/>
    <mergeCell ref="B63:C63"/>
    <mergeCell ref="B64:C64"/>
    <mergeCell ref="B91:C91"/>
    <mergeCell ref="B92:C92"/>
    <mergeCell ref="B93:C93"/>
    <mergeCell ref="B96:K96"/>
    <mergeCell ref="D97:E97"/>
    <mergeCell ref="F84:G84"/>
    <mergeCell ref="H84:I84"/>
    <mergeCell ref="M85:O88"/>
    <mergeCell ref="M89:O93"/>
    <mergeCell ref="F97:G97"/>
    <mergeCell ref="H97:I97"/>
    <mergeCell ref="J97:K97"/>
    <mergeCell ref="D73:E73"/>
    <mergeCell ref="F73:G73"/>
    <mergeCell ref="B65:C65"/>
    <mergeCell ref="B66:C66"/>
    <mergeCell ref="B67:C67"/>
    <mergeCell ref="B70:C70"/>
    <mergeCell ref="B72:K72"/>
    <mergeCell ref="M72:O72"/>
    <mergeCell ref="M73:O75"/>
    <mergeCell ref="B73:C74"/>
    <mergeCell ref="B75:C75"/>
    <mergeCell ref="B76:C76"/>
    <mergeCell ref="B77:C77"/>
    <mergeCell ref="B78:C78"/>
    <mergeCell ref="B79:C79"/>
    <mergeCell ref="B80:C80"/>
    <mergeCell ref="H73:I73"/>
    <mergeCell ref="J73:K73"/>
    <mergeCell ref="M76:O80"/>
    <mergeCell ref="M81:O82"/>
    <mergeCell ref="B83:K83"/>
    <mergeCell ref="M83:O84"/>
    <mergeCell ref="D84:E84"/>
    <mergeCell ref="J84:K84"/>
    <mergeCell ref="B97:C98"/>
    <mergeCell ref="B99:C99"/>
    <mergeCell ref="B100:C100"/>
    <mergeCell ref="B101:C101"/>
    <mergeCell ref="B102:C102"/>
    <mergeCell ref="B81:C81"/>
    <mergeCell ref="B84:C85"/>
    <mergeCell ref="B86:C86"/>
    <mergeCell ref="B87:C87"/>
    <mergeCell ref="B88:C88"/>
    <mergeCell ref="B89:C89"/>
    <mergeCell ref="B90:C90"/>
    <mergeCell ref="M94:O99"/>
    <mergeCell ref="M100:O100"/>
    <mergeCell ref="M101:O101"/>
    <mergeCell ref="M102:O102"/>
  </mergeCells>
  <conditionalFormatting sqref="D76:K76">
    <cfRule type="cellIs" dxfId="3" priority="1" operator="lessThan">
      <formula>9000</formula>
    </cfRule>
  </conditionalFormatting>
  <conditionalFormatting sqref="D92:K92">
    <cfRule type="cellIs" dxfId="3" priority="2" operator="lessThan">
      <formula>9000</formula>
    </cfRule>
  </conditionalFormatting>
  <conditionalFormatting sqref="D76:K76">
    <cfRule type="cellIs" dxfId="4" priority="3" operator="greaterThanOrEqual">
      <formula>9000</formula>
    </cfRule>
  </conditionalFormatting>
  <conditionalFormatting sqref="D92:K92">
    <cfRule type="cellIs" dxfId="4" priority="4" operator="greaterThanOrEqual">
      <formula>9000</formula>
    </cfRule>
  </conditionalFormatting>
  <conditionalFormatting sqref="D75:K75 D91:K91">
    <cfRule type="cellIs" dxfId="4" priority="5" operator="greaterThanOrEqual">
      <formula>30</formula>
    </cfRule>
  </conditionalFormatting>
  <conditionalFormatting sqref="D75:K75 D91:K91">
    <cfRule type="cellIs" dxfId="3" priority="6" operator="lessThan">
      <formula>30</formula>
    </cfRule>
  </conditionalFormatting>
  <conditionalFormatting sqref="D99:K104">
    <cfRule type="cellIs" dxfId="4" priority="7" operator="between">
      <formula>-0.05</formula>
      <formula>0.05</formula>
    </cfRule>
  </conditionalFormatting>
  <conditionalFormatting sqref="D99:K104">
    <cfRule type="cellIs" dxfId="5" priority="8" operator="between">
      <formula>0.0500001</formula>
      <formula>0.1</formula>
    </cfRule>
  </conditionalFormatting>
  <conditionalFormatting sqref="D99:K104">
    <cfRule type="cellIs" dxfId="3" priority="9" operator="greaterThan">
      <formula>0.1</formula>
    </cfRule>
  </conditionalFormatting>
  <conditionalFormatting sqref="D99:K104">
    <cfRule type="cellIs" dxfId="6" priority="10" operator="between">
      <formula>-0.050001</formula>
      <formula>-0.1</formula>
    </cfRule>
  </conditionalFormatting>
  <conditionalFormatting sqref="D99:K104">
    <cfRule type="cellIs" dxfId="3" priority="11" operator="lessThan">
      <formula>-0.1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9" width="18.88"/>
  </cols>
  <sheetData>
    <row r="1">
      <c r="A1" s="373" t="s">
        <v>94</v>
      </c>
      <c r="B1" s="544" t="s">
        <v>210</v>
      </c>
      <c r="C1" s="150"/>
      <c r="D1" s="150"/>
      <c r="E1" s="150"/>
      <c r="F1" s="150"/>
      <c r="G1" s="150"/>
      <c r="H1" s="150"/>
      <c r="I1" s="150"/>
      <c r="J1" s="150"/>
      <c r="K1" s="150"/>
      <c r="L1" s="150"/>
      <c r="M1" s="150"/>
      <c r="N1" s="151"/>
    </row>
    <row r="2">
      <c r="A2" s="373"/>
      <c r="B2" s="545"/>
      <c r="C2" s="7"/>
      <c r="D2" s="7"/>
      <c r="E2" s="7"/>
      <c r="F2" s="7"/>
      <c r="G2" s="7"/>
      <c r="H2" s="7"/>
      <c r="I2" s="7"/>
      <c r="J2" s="7"/>
      <c r="K2" s="7"/>
      <c r="L2" s="7"/>
      <c r="M2" s="7"/>
      <c r="N2" s="8"/>
    </row>
    <row r="3" ht="30.0" customHeight="1">
      <c r="B3" s="546" t="s">
        <v>211</v>
      </c>
      <c r="C3" s="7"/>
      <c r="D3" s="7"/>
      <c r="E3" s="7"/>
      <c r="F3" s="7"/>
      <c r="G3" s="8"/>
      <c r="I3" s="546" t="s">
        <v>212</v>
      </c>
      <c r="J3" s="7"/>
      <c r="K3" s="7"/>
      <c r="L3" s="7"/>
      <c r="M3" s="7"/>
      <c r="N3" s="8"/>
    </row>
    <row r="4" ht="15.75" customHeight="1">
      <c r="B4" s="279" t="s">
        <v>11</v>
      </c>
      <c r="C4" s="12"/>
      <c r="E4" s="547" t="s">
        <v>17</v>
      </c>
      <c r="F4" s="12"/>
      <c r="G4" s="548"/>
      <c r="I4" s="279" t="s">
        <v>11</v>
      </c>
      <c r="J4" s="12"/>
      <c r="L4" s="547" t="s">
        <v>17</v>
      </c>
      <c r="M4" s="12"/>
      <c r="N4" s="548"/>
    </row>
    <row r="5" ht="15.75" customHeight="1">
      <c r="B5" s="549" t="s">
        <v>213</v>
      </c>
      <c r="C5" s="550">
        <v>2150.06</v>
      </c>
      <c r="E5" s="551" t="s">
        <v>213</v>
      </c>
      <c r="F5" s="552">
        <f> 460.06 + 4 * 79.67</f>
        <v>778.74</v>
      </c>
      <c r="G5" s="548"/>
      <c r="I5" s="549" t="s">
        <v>213</v>
      </c>
      <c r="J5" s="553">
        <f>C5</f>
        <v>2150.06</v>
      </c>
      <c r="L5" s="551" t="s">
        <v>213</v>
      </c>
      <c r="M5" s="552">
        <f>F5*1.1</f>
        <v>856.614</v>
      </c>
      <c r="N5" s="548"/>
    </row>
    <row r="6" ht="15.75" customHeight="1">
      <c r="B6" s="549" t="s">
        <v>214</v>
      </c>
      <c r="C6" s="554">
        <v>3000.0</v>
      </c>
      <c r="E6" s="551" t="s">
        <v>215</v>
      </c>
      <c r="F6" s="555">
        <v>748.0</v>
      </c>
      <c r="G6" s="548"/>
      <c r="I6" s="549" t="s">
        <v>214</v>
      </c>
      <c r="J6" s="554">
        <v>3000.0</v>
      </c>
      <c r="L6" s="551" t="s">
        <v>215</v>
      </c>
      <c r="M6" s="555">
        <v>748.0</v>
      </c>
      <c r="N6" s="548"/>
    </row>
    <row r="7" ht="15.75" customHeight="1">
      <c r="B7" s="549" t="s">
        <v>216</v>
      </c>
      <c r="C7" s="556">
        <f>C5+C6</f>
        <v>5150.06</v>
      </c>
      <c r="E7" s="557" t="s">
        <v>214</v>
      </c>
      <c r="F7" s="555">
        <v>397.56</v>
      </c>
      <c r="G7" s="548"/>
      <c r="I7" s="549" t="s">
        <v>216</v>
      </c>
      <c r="J7" s="556">
        <f>J5+J6</f>
        <v>5150.06</v>
      </c>
      <c r="L7" s="557" t="s">
        <v>214</v>
      </c>
      <c r="M7" s="555">
        <v>450.0</v>
      </c>
      <c r="N7" s="548"/>
    </row>
    <row r="8" ht="15.75" customHeight="1">
      <c r="B8" s="558" t="s">
        <v>3</v>
      </c>
      <c r="C8" s="559">
        <v>995.0</v>
      </c>
      <c r="E8" s="551" t="s">
        <v>217</v>
      </c>
      <c r="F8" s="555">
        <v>300.0</v>
      </c>
      <c r="G8" s="548"/>
      <c r="I8" s="558" t="s">
        <v>3</v>
      </c>
      <c r="J8" s="559">
        <v>995.0</v>
      </c>
      <c r="L8" s="551" t="s">
        <v>217</v>
      </c>
      <c r="M8" s="555">
        <v>400.0</v>
      </c>
      <c r="N8" s="548"/>
    </row>
    <row r="9" ht="15.75" customHeight="1">
      <c r="B9" s="560" t="s">
        <v>12</v>
      </c>
      <c r="C9" s="470"/>
      <c r="E9" s="551" t="s">
        <v>216</v>
      </c>
      <c r="F9" s="556">
        <f>F5+F6+F7+F8</f>
        <v>2224.3</v>
      </c>
      <c r="G9" s="548"/>
      <c r="I9" s="560" t="s">
        <v>12</v>
      </c>
      <c r="J9" s="470"/>
      <c r="L9" s="551" t="s">
        <v>216</v>
      </c>
      <c r="M9" s="556">
        <f>M5+M6+M7+M8</f>
        <v>2454.614</v>
      </c>
      <c r="N9" s="548"/>
    </row>
    <row r="10" ht="15.75" customHeight="1">
      <c r="B10" s="561" t="s">
        <v>213</v>
      </c>
      <c r="C10" s="550">
        <v>4360.11</v>
      </c>
      <c r="E10" s="562" t="s">
        <v>3</v>
      </c>
      <c r="F10" s="563">
        <v>2016.0</v>
      </c>
      <c r="G10" s="548"/>
      <c r="H10" s="564"/>
      <c r="I10" s="561" t="s">
        <v>213</v>
      </c>
      <c r="J10" s="553">
        <f>C10*1.1</f>
        <v>4796.121</v>
      </c>
      <c r="L10" s="562" t="s">
        <v>3</v>
      </c>
      <c r="M10" s="565">
        <f>F10</f>
        <v>2016</v>
      </c>
      <c r="N10" s="548"/>
    </row>
    <row r="11" ht="15.75" customHeight="1">
      <c r="B11" s="561" t="s">
        <v>218</v>
      </c>
      <c r="C11" s="554">
        <v>5300.0</v>
      </c>
      <c r="G11" s="548"/>
      <c r="H11" s="564"/>
      <c r="I11" s="561" t="s">
        <v>218</v>
      </c>
      <c r="J11" s="554">
        <v>6124.0</v>
      </c>
      <c r="N11" s="548"/>
    </row>
    <row r="12" ht="15.75" customHeight="1">
      <c r="B12" s="561" t="s">
        <v>216</v>
      </c>
      <c r="C12" s="556">
        <f>C10+C11</f>
        <v>9660.11</v>
      </c>
      <c r="G12" s="548"/>
      <c r="H12" s="564"/>
      <c r="I12" s="561" t="s">
        <v>216</v>
      </c>
      <c r="J12" s="556">
        <f>J10+J11</f>
        <v>10920.121</v>
      </c>
      <c r="N12" s="548"/>
    </row>
    <row r="13" ht="15.75" customHeight="1">
      <c r="B13" s="566" t="s">
        <v>3</v>
      </c>
      <c r="C13" s="563">
        <v>731.0</v>
      </c>
      <c r="G13" s="548"/>
      <c r="H13" s="564"/>
      <c r="I13" s="566" t="s">
        <v>3</v>
      </c>
      <c r="J13" s="565">
        <f>C13*1.1</f>
        <v>804.1</v>
      </c>
      <c r="N13" s="548"/>
    </row>
    <row r="14" ht="15.75" customHeight="1">
      <c r="B14" s="560" t="s">
        <v>13</v>
      </c>
      <c r="C14" s="470"/>
      <c r="D14" s="564"/>
      <c r="E14" s="567" t="s">
        <v>219</v>
      </c>
      <c r="F14" s="568">
        <v>450.0</v>
      </c>
      <c r="G14" s="569"/>
      <c r="H14" s="564"/>
      <c r="I14" s="560" t="s">
        <v>13</v>
      </c>
      <c r="J14" s="470"/>
      <c r="K14" s="564"/>
      <c r="L14" s="567" t="s">
        <v>219</v>
      </c>
      <c r="M14" s="568">
        <f>F14</f>
        <v>450</v>
      </c>
      <c r="N14" s="569"/>
    </row>
    <row r="15" ht="15.75" customHeight="1">
      <c r="B15" s="561" t="s">
        <v>213</v>
      </c>
      <c r="C15" s="570">
        <v>6430.26</v>
      </c>
      <c r="E15" s="571"/>
      <c r="F15" s="572"/>
      <c r="G15" s="548"/>
      <c r="I15" s="561" t="s">
        <v>213</v>
      </c>
      <c r="J15" s="552">
        <f>C15*1.1</f>
        <v>7073.286</v>
      </c>
      <c r="L15" s="571"/>
      <c r="M15" s="572"/>
      <c r="N15" s="548"/>
    </row>
    <row r="16" ht="15.75" customHeight="1">
      <c r="B16" s="561" t="s">
        <v>217</v>
      </c>
      <c r="C16" s="555">
        <v>2064.0</v>
      </c>
      <c r="G16" s="548"/>
      <c r="I16" s="561" t="s">
        <v>217</v>
      </c>
      <c r="J16" s="555">
        <v>2200.0</v>
      </c>
      <c r="N16" s="548"/>
    </row>
    <row r="17" ht="15.75" customHeight="1">
      <c r="B17" s="561" t="s">
        <v>214</v>
      </c>
      <c r="C17" s="555">
        <v>153.7</v>
      </c>
      <c r="G17" s="548"/>
      <c r="I17" s="561" t="s">
        <v>214</v>
      </c>
      <c r="J17" s="555">
        <v>170.0</v>
      </c>
      <c r="N17" s="548"/>
    </row>
    <row r="18" ht="15.75" customHeight="1">
      <c r="B18" s="561" t="s">
        <v>216</v>
      </c>
      <c r="C18" s="573">
        <f>C15+C16+C17</f>
        <v>8647.96</v>
      </c>
      <c r="G18" s="548"/>
      <c r="I18" s="561" t="s">
        <v>216</v>
      </c>
      <c r="J18" s="573">
        <f>J15+J16+J17</f>
        <v>9443.286</v>
      </c>
      <c r="N18" s="548"/>
    </row>
    <row r="19" ht="15.75" customHeight="1">
      <c r="B19" s="566" t="s">
        <v>3</v>
      </c>
      <c r="C19" s="563">
        <v>422.2</v>
      </c>
      <c r="E19" s="567" t="s">
        <v>220</v>
      </c>
      <c r="F19" s="574">
        <f>C6+C17+F7</f>
        <v>3551.26</v>
      </c>
      <c r="G19" s="548"/>
      <c r="I19" s="566" t="s">
        <v>3</v>
      </c>
      <c r="J19" s="565">
        <f>C19</f>
        <v>422.2</v>
      </c>
      <c r="L19" s="567" t="s">
        <v>220</v>
      </c>
      <c r="M19" s="574">
        <f>J6+J17+M7</f>
        <v>3620</v>
      </c>
      <c r="N19" s="548"/>
    </row>
    <row r="20" ht="15.75" customHeight="1">
      <c r="B20" s="560" t="s">
        <v>14</v>
      </c>
      <c r="C20" s="470"/>
      <c r="E20" s="571"/>
      <c r="F20" s="572"/>
      <c r="G20" s="548"/>
      <c r="I20" s="560" t="s">
        <v>14</v>
      </c>
      <c r="J20" s="470"/>
      <c r="L20" s="571"/>
      <c r="M20" s="572"/>
      <c r="N20" s="548"/>
    </row>
    <row r="21" ht="15.75" customHeight="1">
      <c r="B21" s="549" t="s">
        <v>213</v>
      </c>
      <c r="C21" s="570">
        <v>5395.15</v>
      </c>
      <c r="G21" s="548"/>
      <c r="I21" s="549" t="s">
        <v>213</v>
      </c>
      <c r="J21" s="552">
        <f>C21</f>
        <v>5395.15</v>
      </c>
      <c r="N21" s="548"/>
    </row>
    <row r="22" ht="15.75" customHeight="1">
      <c r="B22" s="549" t="s">
        <v>215</v>
      </c>
      <c r="C22" s="555">
        <v>7855.0</v>
      </c>
      <c r="E22" s="567" t="s">
        <v>221</v>
      </c>
      <c r="F22" s="574">
        <f>C16+C23+C33+C43+F8</f>
        <v>2826</v>
      </c>
      <c r="G22" s="548"/>
      <c r="I22" s="549" t="s">
        <v>215</v>
      </c>
      <c r="J22" s="555">
        <v>11107.0</v>
      </c>
      <c r="L22" s="567" t="s">
        <v>221</v>
      </c>
      <c r="M22" s="574">
        <f>J16+J23+J33+J43+M8</f>
        <v>3212</v>
      </c>
      <c r="N22" s="548"/>
    </row>
    <row r="23" ht="15.75" customHeight="1">
      <c r="B23" s="549" t="s">
        <v>217</v>
      </c>
      <c r="C23" s="555">
        <v>150.0</v>
      </c>
      <c r="E23" s="571"/>
      <c r="F23" s="572"/>
      <c r="G23" s="548"/>
      <c r="I23" s="549" t="s">
        <v>217</v>
      </c>
      <c r="J23" s="555">
        <v>200.0</v>
      </c>
      <c r="L23" s="571"/>
      <c r="M23" s="572"/>
      <c r="N23" s="548"/>
    </row>
    <row r="24" ht="15.75" customHeight="1">
      <c r="B24" s="549" t="s">
        <v>216</v>
      </c>
      <c r="C24" s="377">
        <f>C21+C22+C23</f>
        <v>13400.15</v>
      </c>
      <c r="G24" s="548"/>
      <c r="I24" s="549" t="s">
        <v>216</v>
      </c>
      <c r="J24" s="573">
        <f>J21+J22+J23</f>
        <v>16702.15</v>
      </c>
      <c r="N24" s="548"/>
    </row>
    <row r="25" ht="15.75" customHeight="1">
      <c r="B25" s="566" t="s">
        <v>3</v>
      </c>
      <c r="C25" s="563">
        <v>754.0</v>
      </c>
      <c r="E25" s="567" t="s">
        <v>222</v>
      </c>
      <c r="F25" s="574">
        <f>C5+C10+C15+C21+C27+C31+C37+C41+F5+F14</f>
        <v>46575.13</v>
      </c>
      <c r="G25" s="548"/>
      <c r="I25" s="566" t="s">
        <v>3</v>
      </c>
      <c r="J25" s="565">
        <f>C25</f>
        <v>754</v>
      </c>
      <c r="L25" s="567" t="s">
        <v>222</v>
      </c>
      <c r="M25" s="574">
        <f>J5+J10+J15+J21+J27+J31+J37+J41+M5+M14</f>
        <v>54818.951</v>
      </c>
      <c r="N25" s="548"/>
    </row>
    <row r="26" ht="15.75" customHeight="1">
      <c r="B26" s="560" t="s">
        <v>223</v>
      </c>
      <c r="C26" s="470"/>
      <c r="E26" s="571"/>
      <c r="F26" s="572"/>
      <c r="G26" s="548"/>
      <c r="I26" s="560" t="s">
        <v>223</v>
      </c>
      <c r="J26" s="470"/>
      <c r="L26" s="571"/>
      <c r="M26" s="572"/>
      <c r="N26" s="548"/>
    </row>
    <row r="27" ht="15.75" customHeight="1">
      <c r="B27" s="561" t="s">
        <v>213</v>
      </c>
      <c r="C27" s="550">
        <v>7141.0</v>
      </c>
      <c r="G27" s="548"/>
      <c r="I27" s="561" t="s">
        <v>213</v>
      </c>
      <c r="J27" s="550">
        <v>9735.0</v>
      </c>
      <c r="N27" s="548"/>
    </row>
    <row r="28" ht="15.75" customHeight="1">
      <c r="B28" s="561" t="s">
        <v>216</v>
      </c>
      <c r="C28" s="556">
        <f>C27</f>
        <v>7141</v>
      </c>
      <c r="E28" s="567" t="s">
        <v>224</v>
      </c>
      <c r="F28" s="574">
        <f>C22+C32+C42+F6</f>
        <v>25659</v>
      </c>
      <c r="G28" s="548"/>
      <c r="I28" s="561" t="s">
        <v>216</v>
      </c>
      <c r="J28" s="556">
        <f>J27</f>
        <v>9735</v>
      </c>
      <c r="L28" s="567" t="s">
        <v>224</v>
      </c>
      <c r="M28" s="574">
        <f>J22+J32+J42+M6</f>
        <v>32173</v>
      </c>
      <c r="N28" s="548"/>
    </row>
    <row r="29" ht="15.75" customHeight="1">
      <c r="B29" s="566" t="s">
        <v>3</v>
      </c>
      <c r="C29" s="563">
        <v>610.6</v>
      </c>
      <c r="E29" s="571"/>
      <c r="F29" s="572"/>
      <c r="G29" s="548"/>
      <c r="I29" s="566" t="s">
        <v>3</v>
      </c>
      <c r="J29" s="565">
        <f>C29</f>
        <v>610.6</v>
      </c>
      <c r="L29" s="571"/>
      <c r="M29" s="572"/>
      <c r="N29" s="548"/>
    </row>
    <row r="30" ht="15.75" customHeight="1">
      <c r="B30" s="560" t="s">
        <v>16</v>
      </c>
      <c r="C30" s="470"/>
      <c r="G30" s="548"/>
      <c r="I30" s="560" t="s">
        <v>16</v>
      </c>
      <c r="J30" s="470"/>
      <c r="N30" s="548"/>
    </row>
    <row r="31" ht="15.75" customHeight="1">
      <c r="B31" s="549" t="s">
        <v>213</v>
      </c>
      <c r="C31" s="570">
        <f>3148.34 + 16* 5.37</f>
        <v>3234.26</v>
      </c>
      <c r="D31" s="373">
        <f>2403.9 + 36.1*2 + 328.33*2 + 8*1.89</f>
        <v>3147.88</v>
      </c>
      <c r="E31" s="567" t="s">
        <v>225</v>
      </c>
      <c r="F31" s="574">
        <f>C11</f>
        <v>5300</v>
      </c>
      <c r="G31" s="548"/>
      <c r="I31" s="549" t="s">
        <v>213</v>
      </c>
      <c r="J31" s="552">
        <f>C31</f>
        <v>3234.26</v>
      </c>
      <c r="L31" s="567" t="s">
        <v>225</v>
      </c>
      <c r="M31" s="574">
        <f>J11</f>
        <v>6124</v>
      </c>
      <c r="N31" s="548"/>
    </row>
    <row r="32" ht="15.75" customHeight="1">
      <c r="B32" s="549" t="s">
        <v>215</v>
      </c>
      <c r="C32" s="555">
        <v>3816.0</v>
      </c>
      <c r="E32" s="571"/>
      <c r="F32" s="572"/>
      <c r="G32" s="548"/>
      <c r="I32" s="549" t="s">
        <v>215</v>
      </c>
      <c r="J32" s="555">
        <v>7078.0</v>
      </c>
      <c r="L32" s="571"/>
      <c r="M32" s="572"/>
      <c r="N32" s="548"/>
    </row>
    <row r="33" ht="15.75" customHeight="1">
      <c r="B33" s="549" t="s">
        <v>217</v>
      </c>
      <c r="C33" s="555">
        <v>150.0</v>
      </c>
      <c r="G33" s="548"/>
      <c r="I33" s="549" t="s">
        <v>217</v>
      </c>
      <c r="J33" s="555">
        <v>200.0</v>
      </c>
      <c r="N33" s="548"/>
    </row>
    <row r="34" ht="15.75" customHeight="1">
      <c r="B34" s="549" t="s">
        <v>216</v>
      </c>
      <c r="C34" s="573">
        <f>C31+C32+C33</f>
        <v>7200.26</v>
      </c>
      <c r="G34" s="548"/>
      <c r="I34" s="549" t="s">
        <v>216</v>
      </c>
      <c r="J34" s="573">
        <f>J31+J32+J33</f>
        <v>10512.26</v>
      </c>
      <c r="N34" s="548"/>
    </row>
    <row r="35" ht="15.75" customHeight="1">
      <c r="B35" s="566" t="s">
        <v>3</v>
      </c>
      <c r="C35" s="563">
        <v>384.0</v>
      </c>
      <c r="G35" s="548"/>
      <c r="I35" s="566" t="s">
        <v>3</v>
      </c>
      <c r="J35" s="565">
        <f>C35</f>
        <v>384</v>
      </c>
      <c r="N35" s="548"/>
    </row>
    <row r="36" ht="15.75" customHeight="1">
      <c r="B36" s="560" t="s">
        <v>18</v>
      </c>
      <c r="C36" s="470"/>
      <c r="G36" s="548"/>
      <c r="I36" s="560" t="s">
        <v>18</v>
      </c>
      <c r="J36" s="470"/>
      <c r="N36" s="548"/>
    </row>
    <row r="37" ht="15.75" customHeight="1">
      <c r="B37" s="561" t="s">
        <v>213</v>
      </c>
      <c r="C37" s="550">
        <v>7141.0</v>
      </c>
      <c r="G37" s="548"/>
      <c r="I37" s="561" t="s">
        <v>213</v>
      </c>
      <c r="J37" s="550">
        <v>9735.0</v>
      </c>
      <c r="N37" s="548"/>
    </row>
    <row r="38" ht="15.75" customHeight="1">
      <c r="B38" s="561" t="s">
        <v>216</v>
      </c>
      <c r="C38" s="556">
        <f>C37</f>
        <v>7141</v>
      </c>
      <c r="E38" s="567" t="s">
        <v>226</v>
      </c>
      <c r="F38" s="574">
        <f>C8+C13+C19+C29+C39+C25+C35+C45</f>
        <v>5510.69</v>
      </c>
      <c r="G38" s="548"/>
      <c r="I38" s="561" t="s">
        <v>216</v>
      </c>
      <c r="J38" s="556">
        <f>J37</f>
        <v>9735</v>
      </c>
      <c r="L38" s="567" t="s">
        <v>226</v>
      </c>
      <c r="M38" s="574">
        <f>J8+J13+J19+J29+J39+J25+J35+J45</f>
        <v>5583.79</v>
      </c>
      <c r="N38" s="548"/>
    </row>
    <row r="39" ht="15.75" customHeight="1">
      <c r="B39" s="566" t="s">
        <v>3</v>
      </c>
      <c r="C39" s="563">
        <v>610.6</v>
      </c>
      <c r="E39" s="571"/>
      <c r="F39" s="572"/>
      <c r="G39" s="548"/>
      <c r="I39" s="566" t="s">
        <v>3</v>
      </c>
      <c r="J39" s="565">
        <f>C39</f>
        <v>610.6</v>
      </c>
      <c r="L39" s="571"/>
      <c r="M39" s="572"/>
      <c r="N39" s="548"/>
    </row>
    <row r="40" ht="15.75" customHeight="1">
      <c r="B40" s="560" t="s">
        <v>19</v>
      </c>
      <c r="C40" s="470"/>
      <c r="G40" s="548"/>
      <c r="I40" s="560" t="s">
        <v>19</v>
      </c>
      <c r="J40" s="470"/>
      <c r="N40" s="548"/>
    </row>
    <row r="41" ht="15.75" customHeight="1">
      <c r="B41" s="549" t="s">
        <v>213</v>
      </c>
      <c r="C41" s="570">
        <v>9494.55</v>
      </c>
      <c r="G41" s="548"/>
      <c r="I41" s="549" t="s">
        <v>213</v>
      </c>
      <c r="J41" s="552">
        <f>C41*1.2</f>
        <v>11393.46</v>
      </c>
      <c r="N41" s="548"/>
    </row>
    <row r="42" ht="15.75" customHeight="1">
      <c r="B42" s="549" t="s">
        <v>215</v>
      </c>
      <c r="C42" s="555">
        <v>13240.0</v>
      </c>
      <c r="E42" s="567" t="s">
        <v>125</v>
      </c>
      <c r="F42" s="574">
        <f>C7+C18+C24+C34+C44+C12+C28+C38+F9+F14</f>
        <v>83911.39</v>
      </c>
      <c r="G42" s="548"/>
      <c r="I42" s="549" t="s">
        <v>215</v>
      </c>
      <c r="J42" s="555">
        <v>13240.0</v>
      </c>
      <c r="L42" s="567" t="s">
        <v>125</v>
      </c>
      <c r="M42" s="574">
        <f>J7+J18+J24+J34+J44+J12+J28+J38+M9+M14</f>
        <v>99947.951</v>
      </c>
      <c r="N42" s="548"/>
    </row>
    <row r="43" ht="15.75" customHeight="1">
      <c r="B43" s="549" t="s">
        <v>217</v>
      </c>
      <c r="C43" s="555">
        <v>162.0</v>
      </c>
      <c r="E43" s="571"/>
      <c r="F43" s="572"/>
      <c r="G43" s="548"/>
      <c r="I43" s="549" t="s">
        <v>217</v>
      </c>
      <c r="J43" s="555">
        <v>212.0</v>
      </c>
      <c r="L43" s="571"/>
      <c r="M43" s="572"/>
      <c r="N43" s="548"/>
    </row>
    <row r="44" ht="15.75" customHeight="1">
      <c r="B44" s="549" t="s">
        <v>216</v>
      </c>
      <c r="C44" s="573">
        <f>C41+C42+C43</f>
        <v>22896.55</v>
      </c>
      <c r="G44" s="548"/>
      <c r="I44" s="549" t="s">
        <v>216</v>
      </c>
      <c r="J44" s="573">
        <f>J41+J42+J43</f>
        <v>24845.46</v>
      </c>
      <c r="N44" s="548"/>
    </row>
    <row r="45" ht="15.75" customHeight="1">
      <c r="B45" s="575" t="s">
        <v>3</v>
      </c>
      <c r="C45" s="576">
        <f>( 1003.29 - 735 ) + 735</f>
        <v>1003.29</v>
      </c>
      <c r="D45" s="577"/>
      <c r="E45" s="577"/>
      <c r="F45" s="577"/>
      <c r="G45" s="578"/>
      <c r="I45" s="575" t="s">
        <v>3</v>
      </c>
      <c r="J45" s="579">
        <f>C45</f>
        <v>1003.29</v>
      </c>
      <c r="K45" s="577"/>
      <c r="L45" s="577"/>
      <c r="M45" s="577"/>
      <c r="N45" s="578"/>
    </row>
    <row r="58">
      <c r="B58" s="275"/>
      <c r="C58" s="275"/>
      <c r="D58" s="275"/>
      <c r="E58" s="275"/>
      <c r="F58" s="275"/>
      <c r="G58" s="275"/>
      <c r="H58" s="275"/>
      <c r="I58" s="275"/>
      <c r="J58" s="275"/>
      <c r="K58" s="275"/>
      <c r="L58" s="275"/>
      <c r="M58" s="275"/>
      <c r="N58" s="275"/>
    </row>
    <row r="59">
      <c r="B59" s="275"/>
      <c r="C59" s="275"/>
      <c r="D59" s="275"/>
      <c r="E59" s="275"/>
      <c r="F59" s="275"/>
      <c r="G59" s="275"/>
      <c r="H59" s="275"/>
      <c r="I59" s="275"/>
      <c r="J59" s="275"/>
      <c r="K59" s="275"/>
      <c r="L59" s="275"/>
      <c r="M59" s="275"/>
      <c r="N59" s="275"/>
    </row>
    <row r="60">
      <c r="B60" s="275"/>
      <c r="C60" s="275"/>
      <c r="D60" s="275"/>
      <c r="E60" s="275"/>
      <c r="F60" s="275"/>
      <c r="G60" s="275"/>
      <c r="H60" s="275"/>
      <c r="I60" s="275"/>
      <c r="J60" s="275"/>
      <c r="K60" s="275"/>
      <c r="L60" s="275"/>
      <c r="M60" s="275"/>
      <c r="N60" s="275"/>
    </row>
    <row r="61">
      <c r="B61" s="275"/>
      <c r="C61" s="275"/>
      <c r="D61" s="275"/>
      <c r="E61" s="275"/>
      <c r="F61" s="275"/>
      <c r="G61" s="275"/>
      <c r="H61" s="275"/>
      <c r="I61" s="275"/>
      <c r="J61" s="275"/>
      <c r="K61" s="275"/>
      <c r="L61" s="275"/>
      <c r="M61" s="275"/>
      <c r="N61" s="275"/>
    </row>
    <row r="62">
      <c r="B62" s="275"/>
      <c r="C62" s="275"/>
      <c r="D62" s="275"/>
      <c r="E62" s="275"/>
      <c r="F62" s="275"/>
      <c r="G62" s="275"/>
      <c r="H62" s="275"/>
      <c r="I62" s="275"/>
      <c r="J62" s="275"/>
      <c r="K62" s="275"/>
      <c r="L62" s="275"/>
      <c r="M62" s="275"/>
      <c r="N62" s="275"/>
    </row>
    <row r="63">
      <c r="B63" s="275"/>
      <c r="C63" s="275"/>
      <c r="D63" s="275"/>
      <c r="E63" s="275"/>
      <c r="F63" s="275"/>
      <c r="G63" s="275"/>
      <c r="H63" s="275"/>
      <c r="I63" s="275"/>
      <c r="J63" s="275"/>
      <c r="K63" s="275"/>
      <c r="L63" s="275"/>
      <c r="M63" s="275"/>
      <c r="N63" s="275"/>
    </row>
    <row r="64">
      <c r="B64" s="275"/>
      <c r="C64" s="275"/>
      <c r="D64" s="275"/>
      <c r="E64" s="275"/>
      <c r="F64" s="275"/>
      <c r="G64" s="275"/>
      <c r="H64" s="275"/>
      <c r="I64" s="275"/>
      <c r="J64" s="275"/>
      <c r="K64" s="275"/>
      <c r="L64" s="275"/>
      <c r="M64" s="275"/>
      <c r="N64" s="275"/>
    </row>
    <row r="65">
      <c r="B65" s="275"/>
      <c r="C65" s="275"/>
      <c r="D65" s="275"/>
      <c r="E65" s="275"/>
      <c r="F65" s="275"/>
      <c r="G65" s="275"/>
      <c r="H65" s="275"/>
      <c r="I65" s="275"/>
      <c r="J65" s="275"/>
      <c r="K65" s="275"/>
      <c r="L65" s="275"/>
      <c r="M65" s="275"/>
      <c r="N65" s="275"/>
    </row>
    <row r="66">
      <c r="B66" s="275"/>
      <c r="C66" s="275"/>
      <c r="D66" s="275"/>
      <c r="E66" s="275"/>
      <c r="F66" s="275"/>
      <c r="G66" s="275"/>
      <c r="H66" s="275"/>
      <c r="I66" s="275"/>
      <c r="J66" s="275"/>
      <c r="K66" s="275"/>
      <c r="L66" s="275"/>
      <c r="M66" s="275"/>
      <c r="N66" s="275"/>
    </row>
    <row r="67">
      <c r="B67" s="275"/>
      <c r="C67" s="275"/>
      <c r="D67" s="275"/>
      <c r="E67" s="275"/>
      <c r="F67" s="275"/>
      <c r="G67" s="275"/>
      <c r="H67" s="275"/>
      <c r="I67" s="275"/>
      <c r="J67" s="275"/>
      <c r="K67" s="275"/>
      <c r="L67" s="275"/>
      <c r="M67" s="275"/>
      <c r="N67" s="275"/>
    </row>
    <row r="68">
      <c r="B68" s="275"/>
      <c r="C68" s="275"/>
      <c r="D68" s="275"/>
      <c r="E68" s="275"/>
      <c r="F68" s="275"/>
      <c r="G68" s="275"/>
      <c r="H68" s="275"/>
      <c r="I68" s="275"/>
      <c r="J68" s="275"/>
      <c r="K68" s="275"/>
      <c r="L68" s="275"/>
      <c r="M68" s="275"/>
      <c r="N68" s="275"/>
    </row>
    <row r="69">
      <c r="B69" s="275"/>
      <c r="C69" s="275"/>
      <c r="D69" s="275"/>
      <c r="E69" s="275"/>
      <c r="F69" s="275"/>
      <c r="G69" s="275"/>
      <c r="H69" s="275"/>
      <c r="I69" s="275"/>
      <c r="J69" s="275"/>
      <c r="K69" s="275"/>
      <c r="L69" s="275"/>
      <c r="M69" s="275"/>
      <c r="N69" s="275"/>
    </row>
    <row r="70">
      <c r="B70" s="275"/>
      <c r="C70" s="275"/>
      <c r="D70" s="275"/>
      <c r="E70" s="275"/>
      <c r="F70" s="275"/>
      <c r="G70" s="275"/>
      <c r="H70" s="275"/>
      <c r="I70" s="275"/>
      <c r="J70" s="275"/>
      <c r="K70" s="275"/>
      <c r="L70" s="275"/>
      <c r="M70" s="275"/>
      <c r="N70" s="275"/>
    </row>
    <row r="71">
      <c r="B71" s="275"/>
      <c r="C71" s="275"/>
      <c r="D71" s="275"/>
      <c r="E71" s="275"/>
      <c r="F71" s="275"/>
      <c r="G71" s="275"/>
      <c r="H71" s="275"/>
      <c r="I71" s="275"/>
      <c r="J71" s="275"/>
      <c r="K71" s="275"/>
      <c r="L71" s="275"/>
      <c r="M71" s="275"/>
      <c r="N71" s="275"/>
    </row>
    <row r="72">
      <c r="B72" s="275"/>
      <c r="C72" s="275"/>
      <c r="D72" s="275"/>
      <c r="E72" s="275"/>
      <c r="F72" s="275"/>
      <c r="G72" s="275"/>
      <c r="H72" s="275"/>
      <c r="I72" s="275"/>
      <c r="J72" s="275"/>
      <c r="K72" s="275"/>
      <c r="L72" s="275"/>
      <c r="M72" s="275"/>
      <c r="N72" s="275"/>
    </row>
    <row r="73">
      <c r="B73" s="275"/>
      <c r="C73" s="275"/>
      <c r="D73" s="275"/>
      <c r="E73" s="275"/>
      <c r="F73" s="275"/>
      <c r="G73" s="275"/>
      <c r="H73" s="275"/>
      <c r="I73" s="275"/>
      <c r="J73" s="275"/>
      <c r="K73" s="275"/>
      <c r="L73" s="275"/>
      <c r="M73" s="275"/>
      <c r="N73" s="275"/>
    </row>
    <row r="74">
      <c r="B74" s="275"/>
      <c r="C74" s="275"/>
      <c r="D74" s="275"/>
      <c r="E74" s="275"/>
      <c r="F74" s="275"/>
      <c r="G74" s="275"/>
      <c r="H74" s="275"/>
      <c r="I74" s="275"/>
      <c r="J74" s="275"/>
      <c r="K74" s="275"/>
      <c r="L74" s="275"/>
      <c r="M74" s="275"/>
      <c r="N74" s="275"/>
    </row>
    <row r="75">
      <c r="B75" s="275"/>
      <c r="C75" s="275"/>
      <c r="D75" s="275"/>
      <c r="E75" s="275"/>
      <c r="F75" s="275"/>
      <c r="G75" s="275"/>
      <c r="H75" s="275"/>
      <c r="I75" s="275"/>
      <c r="J75" s="275"/>
      <c r="K75" s="275"/>
      <c r="L75" s="275"/>
      <c r="M75" s="275"/>
      <c r="N75" s="275"/>
    </row>
    <row r="76">
      <c r="B76" s="275"/>
      <c r="C76" s="275"/>
      <c r="D76" s="275"/>
      <c r="E76" s="275"/>
      <c r="F76" s="275"/>
      <c r="G76" s="275"/>
      <c r="H76" s="275"/>
      <c r="I76" s="275"/>
      <c r="J76" s="275"/>
      <c r="K76" s="275"/>
      <c r="L76" s="275"/>
      <c r="M76" s="275"/>
      <c r="N76" s="275"/>
    </row>
    <row r="77">
      <c r="B77" s="275"/>
      <c r="C77" s="275"/>
      <c r="D77" s="275"/>
      <c r="E77" s="275"/>
      <c r="F77" s="275"/>
      <c r="G77" s="275"/>
      <c r="H77" s="275"/>
      <c r="I77" s="275"/>
      <c r="J77" s="275"/>
      <c r="K77" s="275"/>
      <c r="L77" s="275"/>
      <c r="M77" s="275"/>
      <c r="N77" s="275"/>
    </row>
    <row r="78">
      <c r="B78" s="275"/>
      <c r="C78" s="275"/>
      <c r="D78" s="275"/>
      <c r="E78" s="275"/>
      <c r="F78" s="275"/>
      <c r="G78" s="275"/>
      <c r="H78" s="275"/>
      <c r="I78" s="275"/>
      <c r="J78" s="275"/>
      <c r="K78" s="275"/>
      <c r="L78" s="275"/>
      <c r="M78" s="275"/>
      <c r="N78" s="275"/>
    </row>
    <row r="79">
      <c r="B79" s="275"/>
      <c r="C79" s="275"/>
      <c r="D79" s="275"/>
      <c r="E79" s="275"/>
      <c r="F79" s="275"/>
      <c r="G79" s="275"/>
      <c r="H79" s="275"/>
      <c r="I79" s="275"/>
      <c r="J79" s="275"/>
      <c r="K79" s="275"/>
      <c r="L79" s="275"/>
      <c r="M79" s="275"/>
      <c r="N79" s="275"/>
    </row>
    <row r="80">
      <c r="B80" s="275"/>
      <c r="C80" s="275"/>
      <c r="D80" s="275"/>
      <c r="E80" s="275"/>
      <c r="F80" s="275"/>
      <c r="G80" s="275"/>
      <c r="H80" s="275"/>
      <c r="I80" s="275"/>
      <c r="J80" s="275"/>
      <c r="K80" s="275"/>
      <c r="L80" s="275"/>
      <c r="M80" s="275"/>
      <c r="N80" s="275"/>
    </row>
    <row r="81">
      <c r="B81" s="275"/>
      <c r="C81" s="275"/>
      <c r="D81" s="275"/>
      <c r="E81" s="275"/>
      <c r="F81" s="275"/>
      <c r="G81" s="275"/>
      <c r="H81" s="275"/>
      <c r="I81" s="275"/>
      <c r="J81" s="275"/>
      <c r="K81" s="275"/>
      <c r="L81" s="275"/>
      <c r="M81" s="275"/>
      <c r="N81" s="275"/>
    </row>
    <row r="82">
      <c r="B82" s="275"/>
      <c r="C82" s="275"/>
      <c r="D82" s="275"/>
      <c r="E82" s="275"/>
      <c r="F82" s="275"/>
      <c r="G82" s="275"/>
      <c r="H82" s="275"/>
      <c r="I82" s="275"/>
      <c r="J82" s="275"/>
      <c r="K82" s="275"/>
      <c r="L82" s="275"/>
      <c r="M82" s="275"/>
      <c r="N82" s="275"/>
    </row>
    <row r="83">
      <c r="B83" s="275"/>
      <c r="C83" s="275"/>
      <c r="D83" s="275"/>
      <c r="E83" s="275"/>
      <c r="F83" s="275"/>
      <c r="G83" s="275"/>
      <c r="H83" s="275"/>
      <c r="I83" s="275"/>
      <c r="J83" s="275"/>
      <c r="K83" s="275"/>
      <c r="L83" s="275"/>
      <c r="M83" s="275"/>
      <c r="N83" s="275"/>
    </row>
    <row r="84">
      <c r="B84" s="275"/>
      <c r="C84" s="275"/>
      <c r="D84" s="275"/>
      <c r="E84" s="275"/>
      <c r="F84" s="275"/>
      <c r="G84" s="275"/>
      <c r="H84" s="275"/>
      <c r="I84" s="275"/>
      <c r="J84" s="275"/>
      <c r="K84" s="275"/>
      <c r="L84" s="275"/>
      <c r="M84" s="275"/>
      <c r="N84" s="275"/>
    </row>
    <row r="85">
      <c r="B85" s="275"/>
      <c r="C85" s="275"/>
      <c r="D85" s="275"/>
      <c r="E85" s="275"/>
      <c r="F85" s="275"/>
      <c r="G85" s="275"/>
      <c r="H85" s="275"/>
      <c r="I85" s="275"/>
      <c r="J85" s="275"/>
      <c r="K85" s="275"/>
      <c r="L85" s="275"/>
      <c r="M85" s="275"/>
      <c r="N85" s="275"/>
    </row>
    <row r="86">
      <c r="B86" s="275"/>
      <c r="C86" s="275"/>
      <c r="D86" s="275"/>
      <c r="E86" s="275"/>
      <c r="F86" s="275"/>
      <c r="G86" s="275"/>
      <c r="H86" s="275"/>
      <c r="I86" s="275"/>
      <c r="J86" s="275"/>
      <c r="K86" s="275"/>
      <c r="L86" s="275"/>
      <c r="M86" s="275"/>
      <c r="N86" s="275"/>
    </row>
    <row r="87">
      <c r="B87" s="275"/>
      <c r="C87" s="275"/>
      <c r="D87" s="275"/>
      <c r="E87" s="275"/>
      <c r="F87" s="275"/>
      <c r="G87" s="275"/>
      <c r="H87" s="275"/>
      <c r="I87" s="275"/>
      <c r="J87" s="275"/>
      <c r="K87" s="275"/>
      <c r="L87" s="275"/>
      <c r="M87" s="275"/>
      <c r="N87" s="275"/>
    </row>
    <row r="88">
      <c r="B88" s="275"/>
      <c r="C88" s="275"/>
      <c r="D88" s="275"/>
      <c r="E88" s="275"/>
      <c r="F88" s="275"/>
      <c r="G88" s="275"/>
      <c r="H88" s="275"/>
      <c r="I88" s="275"/>
      <c r="J88" s="275"/>
      <c r="K88" s="275"/>
      <c r="L88" s="275"/>
      <c r="M88" s="275"/>
      <c r="N88" s="275"/>
    </row>
    <row r="89">
      <c r="B89" s="275"/>
      <c r="C89" s="275"/>
      <c r="D89" s="275"/>
      <c r="E89" s="275"/>
      <c r="F89" s="275"/>
      <c r="G89" s="275"/>
      <c r="H89" s="275"/>
      <c r="I89" s="275"/>
      <c r="J89" s="275"/>
      <c r="K89" s="275"/>
      <c r="L89" s="275"/>
      <c r="M89" s="275"/>
      <c r="N89" s="275"/>
    </row>
    <row r="90">
      <c r="B90" s="275"/>
      <c r="C90" s="275"/>
      <c r="D90" s="275"/>
      <c r="E90" s="275"/>
      <c r="F90" s="275"/>
      <c r="G90" s="275"/>
      <c r="H90" s="275"/>
      <c r="I90" s="275"/>
      <c r="J90" s="275"/>
      <c r="K90" s="275"/>
      <c r="L90" s="275"/>
      <c r="M90" s="275"/>
      <c r="N90" s="275"/>
    </row>
    <row r="91">
      <c r="B91" s="275"/>
      <c r="C91" s="275"/>
      <c r="D91" s="275"/>
      <c r="E91" s="275"/>
      <c r="F91" s="275"/>
      <c r="G91" s="275"/>
      <c r="H91" s="275"/>
      <c r="I91" s="275"/>
      <c r="J91" s="275"/>
      <c r="K91" s="275"/>
      <c r="L91" s="275"/>
      <c r="M91" s="275"/>
      <c r="N91" s="275"/>
    </row>
    <row r="92">
      <c r="B92" s="275"/>
      <c r="C92" s="275"/>
      <c r="D92" s="275"/>
      <c r="E92" s="275"/>
      <c r="F92" s="275"/>
      <c r="G92" s="275"/>
      <c r="H92" s="275"/>
      <c r="I92" s="275"/>
      <c r="J92" s="275"/>
      <c r="K92" s="275"/>
      <c r="L92" s="275"/>
      <c r="M92" s="275"/>
      <c r="N92" s="275"/>
    </row>
    <row r="93">
      <c r="B93" s="275"/>
      <c r="C93" s="275"/>
      <c r="D93" s="275"/>
      <c r="E93" s="275"/>
      <c r="F93" s="275"/>
      <c r="G93" s="275"/>
      <c r="H93" s="275"/>
      <c r="I93" s="275"/>
      <c r="J93" s="275"/>
      <c r="K93" s="275"/>
      <c r="L93" s="275"/>
      <c r="M93" s="275"/>
      <c r="N93" s="275"/>
    </row>
    <row r="94">
      <c r="B94" s="275"/>
      <c r="C94" s="275"/>
      <c r="D94" s="275"/>
      <c r="E94" s="275"/>
      <c r="F94" s="275"/>
      <c r="G94" s="275"/>
      <c r="H94" s="275"/>
      <c r="I94" s="275"/>
      <c r="J94" s="275"/>
      <c r="K94" s="275"/>
      <c r="L94" s="275"/>
      <c r="M94" s="275"/>
      <c r="N94" s="275"/>
    </row>
    <row r="95">
      <c r="B95" s="275"/>
      <c r="C95" s="275"/>
      <c r="D95" s="275"/>
      <c r="E95" s="275"/>
      <c r="F95" s="275"/>
      <c r="G95" s="275"/>
      <c r="H95" s="275"/>
      <c r="I95" s="275"/>
      <c r="J95" s="275"/>
      <c r="K95" s="275"/>
      <c r="L95" s="275"/>
      <c r="M95" s="275"/>
      <c r="N95" s="275"/>
    </row>
    <row r="96">
      <c r="B96" s="275"/>
      <c r="C96" s="275"/>
      <c r="D96" s="275"/>
      <c r="E96" s="275"/>
      <c r="F96" s="275"/>
      <c r="G96" s="275"/>
      <c r="H96" s="275"/>
      <c r="I96" s="275"/>
      <c r="J96" s="275"/>
      <c r="K96" s="275"/>
      <c r="L96" s="275"/>
      <c r="M96" s="275"/>
      <c r="N96" s="275"/>
    </row>
    <row r="97">
      <c r="B97" s="275"/>
      <c r="C97" s="275"/>
      <c r="D97" s="275"/>
      <c r="E97" s="275"/>
      <c r="F97" s="275"/>
      <c r="G97" s="275"/>
      <c r="H97" s="275"/>
      <c r="I97" s="275"/>
      <c r="J97" s="275"/>
      <c r="K97" s="275"/>
      <c r="L97" s="275"/>
      <c r="M97" s="275"/>
      <c r="N97" s="275"/>
    </row>
    <row r="98">
      <c r="B98" s="275"/>
      <c r="C98" s="275"/>
      <c r="D98" s="275"/>
      <c r="E98" s="275"/>
      <c r="F98" s="275"/>
      <c r="G98" s="275"/>
      <c r="H98" s="275"/>
      <c r="I98" s="275"/>
      <c r="J98" s="275"/>
      <c r="K98" s="275"/>
      <c r="L98" s="275"/>
      <c r="M98" s="275"/>
      <c r="N98" s="275"/>
    </row>
    <row r="99">
      <c r="B99" s="275"/>
      <c r="C99" s="275"/>
      <c r="D99" s="275"/>
      <c r="E99" s="275"/>
      <c r="F99" s="275"/>
      <c r="G99" s="275"/>
      <c r="H99" s="275"/>
      <c r="I99" s="275"/>
      <c r="J99" s="275"/>
      <c r="K99" s="275"/>
      <c r="L99" s="275"/>
      <c r="M99" s="275"/>
      <c r="N99" s="275"/>
    </row>
    <row r="100">
      <c r="B100" s="275"/>
      <c r="C100" s="275"/>
      <c r="D100" s="275"/>
      <c r="E100" s="275"/>
      <c r="F100" s="275"/>
      <c r="G100" s="275"/>
      <c r="H100" s="275"/>
      <c r="I100" s="275"/>
      <c r="J100" s="275"/>
      <c r="K100" s="275"/>
      <c r="L100" s="275"/>
      <c r="M100" s="275"/>
      <c r="N100" s="275"/>
    </row>
    <row r="101">
      <c r="B101" s="275"/>
      <c r="C101" s="275"/>
      <c r="D101" s="275"/>
      <c r="E101" s="275"/>
      <c r="F101" s="275"/>
      <c r="G101" s="275"/>
      <c r="H101" s="275"/>
      <c r="I101" s="275"/>
      <c r="J101" s="275"/>
      <c r="K101" s="275"/>
      <c r="L101" s="275"/>
      <c r="M101" s="275"/>
      <c r="N101" s="275"/>
    </row>
    <row r="102">
      <c r="B102" s="275"/>
      <c r="C102" s="275"/>
      <c r="D102" s="275"/>
      <c r="E102" s="275"/>
      <c r="F102" s="275"/>
      <c r="G102" s="275"/>
      <c r="H102" s="275"/>
      <c r="I102" s="275"/>
      <c r="J102" s="275"/>
      <c r="K102" s="275"/>
      <c r="L102" s="275"/>
      <c r="M102" s="275"/>
      <c r="N102" s="275"/>
    </row>
    <row r="103">
      <c r="B103" s="275"/>
      <c r="C103" s="275"/>
      <c r="D103" s="275"/>
      <c r="E103" s="275"/>
      <c r="F103" s="275"/>
      <c r="G103" s="275"/>
      <c r="H103" s="275"/>
      <c r="I103" s="275"/>
      <c r="J103" s="275"/>
      <c r="K103" s="275"/>
      <c r="L103" s="275"/>
      <c r="M103" s="275"/>
      <c r="N103" s="275"/>
    </row>
    <row r="104">
      <c r="B104" s="275"/>
      <c r="C104" s="275"/>
      <c r="D104" s="275"/>
      <c r="E104" s="275"/>
      <c r="F104" s="275"/>
      <c r="G104" s="275"/>
      <c r="H104" s="275"/>
      <c r="I104" s="275"/>
      <c r="J104" s="275"/>
      <c r="K104" s="275"/>
      <c r="L104" s="275"/>
      <c r="M104" s="275"/>
      <c r="N104" s="275"/>
    </row>
    <row r="105">
      <c r="B105" s="275"/>
      <c r="C105" s="275"/>
      <c r="D105" s="275"/>
      <c r="E105" s="275"/>
      <c r="F105" s="275"/>
      <c r="G105" s="275"/>
      <c r="H105" s="275"/>
      <c r="I105" s="275"/>
      <c r="J105" s="275"/>
      <c r="K105" s="275"/>
      <c r="L105" s="275"/>
      <c r="M105" s="275"/>
      <c r="N105" s="275"/>
    </row>
    <row r="106">
      <c r="B106" s="275"/>
      <c r="C106" s="275"/>
      <c r="D106" s="275"/>
      <c r="E106" s="275"/>
      <c r="F106" s="275"/>
      <c r="G106" s="275"/>
      <c r="H106" s="275"/>
      <c r="I106" s="275"/>
      <c r="J106" s="275"/>
      <c r="K106" s="275"/>
      <c r="L106" s="275"/>
      <c r="M106" s="275"/>
      <c r="N106" s="275"/>
    </row>
    <row r="107">
      <c r="B107" s="275"/>
      <c r="C107" s="275"/>
      <c r="D107" s="275"/>
      <c r="E107" s="275"/>
      <c r="F107" s="275"/>
      <c r="G107" s="275"/>
      <c r="H107" s="275"/>
      <c r="I107" s="275"/>
      <c r="J107" s="275"/>
      <c r="K107" s="275"/>
      <c r="L107" s="275"/>
      <c r="M107" s="275"/>
      <c r="N107" s="275"/>
    </row>
    <row r="108">
      <c r="B108" s="275"/>
      <c r="C108" s="275"/>
      <c r="D108" s="275"/>
      <c r="E108" s="275"/>
      <c r="F108" s="275"/>
      <c r="G108" s="275"/>
      <c r="H108" s="275"/>
      <c r="I108" s="275"/>
      <c r="J108" s="275"/>
      <c r="K108" s="275"/>
      <c r="L108" s="275"/>
      <c r="M108" s="275"/>
      <c r="N108" s="275"/>
    </row>
    <row r="109">
      <c r="B109" s="275"/>
      <c r="C109" s="275"/>
      <c r="D109" s="275"/>
      <c r="E109" s="275"/>
      <c r="F109" s="275"/>
      <c r="G109" s="275"/>
      <c r="H109" s="275"/>
      <c r="I109" s="275"/>
      <c r="J109" s="275"/>
      <c r="K109" s="275"/>
      <c r="L109" s="275"/>
      <c r="M109" s="275"/>
      <c r="N109" s="275"/>
    </row>
    <row r="110">
      <c r="B110" s="275"/>
      <c r="C110" s="275"/>
      <c r="D110" s="275"/>
      <c r="E110" s="275"/>
      <c r="F110" s="275"/>
      <c r="G110" s="275"/>
      <c r="H110" s="275"/>
      <c r="I110" s="275"/>
      <c r="J110" s="275"/>
      <c r="K110" s="275"/>
      <c r="L110" s="275"/>
      <c r="M110" s="275"/>
      <c r="N110" s="275"/>
    </row>
    <row r="111">
      <c r="B111" s="275"/>
      <c r="C111" s="275"/>
      <c r="D111" s="275"/>
      <c r="E111" s="275"/>
      <c r="F111" s="275"/>
      <c r="G111" s="275"/>
      <c r="H111" s="275"/>
      <c r="I111" s="275"/>
      <c r="J111" s="275"/>
      <c r="K111" s="275"/>
      <c r="L111" s="275"/>
      <c r="M111" s="275"/>
      <c r="N111" s="275"/>
    </row>
    <row r="112">
      <c r="B112" s="275"/>
      <c r="C112" s="275"/>
      <c r="D112" s="275"/>
      <c r="E112" s="275"/>
      <c r="F112" s="275"/>
      <c r="G112" s="275"/>
      <c r="H112" s="275"/>
      <c r="I112" s="275"/>
      <c r="J112" s="275"/>
      <c r="K112" s="275"/>
      <c r="L112" s="275"/>
      <c r="M112" s="275"/>
      <c r="N112" s="275"/>
    </row>
    <row r="113">
      <c r="B113" s="275"/>
      <c r="C113" s="275"/>
      <c r="D113" s="275"/>
      <c r="E113" s="275"/>
      <c r="F113" s="275"/>
      <c r="G113" s="275"/>
      <c r="H113" s="275"/>
      <c r="I113" s="275"/>
      <c r="J113" s="275"/>
      <c r="K113" s="275"/>
      <c r="L113" s="275"/>
      <c r="M113" s="275"/>
      <c r="N113" s="275"/>
    </row>
    <row r="114">
      <c r="B114" s="275"/>
      <c r="C114" s="275"/>
      <c r="D114" s="275"/>
      <c r="E114" s="275"/>
      <c r="F114" s="275"/>
      <c r="G114" s="275"/>
      <c r="H114" s="275"/>
      <c r="I114" s="275"/>
      <c r="J114" s="275"/>
      <c r="K114" s="275"/>
      <c r="L114" s="275"/>
      <c r="M114" s="275"/>
      <c r="N114" s="275"/>
    </row>
    <row r="115">
      <c r="B115" s="275"/>
      <c r="C115" s="275"/>
      <c r="D115" s="275"/>
      <c r="E115" s="275"/>
      <c r="F115" s="275"/>
      <c r="G115" s="275"/>
      <c r="H115" s="275"/>
      <c r="I115" s="275"/>
      <c r="J115" s="275"/>
      <c r="K115" s="275"/>
      <c r="L115" s="275"/>
      <c r="M115" s="275"/>
      <c r="N115" s="275"/>
    </row>
    <row r="116">
      <c r="B116" s="275"/>
      <c r="C116" s="275"/>
      <c r="D116" s="275"/>
      <c r="E116" s="275"/>
      <c r="F116" s="275"/>
      <c r="G116" s="275"/>
      <c r="H116" s="275"/>
      <c r="I116" s="275"/>
      <c r="J116" s="275"/>
      <c r="K116" s="275"/>
      <c r="L116" s="275"/>
      <c r="M116" s="275"/>
      <c r="N116" s="275"/>
    </row>
    <row r="117">
      <c r="B117" s="275"/>
      <c r="C117" s="275"/>
      <c r="D117" s="275"/>
      <c r="E117" s="275"/>
      <c r="F117" s="275"/>
      <c r="G117" s="275"/>
      <c r="H117" s="275"/>
      <c r="I117" s="275"/>
      <c r="J117" s="275"/>
      <c r="K117" s="275"/>
      <c r="L117" s="275"/>
      <c r="M117" s="275"/>
      <c r="N117" s="275"/>
    </row>
    <row r="118">
      <c r="B118" s="275"/>
      <c r="C118" s="275"/>
      <c r="D118" s="275"/>
      <c r="E118" s="275"/>
      <c r="F118" s="275"/>
      <c r="G118" s="275"/>
      <c r="H118" s="275"/>
      <c r="I118" s="275"/>
      <c r="J118" s="275"/>
      <c r="K118" s="275"/>
      <c r="L118" s="275"/>
      <c r="M118" s="275"/>
      <c r="N118" s="275"/>
    </row>
    <row r="119">
      <c r="B119" s="275"/>
      <c r="C119" s="275"/>
      <c r="D119" s="275"/>
      <c r="E119" s="275"/>
      <c r="F119" s="275"/>
      <c r="G119" s="275"/>
      <c r="H119" s="275"/>
      <c r="I119" s="275"/>
      <c r="J119" s="275"/>
      <c r="K119" s="275"/>
      <c r="L119" s="275"/>
      <c r="M119" s="275"/>
      <c r="N119" s="275"/>
    </row>
    <row r="120">
      <c r="B120" s="275"/>
      <c r="C120" s="275"/>
      <c r="D120" s="275"/>
      <c r="E120" s="275"/>
      <c r="F120" s="275"/>
      <c r="G120" s="275"/>
      <c r="H120" s="275"/>
      <c r="I120" s="275"/>
      <c r="J120" s="275"/>
      <c r="K120" s="275"/>
      <c r="L120" s="275"/>
      <c r="M120" s="275"/>
      <c r="N120" s="275"/>
    </row>
    <row r="121">
      <c r="B121" s="275"/>
      <c r="C121" s="275"/>
      <c r="D121" s="275"/>
      <c r="E121" s="275"/>
      <c r="F121" s="275"/>
      <c r="G121" s="275"/>
      <c r="H121" s="275"/>
      <c r="I121" s="275"/>
      <c r="J121" s="275"/>
      <c r="K121" s="275"/>
      <c r="L121" s="275"/>
      <c r="M121" s="275"/>
      <c r="N121" s="275"/>
    </row>
    <row r="122">
      <c r="B122" s="275"/>
      <c r="C122" s="275"/>
      <c r="D122" s="275"/>
      <c r="E122" s="275"/>
      <c r="F122" s="275"/>
      <c r="G122" s="275"/>
      <c r="H122" s="275"/>
      <c r="I122" s="275"/>
      <c r="J122" s="275"/>
      <c r="K122" s="275"/>
      <c r="L122" s="275"/>
      <c r="M122" s="275"/>
      <c r="N122" s="275"/>
    </row>
    <row r="123">
      <c r="B123" s="275"/>
      <c r="C123" s="275"/>
      <c r="D123" s="275"/>
      <c r="E123" s="275"/>
      <c r="F123" s="275"/>
      <c r="G123" s="275"/>
      <c r="H123" s="275"/>
      <c r="I123" s="275"/>
      <c r="J123" s="275"/>
      <c r="K123" s="275"/>
      <c r="L123" s="275"/>
      <c r="M123" s="275"/>
      <c r="N123" s="275"/>
    </row>
    <row r="124">
      <c r="B124" s="275"/>
      <c r="C124" s="275"/>
      <c r="D124" s="275"/>
      <c r="E124" s="275"/>
      <c r="F124" s="275"/>
      <c r="G124" s="275"/>
      <c r="H124" s="275"/>
      <c r="I124" s="275"/>
      <c r="J124" s="275"/>
      <c r="K124" s="275"/>
      <c r="L124" s="275"/>
      <c r="M124" s="275"/>
      <c r="N124" s="275"/>
    </row>
    <row r="125">
      <c r="B125" s="275"/>
      <c r="C125" s="275"/>
      <c r="D125" s="275"/>
      <c r="E125" s="275"/>
      <c r="F125" s="275"/>
      <c r="G125" s="275"/>
      <c r="H125" s="275"/>
      <c r="I125" s="275"/>
      <c r="J125" s="275"/>
      <c r="K125" s="275"/>
      <c r="L125" s="275"/>
      <c r="M125" s="275"/>
      <c r="N125" s="275"/>
    </row>
    <row r="126">
      <c r="B126" s="275"/>
      <c r="C126" s="275"/>
      <c r="D126" s="275"/>
      <c r="E126" s="275"/>
      <c r="F126" s="275"/>
      <c r="G126" s="275"/>
      <c r="H126" s="275"/>
      <c r="I126" s="275"/>
      <c r="J126" s="275"/>
      <c r="K126" s="275"/>
      <c r="L126" s="275"/>
      <c r="M126" s="275"/>
      <c r="N126" s="275"/>
    </row>
    <row r="127">
      <c r="B127" s="275"/>
      <c r="C127" s="275"/>
      <c r="D127" s="275"/>
      <c r="E127" s="275"/>
      <c r="F127" s="275"/>
      <c r="G127" s="275"/>
      <c r="H127" s="275"/>
      <c r="I127" s="275"/>
      <c r="J127" s="275"/>
      <c r="K127" s="275"/>
      <c r="L127" s="275"/>
      <c r="M127" s="275"/>
      <c r="N127" s="275"/>
    </row>
    <row r="128">
      <c r="B128" s="275"/>
      <c r="C128" s="275"/>
      <c r="D128" s="275"/>
      <c r="E128" s="275"/>
      <c r="F128" s="275"/>
      <c r="G128" s="275"/>
      <c r="H128" s="275"/>
      <c r="I128" s="275"/>
      <c r="J128" s="275"/>
      <c r="K128" s="275"/>
      <c r="L128" s="275"/>
      <c r="M128" s="275"/>
      <c r="N128" s="275"/>
    </row>
    <row r="129">
      <c r="B129" s="275"/>
      <c r="C129" s="275"/>
      <c r="D129" s="275"/>
      <c r="E129" s="275"/>
      <c r="F129" s="275"/>
      <c r="G129" s="275"/>
      <c r="H129" s="275"/>
      <c r="I129" s="275"/>
      <c r="J129" s="275"/>
      <c r="K129" s="275"/>
      <c r="L129" s="275"/>
      <c r="M129" s="275"/>
      <c r="N129" s="275"/>
    </row>
    <row r="130">
      <c r="B130" s="275"/>
      <c r="C130" s="275"/>
      <c r="D130" s="275"/>
      <c r="E130" s="275"/>
      <c r="F130" s="275"/>
      <c r="G130" s="275"/>
      <c r="H130" s="275"/>
      <c r="I130" s="275"/>
      <c r="J130" s="275"/>
      <c r="K130" s="275"/>
      <c r="L130" s="275"/>
      <c r="M130" s="275"/>
      <c r="N130" s="275"/>
    </row>
    <row r="131">
      <c r="B131" s="275"/>
      <c r="C131" s="275"/>
      <c r="D131" s="275"/>
      <c r="E131" s="275"/>
      <c r="F131" s="275"/>
      <c r="G131" s="275"/>
      <c r="H131" s="275"/>
      <c r="I131" s="275"/>
      <c r="J131" s="275"/>
      <c r="K131" s="275"/>
      <c r="L131" s="275"/>
      <c r="M131" s="275"/>
      <c r="N131" s="275"/>
    </row>
    <row r="132">
      <c r="B132" s="275"/>
      <c r="C132" s="275"/>
      <c r="D132" s="275"/>
      <c r="E132" s="275"/>
      <c r="F132" s="275"/>
      <c r="G132" s="275"/>
      <c r="H132" s="275"/>
      <c r="I132" s="275"/>
      <c r="J132" s="275"/>
      <c r="K132" s="275"/>
      <c r="L132" s="275"/>
      <c r="M132" s="275"/>
      <c r="N132" s="275"/>
    </row>
    <row r="133">
      <c r="B133" s="275"/>
      <c r="C133" s="275"/>
      <c r="D133" s="275"/>
      <c r="E133" s="275"/>
      <c r="F133" s="275"/>
      <c r="G133" s="275"/>
      <c r="H133" s="275"/>
      <c r="I133" s="275"/>
      <c r="J133" s="275"/>
      <c r="K133" s="275"/>
      <c r="L133" s="275"/>
      <c r="M133" s="275"/>
      <c r="N133" s="275"/>
    </row>
    <row r="134">
      <c r="B134" s="275"/>
      <c r="C134" s="275"/>
      <c r="D134" s="275"/>
      <c r="E134" s="275"/>
      <c r="F134" s="275"/>
      <c r="G134" s="275"/>
      <c r="H134" s="275"/>
      <c r="I134" s="275"/>
      <c r="J134" s="275"/>
      <c r="K134" s="275"/>
      <c r="L134" s="275"/>
      <c r="M134" s="275"/>
      <c r="N134" s="275"/>
    </row>
    <row r="135">
      <c r="B135" s="275"/>
      <c r="C135" s="275"/>
      <c r="D135" s="275"/>
      <c r="E135" s="275"/>
      <c r="F135" s="275"/>
      <c r="G135" s="275"/>
      <c r="H135" s="275"/>
      <c r="I135" s="275"/>
      <c r="J135" s="275"/>
      <c r="K135" s="275"/>
      <c r="L135" s="275"/>
      <c r="M135" s="275"/>
      <c r="N135" s="275"/>
    </row>
    <row r="136">
      <c r="B136" s="275"/>
      <c r="C136" s="275"/>
      <c r="D136" s="275"/>
      <c r="E136" s="275"/>
      <c r="F136" s="275"/>
      <c r="G136" s="275"/>
      <c r="H136" s="275"/>
      <c r="I136" s="275"/>
      <c r="J136" s="275"/>
      <c r="K136" s="275"/>
      <c r="L136" s="275"/>
      <c r="M136" s="275"/>
      <c r="N136" s="275"/>
    </row>
    <row r="137">
      <c r="B137" s="275"/>
      <c r="C137" s="275"/>
      <c r="D137" s="275"/>
      <c r="E137" s="275"/>
      <c r="F137" s="275"/>
      <c r="G137" s="275"/>
      <c r="H137" s="275"/>
      <c r="I137" s="275"/>
      <c r="J137" s="275"/>
      <c r="K137" s="275"/>
      <c r="L137" s="275"/>
      <c r="M137" s="275"/>
      <c r="N137" s="275"/>
    </row>
    <row r="138">
      <c r="B138" s="275"/>
      <c r="C138" s="275"/>
      <c r="D138" s="275"/>
      <c r="E138" s="275"/>
      <c r="F138" s="275"/>
      <c r="G138" s="275"/>
      <c r="H138" s="275"/>
      <c r="I138" s="275"/>
      <c r="J138" s="275"/>
      <c r="K138" s="275"/>
      <c r="L138" s="275"/>
      <c r="M138" s="275"/>
      <c r="N138" s="275"/>
    </row>
    <row r="139">
      <c r="B139" s="275"/>
      <c r="C139" s="275"/>
      <c r="D139" s="275"/>
      <c r="E139" s="275"/>
      <c r="F139" s="275"/>
      <c r="G139" s="275"/>
      <c r="H139" s="275"/>
      <c r="I139" s="275"/>
      <c r="J139" s="275"/>
      <c r="K139" s="275"/>
      <c r="L139" s="275"/>
      <c r="M139" s="275"/>
      <c r="N139" s="275"/>
    </row>
    <row r="140">
      <c r="B140" s="275"/>
      <c r="C140" s="275"/>
      <c r="D140" s="275"/>
      <c r="E140" s="275"/>
      <c r="F140" s="275"/>
      <c r="G140" s="275"/>
      <c r="H140" s="275"/>
      <c r="I140" s="275"/>
      <c r="J140" s="275"/>
      <c r="K140" s="275"/>
      <c r="L140" s="275"/>
      <c r="M140" s="275"/>
      <c r="N140" s="275"/>
    </row>
    <row r="141">
      <c r="B141" s="275"/>
      <c r="C141" s="275"/>
      <c r="D141" s="275"/>
      <c r="E141" s="275"/>
      <c r="F141" s="275"/>
      <c r="G141" s="275"/>
      <c r="H141" s="275"/>
      <c r="I141" s="275"/>
      <c r="J141" s="275"/>
      <c r="K141" s="275"/>
      <c r="L141" s="275"/>
      <c r="M141" s="275"/>
      <c r="N141" s="275"/>
    </row>
    <row r="142">
      <c r="B142" s="275"/>
      <c r="C142" s="275"/>
      <c r="D142" s="275"/>
      <c r="E142" s="275"/>
      <c r="F142" s="275"/>
      <c r="G142" s="275"/>
      <c r="H142" s="275"/>
      <c r="I142" s="275"/>
      <c r="J142" s="275"/>
      <c r="K142" s="275"/>
      <c r="L142" s="275"/>
      <c r="M142" s="275"/>
      <c r="N142" s="275"/>
    </row>
    <row r="143">
      <c r="B143" s="275"/>
      <c r="C143" s="275"/>
      <c r="D143" s="275"/>
      <c r="E143" s="275"/>
      <c r="F143" s="275"/>
      <c r="G143" s="275"/>
      <c r="H143" s="275"/>
      <c r="I143" s="275"/>
      <c r="J143" s="275"/>
      <c r="K143" s="275"/>
      <c r="L143" s="275"/>
      <c r="M143" s="275"/>
      <c r="N143" s="275"/>
    </row>
    <row r="144">
      <c r="B144" s="275"/>
      <c r="C144" s="275"/>
      <c r="D144" s="275"/>
      <c r="E144" s="275"/>
      <c r="F144" s="275"/>
      <c r="G144" s="275"/>
      <c r="H144" s="275"/>
      <c r="I144" s="275"/>
      <c r="J144" s="275"/>
      <c r="K144" s="275"/>
      <c r="L144" s="275"/>
      <c r="M144" s="275"/>
      <c r="N144" s="275"/>
    </row>
    <row r="145">
      <c r="B145" s="275"/>
      <c r="C145" s="275"/>
      <c r="D145" s="275"/>
      <c r="E145" s="275"/>
      <c r="F145" s="275"/>
      <c r="G145" s="275"/>
      <c r="H145" s="275"/>
      <c r="I145" s="275"/>
      <c r="J145" s="275"/>
      <c r="K145" s="275"/>
      <c r="L145" s="275"/>
      <c r="M145" s="275"/>
      <c r="N145" s="275"/>
    </row>
    <row r="146">
      <c r="B146" s="275"/>
      <c r="C146" s="275"/>
      <c r="D146" s="275"/>
      <c r="E146" s="275"/>
      <c r="F146" s="275"/>
      <c r="G146" s="275"/>
      <c r="H146" s="275"/>
      <c r="I146" s="275"/>
      <c r="J146" s="275"/>
      <c r="K146" s="275"/>
      <c r="L146" s="275"/>
      <c r="M146" s="275"/>
      <c r="N146" s="275"/>
    </row>
    <row r="147">
      <c r="B147" s="275"/>
      <c r="C147" s="275"/>
      <c r="D147" s="275"/>
      <c r="E147" s="275"/>
      <c r="F147" s="275"/>
      <c r="G147" s="275"/>
      <c r="H147" s="275"/>
      <c r="I147" s="275"/>
      <c r="J147" s="275"/>
      <c r="K147" s="275"/>
      <c r="L147" s="275"/>
      <c r="M147" s="275"/>
      <c r="N147" s="275"/>
    </row>
    <row r="148">
      <c r="B148" s="275"/>
      <c r="C148" s="275"/>
      <c r="D148" s="275"/>
      <c r="E148" s="275"/>
      <c r="F148" s="275"/>
      <c r="G148" s="275"/>
      <c r="H148" s="275"/>
      <c r="I148" s="275"/>
      <c r="J148" s="275"/>
      <c r="K148" s="275"/>
      <c r="L148" s="275"/>
      <c r="M148" s="275"/>
      <c r="N148" s="275"/>
    </row>
    <row r="149">
      <c r="B149" s="275"/>
      <c r="C149" s="275"/>
      <c r="D149" s="275"/>
      <c r="E149" s="275"/>
      <c r="F149" s="275"/>
      <c r="G149" s="275"/>
      <c r="H149" s="275"/>
      <c r="I149" s="275"/>
      <c r="J149" s="275"/>
      <c r="K149" s="275"/>
      <c r="L149" s="275"/>
      <c r="M149" s="275"/>
      <c r="N149" s="275"/>
    </row>
    <row r="150">
      <c r="B150" s="275"/>
      <c r="C150" s="275"/>
      <c r="D150" s="275"/>
      <c r="E150" s="275"/>
      <c r="F150" s="275"/>
      <c r="G150" s="275"/>
      <c r="H150" s="275"/>
      <c r="I150" s="275"/>
      <c r="J150" s="275"/>
      <c r="K150" s="275"/>
      <c r="L150" s="275"/>
      <c r="M150" s="275"/>
      <c r="N150" s="275"/>
    </row>
    <row r="151">
      <c r="B151" s="275"/>
      <c r="C151" s="275"/>
      <c r="D151" s="275"/>
      <c r="E151" s="275"/>
      <c r="F151" s="275"/>
      <c r="G151" s="275"/>
      <c r="H151" s="275"/>
      <c r="I151" s="275"/>
      <c r="J151" s="275"/>
      <c r="K151" s="275"/>
      <c r="L151" s="275"/>
      <c r="M151" s="275"/>
      <c r="N151" s="275"/>
    </row>
    <row r="152">
      <c r="B152" s="275"/>
      <c r="C152" s="275"/>
      <c r="D152" s="275"/>
      <c r="E152" s="275"/>
      <c r="F152" s="275"/>
      <c r="G152" s="275"/>
      <c r="H152" s="275"/>
      <c r="I152" s="275"/>
      <c r="J152" s="275"/>
      <c r="K152" s="275"/>
      <c r="L152" s="275"/>
      <c r="M152" s="275"/>
      <c r="N152" s="275"/>
    </row>
    <row r="153">
      <c r="B153" s="275"/>
      <c r="C153" s="275"/>
      <c r="D153" s="275"/>
      <c r="E153" s="275"/>
      <c r="F153" s="275"/>
      <c r="G153" s="275"/>
      <c r="H153" s="275"/>
      <c r="I153" s="275"/>
      <c r="J153" s="275"/>
      <c r="K153" s="275"/>
      <c r="L153" s="275"/>
      <c r="M153" s="275"/>
      <c r="N153" s="275"/>
    </row>
    <row r="154">
      <c r="B154" s="275"/>
      <c r="C154" s="275"/>
      <c r="D154" s="275"/>
      <c r="E154" s="275"/>
      <c r="F154" s="275"/>
      <c r="G154" s="275"/>
      <c r="H154" s="275"/>
      <c r="I154" s="275"/>
      <c r="J154" s="275"/>
      <c r="K154" s="275"/>
      <c r="L154" s="275"/>
      <c r="M154" s="275"/>
      <c r="N154" s="275"/>
    </row>
    <row r="155">
      <c r="B155" s="275"/>
      <c r="C155" s="275"/>
      <c r="D155" s="275"/>
      <c r="E155" s="275"/>
      <c r="F155" s="275"/>
      <c r="G155" s="275"/>
      <c r="H155" s="275"/>
      <c r="I155" s="275"/>
      <c r="J155" s="275"/>
      <c r="K155" s="275"/>
      <c r="L155" s="275"/>
      <c r="M155" s="275"/>
      <c r="N155" s="275"/>
    </row>
    <row r="156">
      <c r="B156" s="275"/>
      <c r="C156" s="275"/>
      <c r="D156" s="275"/>
      <c r="E156" s="275"/>
      <c r="F156" s="275"/>
      <c r="G156" s="275"/>
      <c r="H156" s="275"/>
      <c r="I156" s="275"/>
      <c r="J156" s="275"/>
      <c r="K156" s="275"/>
      <c r="L156" s="275"/>
      <c r="M156" s="275"/>
      <c r="N156" s="275"/>
    </row>
    <row r="157">
      <c r="B157" s="275"/>
      <c r="C157" s="275"/>
      <c r="D157" s="275"/>
      <c r="E157" s="275"/>
      <c r="F157" s="275"/>
      <c r="G157" s="275"/>
      <c r="H157" s="275"/>
      <c r="I157" s="275"/>
      <c r="J157" s="275"/>
      <c r="K157" s="275"/>
      <c r="L157" s="275"/>
      <c r="M157" s="275"/>
      <c r="N157" s="275"/>
    </row>
    <row r="158">
      <c r="B158" s="275"/>
      <c r="C158" s="275"/>
      <c r="D158" s="275"/>
      <c r="E158" s="275"/>
      <c r="F158" s="275"/>
      <c r="G158" s="275"/>
      <c r="H158" s="275"/>
      <c r="I158" s="275"/>
      <c r="J158" s="275"/>
      <c r="K158" s="275"/>
      <c r="L158" s="275"/>
      <c r="M158" s="275"/>
      <c r="N158" s="275"/>
    </row>
    <row r="159">
      <c r="B159" s="275"/>
      <c r="C159" s="275"/>
      <c r="D159" s="275"/>
      <c r="E159" s="275"/>
      <c r="F159" s="275"/>
      <c r="G159" s="275"/>
      <c r="H159" s="275"/>
      <c r="I159" s="275"/>
      <c r="J159" s="275"/>
      <c r="K159" s="275"/>
      <c r="L159" s="275"/>
      <c r="M159" s="275"/>
      <c r="N159" s="275"/>
    </row>
    <row r="160">
      <c r="B160" s="275"/>
      <c r="C160" s="275"/>
      <c r="D160" s="275"/>
      <c r="E160" s="275"/>
      <c r="F160" s="275"/>
      <c r="G160" s="275"/>
      <c r="H160" s="275"/>
      <c r="I160" s="275"/>
      <c r="J160" s="275"/>
      <c r="K160" s="275"/>
      <c r="L160" s="275"/>
      <c r="M160" s="275"/>
      <c r="N160" s="275"/>
    </row>
    <row r="161">
      <c r="B161" s="275"/>
      <c r="C161" s="275"/>
      <c r="D161" s="275"/>
      <c r="E161" s="275"/>
      <c r="F161" s="275"/>
      <c r="G161" s="275"/>
      <c r="H161" s="275"/>
      <c r="I161" s="275"/>
      <c r="J161" s="275"/>
      <c r="K161" s="275"/>
      <c r="L161" s="275"/>
      <c r="M161" s="275"/>
      <c r="N161" s="275"/>
    </row>
    <row r="162">
      <c r="B162" s="275"/>
      <c r="C162" s="275"/>
      <c r="D162" s="275"/>
      <c r="E162" s="275"/>
      <c r="F162" s="275"/>
      <c r="G162" s="275"/>
      <c r="H162" s="275"/>
      <c r="I162" s="275"/>
      <c r="J162" s="275"/>
      <c r="K162" s="275"/>
      <c r="L162" s="275"/>
      <c r="M162" s="275"/>
      <c r="N162" s="275"/>
    </row>
    <row r="163">
      <c r="B163" s="275"/>
      <c r="C163" s="275"/>
      <c r="D163" s="275"/>
      <c r="E163" s="275"/>
      <c r="F163" s="275"/>
      <c r="G163" s="275"/>
      <c r="H163" s="275"/>
      <c r="I163" s="275"/>
      <c r="J163" s="275"/>
      <c r="K163" s="275"/>
      <c r="L163" s="275"/>
      <c r="M163" s="275"/>
      <c r="N163" s="275"/>
    </row>
    <row r="164">
      <c r="B164" s="275"/>
      <c r="C164" s="275"/>
      <c r="D164" s="275"/>
      <c r="E164" s="275"/>
      <c r="F164" s="275"/>
      <c r="G164" s="275"/>
      <c r="H164" s="275"/>
      <c r="I164" s="275"/>
      <c r="J164" s="275"/>
      <c r="K164" s="275"/>
      <c r="L164" s="275"/>
      <c r="M164" s="275"/>
      <c r="N164" s="275"/>
    </row>
    <row r="165">
      <c r="B165" s="275"/>
      <c r="C165" s="275"/>
      <c r="D165" s="275"/>
      <c r="E165" s="275"/>
      <c r="F165" s="275"/>
      <c r="G165" s="275"/>
      <c r="H165" s="275"/>
      <c r="I165" s="275"/>
      <c r="J165" s="275"/>
      <c r="K165" s="275"/>
      <c r="L165" s="275"/>
      <c r="M165" s="275"/>
      <c r="N165" s="275"/>
    </row>
    <row r="166">
      <c r="B166" s="275"/>
      <c r="C166" s="275"/>
      <c r="D166" s="275"/>
      <c r="E166" s="275"/>
      <c r="F166" s="275"/>
      <c r="G166" s="275"/>
      <c r="H166" s="275"/>
      <c r="I166" s="275"/>
      <c r="J166" s="275"/>
      <c r="K166" s="275"/>
      <c r="L166" s="275"/>
      <c r="M166" s="275"/>
      <c r="N166" s="275"/>
    </row>
    <row r="167">
      <c r="B167" s="275"/>
      <c r="C167" s="275"/>
      <c r="D167" s="275"/>
      <c r="E167" s="275"/>
      <c r="F167" s="275"/>
      <c r="G167" s="275"/>
      <c r="H167" s="275"/>
      <c r="I167" s="275"/>
      <c r="J167" s="275"/>
      <c r="K167" s="275"/>
      <c r="L167" s="275"/>
      <c r="M167" s="275"/>
      <c r="N167" s="275"/>
    </row>
    <row r="168">
      <c r="B168" s="275"/>
      <c r="C168" s="275"/>
      <c r="D168" s="275"/>
      <c r="E168" s="275"/>
      <c r="F168" s="275"/>
      <c r="G168" s="275"/>
      <c r="H168" s="275"/>
      <c r="I168" s="275"/>
      <c r="J168" s="275"/>
      <c r="K168" s="275"/>
      <c r="L168" s="275"/>
      <c r="M168" s="275"/>
      <c r="N168" s="275"/>
    </row>
    <row r="169">
      <c r="B169" s="275"/>
      <c r="C169" s="275"/>
      <c r="D169" s="275"/>
      <c r="E169" s="275"/>
      <c r="F169" s="275"/>
      <c r="G169" s="275"/>
      <c r="H169" s="275"/>
      <c r="I169" s="275"/>
      <c r="J169" s="275"/>
      <c r="K169" s="275"/>
      <c r="L169" s="275"/>
      <c r="M169" s="275"/>
      <c r="N169" s="275"/>
    </row>
    <row r="170">
      <c r="B170" s="275"/>
      <c r="C170" s="275"/>
      <c r="D170" s="275"/>
      <c r="E170" s="275"/>
      <c r="F170" s="275"/>
      <c r="G170" s="275"/>
      <c r="H170" s="275"/>
      <c r="I170" s="275"/>
      <c r="J170" s="275"/>
      <c r="K170" s="275"/>
      <c r="L170" s="275"/>
      <c r="M170" s="275"/>
      <c r="N170" s="275"/>
    </row>
    <row r="171">
      <c r="B171" s="275"/>
      <c r="C171" s="275"/>
      <c r="D171" s="275"/>
      <c r="E171" s="275"/>
      <c r="F171" s="275"/>
      <c r="G171" s="275"/>
      <c r="H171" s="275"/>
      <c r="I171" s="275"/>
      <c r="J171" s="275"/>
      <c r="K171" s="275"/>
      <c r="L171" s="275"/>
      <c r="M171" s="275"/>
      <c r="N171" s="275"/>
    </row>
    <row r="172">
      <c r="B172" s="275"/>
      <c r="C172" s="275"/>
      <c r="D172" s="275"/>
      <c r="E172" s="275"/>
      <c r="F172" s="275"/>
      <c r="G172" s="275"/>
      <c r="H172" s="275"/>
      <c r="I172" s="275"/>
      <c r="J172" s="275"/>
      <c r="K172" s="275"/>
      <c r="L172" s="275"/>
      <c r="M172" s="275"/>
      <c r="N172" s="275"/>
    </row>
    <row r="173">
      <c r="B173" s="275"/>
      <c r="C173" s="275"/>
      <c r="D173" s="275"/>
      <c r="E173" s="275"/>
      <c r="F173" s="275"/>
      <c r="G173" s="275"/>
      <c r="H173" s="275"/>
      <c r="I173" s="275"/>
      <c r="J173" s="275"/>
      <c r="K173" s="275"/>
      <c r="L173" s="275"/>
      <c r="M173" s="275"/>
      <c r="N173" s="275"/>
    </row>
    <row r="174">
      <c r="B174" s="275"/>
      <c r="C174" s="275"/>
      <c r="D174" s="275"/>
      <c r="E174" s="275"/>
      <c r="F174" s="275"/>
      <c r="G174" s="275"/>
      <c r="H174" s="275"/>
      <c r="I174" s="275"/>
      <c r="J174" s="275"/>
      <c r="K174" s="275"/>
      <c r="L174" s="275"/>
      <c r="M174" s="275"/>
      <c r="N174" s="275"/>
    </row>
    <row r="175">
      <c r="B175" s="275"/>
      <c r="C175" s="275"/>
      <c r="D175" s="275"/>
      <c r="E175" s="275"/>
      <c r="F175" s="275"/>
      <c r="G175" s="275"/>
      <c r="H175" s="275"/>
      <c r="I175" s="275"/>
      <c r="J175" s="275"/>
      <c r="K175" s="275"/>
      <c r="L175" s="275"/>
      <c r="M175" s="275"/>
      <c r="N175" s="275"/>
    </row>
    <row r="176">
      <c r="B176" s="275"/>
      <c r="C176" s="275"/>
      <c r="D176" s="275"/>
      <c r="E176" s="275"/>
      <c r="F176" s="275"/>
      <c r="G176" s="275"/>
      <c r="H176" s="275"/>
      <c r="I176" s="275"/>
      <c r="J176" s="275"/>
      <c r="K176" s="275"/>
      <c r="L176" s="275"/>
      <c r="M176" s="275"/>
      <c r="N176" s="275"/>
    </row>
    <row r="177">
      <c r="B177" s="275"/>
      <c r="C177" s="275"/>
      <c r="D177" s="275"/>
      <c r="E177" s="275"/>
      <c r="F177" s="275"/>
      <c r="G177" s="275"/>
      <c r="H177" s="275"/>
      <c r="I177" s="275"/>
      <c r="J177" s="275"/>
      <c r="K177" s="275"/>
      <c r="L177" s="275"/>
      <c r="M177" s="275"/>
      <c r="N177" s="275"/>
    </row>
    <row r="178">
      <c r="B178" s="275"/>
      <c r="C178" s="275"/>
      <c r="D178" s="275"/>
      <c r="E178" s="275"/>
      <c r="F178" s="275"/>
      <c r="G178" s="275"/>
      <c r="H178" s="275"/>
      <c r="I178" s="275"/>
      <c r="J178" s="275"/>
      <c r="K178" s="275"/>
      <c r="L178" s="275"/>
      <c r="M178" s="275"/>
      <c r="N178" s="275"/>
    </row>
    <row r="179">
      <c r="B179" s="275"/>
      <c r="C179" s="275"/>
      <c r="D179" s="275"/>
      <c r="E179" s="275"/>
      <c r="F179" s="275"/>
      <c r="G179" s="275"/>
      <c r="H179" s="275"/>
      <c r="I179" s="275"/>
      <c r="J179" s="275"/>
      <c r="K179" s="275"/>
      <c r="L179" s="275"/>
      <c r="M179" s="275"/>
      <c r="N179" s="275"/>
    </row>
    <row r="180">
      <c r="B180" s="275"/>
      <c r="C180" s="275"/>
      <c r="D180" s="275"/>
      <c r="E180" s="275"/>
      <c r="F180" s="275"/>
      <c r="G180" s="275"/>
      <c r="H180" s="275"/>
      <c r="I180" s="275"/>
      <c r="J180" s="275"/>
      <c r="K180" s="275"/>
      <c r="L180" s="275"/>
      <c r="M180" s="275"/>
      <c r="N180" s="275"/>
    </row>
    <row r="181">
      <c r="B181" s="275"/>
      <c r="C181" s="275"/>
      <c r="D181" s="275"/>
      <c r="E181" s="275"/>
      <c r="F181" s="275"/>
      <c r="G181" s="275"/>
      <c r="H181" s="275"/>
      <c r="I181" s="275"/>
      <c r="J181" s="275"/>
      <c r="K181" s="275"/>
      <c r="L181" s="275"/>
      <c r="M181" s="275"/>
      <c r="N181" s="275"/>
    </row>
    <row r="182">
      <c r="B182" s="275"/>
      <c r="C182" s="275"/>
      <c r="D182" s="275"/>
      <c r="E182" s="275"/>
      <c r="F182" s="275"/>
      <c r="G182" s="275"/>
      <c r="H182" s="275"/>
      <c r="I182" s="275"/>
      <c r="J182" s="275"/>
      <c r="K182" s="275"/>
      <c r="L182" s="275"/>
      <c r="M182" s="275"/>
      <c r="N182" s="275"/>
    </row>
    <row r="183">
      <c r="B183" s="275"/>
      <c r="C183" s="275"/>
      <c r="D183" s="275"/>
      <c r="E183" s="275"/>
      <c r="F183" s="275"/>
      <c r="G183" s="275"/>
      <c r="H183" s="275"/>
      <c r="I183" s="275"/>
      <c r="J183" s="275"/>
      <c r="K183" s="275"/>
      <c r="L183" s="275"/>
      <c r="M183" s="275"/>
      <c r="N183" s="275"/>
    </row>
    <row r="184">
      <c r="B184" s="275"/>
      <c r="C184" s="275"/>
      <c r="D184" s="275"/>
      <c r="E184" s="275"/>
      <c r="F184" s="275"/>
      <c r="G184" s="275"/>
      <c r="H184" s="275"/>
      <c r="I184" s="275"/>
      <c r="J184" s="275"/>
      <c r="K184" s="275"/>
      <c r="L184" s="275"/>
      <c r="M184" s="275"/>
      <c r="N184" s="275"/>
    </row>
    <row r="185">
      <c r="B185" s="275"/>
      <c r="C185" s="275"/>
      <c r="D185" s="275"/>
      <c r="E185" s="275"/>
      <c r="F185" s="275"/>
      <c r="G185" s="275"/>
      <c r="H185" s="275"/>
      <c r="I185" s="275"/>
      <c r="J185" s="275"/>
      <c r="K185" s="275"/>
      <c r="L185" s="275"/>
      <c r="M185" s="275"/>
      <c r="N185" s="275"/>
    </row>
    <row r="186">
      <c r="B186" s="275"/>
      <c r="C186" s="275"/>
      <c r="D186" s="275"/>
      <c r="E186" s="275"/>
      <c r="F186" s="275"/>
      <c r="G186" s="275"/>
      <c r="H186" s="275"/>
      <c r="I186" s="275"/>
      <c r="J186" s="275"/>
      <c r="K186" s="275"/>
      <c r="L186" s="275"/>
      <c r="M186" s="275"/>
      <c r="N186" s="275"/>
    </row>
    <row r="187">
      <c r="B187" s="275"/>
      <c r="C187" s="275"/>
      <c r="D187" s="275"/>
      <c r="E187" s="275"/>
      <c r="F187" s="275"/>
      <c r="G187" s="275"/>
      <c r="H187" s="275"/>
      <c r="I187" s="275"/>
      <c r="J187" s="275"/>
      <c r="K187" s="275"/>
      <c r="L187" s="275"/>
      <c r="M187" s="275"/>
      <c r="N187" s="275"/>
    </row>
    <row r="188">
      <c r="B188" s="275"/>
      <c r="C188" s="275"/>
      <c r="D188" s="275"/>
      <c r="E188" s="275"/>
      <c r="F188" s="275"/>
      <c r="G188" s="275"/>
      <c r="H188" s="275"/>
      <c r="I188" s="275"/>
      <c r="J188" s="275"/>
      <c r="K188" s="275"/>
      <c r="L188" s="275"/>
      <c r="M188" s="275"/>
      <c r="N188" s="275"/>
    </row>
    <row r="189">
      <c r="B189" s="275"/>
      <c r="C189" s="275"/>
      <c r="D189" s="275"/>
      <c r="E189" s="275"/>
      <c r="F189" s="275"/>
      <c r="G189" s="275"/>
      <c r="H189" s="275"/>
      <c r="I189" s="275"/>
      <c r="J189" s="275"/>
      <c r="K189" s="275"/>
      <c r="L189" s="275"/>
      <c r="M189" s="275"/>
      <c r="N189" s="275"/>
    </row>
    <row r="190">
      <c r="B190" s="275"/>
      <c r="C190" s="275"/>
      <c r="D190" s="275"/>
      <c r="E190" s="275"/>
      <c r="F190" s="275"/>
      <c r="G190" s="275"/>
      <c r="H190" s="275"/>
      <c r="I190" s="275"/>
      <c r="J190" s="275"/>
      <c r="K190" s="275"/>
      <c r="L190" s="275"/>
      <c r="M190" s="275"/>
      <c r="N190" s="275"/>
    </row>
    <row r="191">
      <c r="B191" s="275"/>
      <c r="C191" s="275"/>
      <c r="D191" s="275"/>
      <c r="E191" s="275"/>
      <c r="F191" s="275"/>
      <c r="G191" s="275"/>
      <c r="H191" s="275"/>
      <c r="I191" s="275"/>
      <c r="J191" s="275"/>
      <c r="K191" s="275"/>
      <c r="L191" s="275"/>
      <c r="M191" s="275"/>
      <c r="N191" s="275"/>
    </row>
    <row r="192">
      <c r="B192" s="275"/>
      <c r="C192" s="275"/>
      <c r="D192" s="275"/>
      <c r="E192" s="275"/>
      <c r="F192" s="275"/>
      <c r="G192" s="275"/>
      <c r="H192" s="275"/>
      <c r="I192" s="275"/>
      <c r="J192" s="275"/>
      <c r="K192" s="275"/>
      <c r="L192" s="275"/>
      <c r="M192" s="275"/>
      <c r="N192" s="275"/>
    </row>
    <row r="193">
      <c r="B193" s="275"/>
      <c r="C193" s="275"/>
      <c r="D193" s="275"/>
      <c r="E193" s="275"/>
      <c r="F193" s="275"/>
      <c r="G193" s="275"/>
      <c r="H193" s="275"/>
      <c r="I193" s="275"/>
      <c r="J193" s="275"/>
      <c r="K193" s="275"/>
      <c r="L193" s="275"/>
      <c r="M193" s="275"/>
      <c r="N193" s="275"/>
    </row>
    <row r="194">
      <c r="B194" s="275"/>
      <c r="C194" s="275"/>
      <c r="D194" s="275"/>
      <c r="E194" s="275"/>
      <c r="F194" s="275"/>
      <c r="G194" s="275"/>
      <c r="H194" s="275"/>
      <c r="I194" s="275"/>
      <c r="J194" s="275"/>
      <c r="K194" s="275"/>
      <c r="L194" s="275"/>
      <c r="M194" s="275"/>
      <c r="N194" s="275"/>
    </row>
    <row r="195">
      <c r="B195" s="275"/>
      <c r="C195" s="275"/>
      <c r="D195" s="275"/>
      <c r="E195" s="275"/>
      <c r="F195" s="275"/>
      <c r="G195" s="275"/>
      <c r="H195" s="275"/>
      <c r="I195" s="275"/>
      <c r="J195" s="275"/>
      <c r="K195" s="275"/>
      <c r="L195" s="275"/>
      <c r="M195" s="275"/>
      <c r="N195" s="275"/>
    </row>
    <row r="196">
      <c r="B196" s="275"/>
      <c r="C196" s="275"/>
      <c r="D196" s="275"/>
      <c r="E196" s="275"/>
      <c r="F196" s="275"/>
      <c r="G196" s="275"/>
      <c r="H196" s="275"/>
      <c r="I196" s="275"/>
      <c r="J196" s="275"/>
      <c r="K196" s="275"/>
      <c r="L196" s="275"/>
      <c r="M196" s="275"/>
      <c r="N196" s="275"/>
    </row>
    <row r="197">
      <c r="B197" s="275"/>
      <c r="C197" s="275"/>
      <c r="D197" s="275"/>
      <c r="E197" s="275"/>
      <c r="F197" s="275"/>
      <c r="G197" s="275"/>
      <c r="H197" s="275"/>
      <c r="I197" s="275"/>
      <c r="J197" s="275"/>
      <c r="K197" s="275"/>
      <c r="L197" s="275"/>
      <c r="M197" s="275"/>
      <c r="N197" s="275"/>
    </row>
    <row r="198">
      <c r="B198" s="275"/>
      <c r="C198" s="275"/>
      <c r="D198" s="275"/>
      <c r="E198" s="275"/>
      <c r="F198" s="275"/>
      <c r="G198" s="275"/>
      <c r="H198" s="275"/>
      <c r="I198" s="275"/>
      <c r="J198" s="275"/>
      <c r="K198" s="275"/>
      <c r="L198" s="275"/>
      <c r="M198" s="275"/>
      <c r="N198" s="275"/>
    </row>
    <row r="199">
      <c r="B199" s="275"/>
      <c r="C199" s="275"/>
      <c r="D199" s="275"/>
      <c r="E199" s="275"/>
      <c r="F199" s="275"/>
      <c r="G199" s="275"/>
      <c r="H199" s="275"/>
      <c r="I199" s="275"/>
      <c r="J199" s="275"/>
      <c r="K199" s="275"/>
      <c r="L199" s="275"/>
      <c r="M199" s="275"/>
      <c r="N199" s="275"/>
    </row>
    <row r="200">
      <c r="B200" s="275"/>
      <c r="C200" s="275"/>
      <c r="D200" s="275"/>
      <c r="E200" s="275"/>
      <c r="F200" s="275"/>
      <c r="G200" s="275"/>
      <c r="H200" s="275"/>
      <c r="I200" s="275"/>
      <c r="J200" s="275"/>
      <c r="K200" s="275"/>
      <c r="L200" s="275"/>
      <c r="M200" s="275"/>
      <c r="N200" s="275"/>
    </row>
    <row r="201">
      <c r="B201" s="275"/>
      <c r="C201" s="275"/>
      <c r="D201" s="275"/>
      <c r="E201" s="275"/>
      <c r="F201" s="275"/>
      <c r="G201" s="275"/>
      <c r="H201" s="275"/>
      <c r="I201" s="275"/>
      <c r="J201" s="275"/>
      <c r="K201" s="275"/>
      <c r="L201" s="275"/>
      <c r="M201" s="275"/>
      <c r="N201" s="275"/>
    </row>
    <row r="202">
      <c r="B202" s="275"/>
      <c r="C202" s="275"/>
      <c r="D202" s="275"/>
      <c r="E202" s="275"/>
      <c r="F202" s="275"/>
      <c r="G202" s="275"/>
      <c r="H202" s="275"/>
      <c r="I202" s="275"/>
      <c r="J202" s="275"/>
      <c r="K202" s="275"/>
      <c r="L202" s="275"/>
      <c r="M202" s="275"/>
      <c r="N202" s="275"/>
    </row>
    <row r="203">
      <c r="B203" s="275"/>
      <c r="C203" s="275"/>
      <c r="D203" s="275"/>
      <c r="E203" s="275"/>
      <c r="F203" s="275"/>
      <c r="G203" s="275"/>
      <c r="H203" s="275"/>
      <c r="I203" s="275"/>
      <c r="J203" s="275"/>
      <c r="K203" s="275"/>
      <c r="L203" s="275"/>
      <c r="M203" s="275"/>
      <c r="N203" s="275"/>
    </row>
    <row r="204">
      <c r="B204" s="275"/>
      <c r="C204" s="275"/>
      <c r="D204" s="275"/>
      <c r="E204" s="275"/>
      <c r="F204" s="275"/>
      <c r="G204" s="275"/>
      <c r="H204" s="275"/>
      <c r="I204" s="275"/>
      <c r="J204" s="275"/>
      <c r="K204" s="275"/>
      <c r="L204" s="275"/>
      <c r="M204" s="275"/>
      <c r="N204" s="275"/>
    </row>
    <row r="205">
      <c r="B205" s="275"/>
      <c r="C205" s="275"/>
      <c r="D205" s="275"/>
      <c r="E205" s="275"/>
      <c r="F205" s="275"/>
      <c r="G205" s="275"/>
      <c r="H205" s="275"/>
      <c r="I205" s="275"/>
      <c r="J205" s="275"/>
      <c r="K205" s="275"/>
      <c r="L205" s="275"/>
      <c r="M205" s="275"/>
      <c r="N205" s="275"/>
    </row>
    <row r="206">
      <c r="B206" s="275"/>
      <c r="C206" s="275"/>
      <c r="D206" s="275"/>
      <c r="E206" s="275"/>
      <c r="F206" s="275"/>
      <c r="G206" s="275"/>
      <c r="H206" s="275"/>
      <c r="I206" s="275"/>
      <c r="J206" s="275"/>
      <c r="K206" s="275"/>
      <c r="L206" s="275"/>
      <c r="M206" s="275"/>
      <c r="N206" s="275"/>
    </row>
    <row r="207">
      <c r="B207" s="275"/>
      <c r="C207" s="275"/>
      <c r="D207" s="275"/>
      <c r="E207" s="275"/>
      <c r="F207" s="275"/>
      <c r="G207" s="275"/>
      <c r="H207" s="275"/>
      <c r="I207" s="275"/>
      <c r="J207" s="275"/>
      <c r="K207" s="275"/>
      <c r="L207" s="275"/>
      <c r="M207" s="275"/>
      <c r="N207" s="275"/>
    </row>
    <row r="208">
      <c r="B208" s="275"/>
      <c r="C208" s="275"/>
      <c r="D208" s="275"/>
      <c r="E208" s="275"/>
      <c r="F208" s="275"/>
      <c r="G208" s="275"/>
      <c r="H208" s="275"/>
      <c r="I208" s="275"/>
      <c r="J208" s="275"/>
      <c r="K208" s="275"/>
      <c r="L208" s="275"/>
      <c r="M208" s="275"/>
      <c r="N208" s="275"/>
    </row>
    <row r="209">
      <c r="B209" s="275"/>
      <c r="C209" s="275"/>
      <c r="D209" s="275"/>
      <c r="E209" s="275"/>
      <c r="F209" s="275"/>
      <c r="G209" s="275"/>
      <c r="H209" s="275"/>
      <c r="I209" s="275"/>
      <c r="J209" s="275"/>
      <c r="K209" s="275"/>
      <c r="L209" s="275"/>
      <c r="M209" s="275"/>
      <c r="N209" s="275"/>
    </row>
    <row r="210">
      <c r="B210" s="275"/>
      <c r="C210" s="275"/>
      <c r="D210" s="275"/>
      <c r="E210" s="275"/>
      <c r="F210" s="275"/>
      <c r="G210" s="275"/>
      <c r="H210" s="275"/>
      <c r="I210" s="275"/>
      <c r="J210" s="275"/>
      <c r="K210" s="275"/>
      <c r="L210" s="275"/>
      <c r="M210" s="275"/>
      <c r="N210" s="275"/>
    </row>
    <row r="211">
      <c r="B211" s="275"/>
      <c r="C211" s="275"/>
      <c r="D211" s="275"/>
      <c r="E211" s="275"/>
      <c r="F211" s="275"/>
      <c r="G211" s="275"/>
      <c r="H211" s="275"/>
      <c r="I211" s="275"/>
      <c r="J211" s="275"/>
      <c r="K211" s="275"/>
      <c r="L211" s="275"/>
      <c r="M211" s="275"/>
      <c r="N211" s="275"/>
    </row>
    <row r="212">
      <c r="B212" s="275"/>
      <c r="C212" s="275"/>
      <c r="D212" s="275"/>
      <c r="E212" s="275"/>
      <c r="F212" s="275"/>
      <c r="G212" s="275"/>
      <c r="H212" s="275"/>
      <c r="I212" s="275"/>
      <c r="J212" s="275"/>
      <c r="K212" s="275"/>
      <c r="L212" s="275"/>
      <c r="M212" s="275"/>
      <c r="N212" s="275"/>
    </row>
    <row r="213">
      <c r="B213" s="275"/>
      <c r="C213" s="275"/>
      <c r="D213" s="275"/>
      <c r="E213" s="275"/>
      <c r="F213" s="275"/>
      <c r="G213" s="275"/>
      <c r="H213" s="275"/>
      <c r="I213" s="275"/>
      <c r="J213" s="275"/>
      <c r="K213" s="275"/>
      <c r="L213" s="275"/>
      <c r="M213" s="275"/>
      <c r="N213" s="275"/>
    </row>
    <row r="214">
      <c r="B214" s="275"/>
      <c r="C214" s="275"/>
      <c r="D214" s="275"/>
      <c r="E214" s="275"/>
      <c r="F214" s="275"/>
      <c r="G214" s="275"/>
      <c r="H214" s="275"/>
      <c r="I214" s="275"/>
      <c r="J214" s="275"/>
      <c r="K214" s="275"/>
      <c r="L214" s="275"/>
      <c r="M214" s="275"/>
      <c r="N214" s="275"/>
    </row>
    <row r="215">
      <c r="B215" s="275"/>
      <c r="C215" s="275"/>
      <c r="D215" s="275"/>
      <c r="E215" s="275"/>
      <c r="F215" s="275"/>
      <c r="G215" s="275"/>
      <c r="H215" s="275"/>
      <c r="I215" s="275"/>
      <c r="J215" s="275"/>
      <c r="K215" s="275"/>
      <c r="L215" s="275"/>
      <c r="M215" s="275"/>
      <c r="N215" s="275"/>
    </row>
    <row r="216">
      <c r="B216" s="275"/>
      <c r="C216" s="275"/>
      <c r="D216" s="275"/>
      <c r="E216" s="275"/>
      <c r="F216" s="275"/>
      <c r="G216" s="275"/>
      <c r="H216" s="275"/>
      <c r="I216" s="275"/>
      <c r="J216" s="275"/>
      <c r="K216" s="275"/>
      <c r="L216" s="275"/>
      <c r="M216" s="275"/>
      <c r="N216" s="275"/>
    </row>
    <row r="217">
      <c r="B217" s="275"/>
      <c r="C217" s="275"/>
      <c r="D217" s="275"/>
      <c r="E217" s="275"/>
      <c r="F217" s="275"/>
      <c r="G217" s="275"/>
      <c r="H217" s="275"/>
      <c r="I217" s="275"/>
      <c r="J217" s="275"/>
      <c r="K217" s="275"/>
      <c r="L217" s="275"/>
      <c r="M217" s="275"/>
      <c r="N217" s="275"/>
    </row>
    <row r="218">
      <c r="B218" s="275"/>
      <c r="C218" s="275"/>
      <c r="D218" s="275"/>
      <c r="E218" s="275"/>
      <c r="F218" s="275"/>
      <c r="G218" s="275"/>
      <c r="H218" s="275"/>
      <c r="I218" s="275"/>
      <c r="J218" s="275"/>
      <c r="K218" s="275"/>
      <c r="L218" s="275"/>
      <c r="M218" s="275"/>
      <c r="N218" s="275"/>
    </row>
    <row r="219">
      <c r="B219" s="275"/>
      <c r="C219" s="275"/>
      <c r="D219" s="275"/>
      <c r="E219" s="275"/>
      <c r="F219" s="275"/>
      <c r="G219" s="275"/>
      <c r="H219" s="275"/>
      <c r="I219" s="275"/>
      <c r="J219" s="275"/>
      <c r="K219" s="275"/>
      <c r="L219" s="275"/>
      <c r="M219" s="275"/>
      <c r="N219" s="275"/>
    </row>
    <row r="220">
      <c r="B220" s="275"/>
      <c r="C220" s="275"/>
      <c r="D220" s="275"/>
      <c r="E220" s="275"/>
      <c r="F220" s="275"/>
      <c r="G220" s="275"/>
      <c r="H220" s="275"/>
      <c r="I220" s="275"/>
      <c r="J220" s="275"/>
      <c r="K220" s="275"/>
      <c r="L220" s="275"/>
      <c r="M220" s="275"/>
      <c r="N220" s="275"/>
    </row>
    <row r="221">
      <c r="B221" s="275"/>
      <c r="C221" s="275"/>
      <c r="D221" s="275"/>
      <c r="E221" s="275"/>
      <c r="F221" s="275"/>
      <c r="G221" s="275"/>
      <c r="H221" s="275"/>
      <c r="I221" s="275"/>
      <c r="J221" s="275"/>
      <c r="K221" s="275"/>
      <c r="L221" s="275"/>
      <c r="M221" s="275"/>
      <c r="N221" s="275"/>
    </row>
    <row r="222">
      <c r="B222" s="275"/>
      <c r="C222" s="275"/>
      <c r="D222" s="275"/>
      <c r="E222" s="275"/>
      <c r="F222" s="275"/>
      <c r="G222" s="275"/>
      <c r="H222" s="275"/>
      <c r="I222" s="275"/>
      <c r="J222" s="275"/>
      <c r="K222" s="275"/>
      <c r="L222" s="275"/>
      <c r="M222" s="275"/>
      <c r="N222" s="275"/>
    </row>
    <row r="223">
      <c r="B223" s="275"/>
      <c r="C223" s="275"/>
      <c r="D223" s="275"/>
      <c r="E223" s="275"/>
      <c r="F223" s="275"/>
      <c r="G223" s="275"/>
      <c r="H223" s="275"/>
      <c r="I223" s="275"/>
      <c r="J223" s="275"/>
      <c r="K223" s="275"/>
      <c r="L223" s="275"/>
      <c r="M223" s="275"/>
      <c r="N223" s="275"/>
    </row>
    <row r="224">
      <c r="B224" s="275"/>
      <c r="C224" s="275"/>
      <c r="D224" s="275"/>
      <c r="E224" s="275"/>
      <c r="F224" s="275"/>
      <c r="G224" s="275"/>
      <c r="H224" s="275"/>
      <c r="I224" s="275"/>
      <c r="J224" s="275"/>
      <c r="K224" s="275"/>
      <c r="L224" s="275"/>
      <c r="M224" s="275"/>
      <c r="N224" s="275"/>
    </row>
    <row r="225">
      <c r="B225" s="275"/>
      <c r="C225" s="275"/>
      <c r="D225" s="275"/>
      <c r="E225" s="275"/>
      <c r="F225" s="275"/>
      <c r="G225" s="275"/>
      <c r="H225" s="275"/>
      <c r="I225" s="275"/>
      <c r="J225" s="275"/>
      <c r="K225" s="275"/>
      <c r="L225" s="275"/>
      <c r="M225" s="275"/>
      <c r="N225" s="275"/>
    </row>
    <row r="226">
      <c r="B226" s="275"/>
      <c r="C226" s="275"/>
      <c r="D226" s="275"/>
      <c r="E226" s="275"/>
      <c r="F226" s="275"/>
      <c r="G226" s="275"/>
      <c r="H226" s="275"/>
      <c r="I226" s="275"/>
      <c r="J226" s="275"/>
      <c r="K226" s="275"/>
      <c r="L226" s="275"/>
      <c r="M226" s="275"/>
      <c r="N226" s="275"/>
    </row>
    <row r="227">
      <c r="B227" s="275"/>
      <c r="C227" s="275"/>
      <c r="D227" s="275"/>
      <c r="E227" s="275"/>
      <c r="F227" s="275"/>
      <c r="G227" s="275"/>
      <c r="H227" s="275"/>
      <c r="I227" s="275"/>
      <c r="J227" s="275"/>
      <c r="K227" s="275"/>
      <c r="L227" s="275"/>
      <c r="M227" s="275"/>
      <c r="N227" s="275"/>
    </row>
    <row r="228">
      <c r="B228" s="275"/>
      <c r="C228" s="275"/>
      <c r="D228" s="275"/>
      <c r="E228" s="275"/>
      <c r="F228" s="275"/>
      <c r="G228" s="275"/>
      <c r="H228" s="275"/>
      <c r="I228" s="275"/>
      <c r="J228" s="275"/>
      <c r="K228" s="275"/>
      <c r="L228" s="275"/>
      <c r="M228" s="275"/>
      <c r="N228" s="275"/>
    </row>
    <row r="229">
      <c r="B229" s="275"/>
      <c r="C229" s="275"/>
      <c r="D229" s="275"/>
      <c r="E229" s="275"/>
      <c r="F229" s="275"/>
      <c r="G229" s="275"/>
      <c r="H229" s="275"/>
      <c r="I229" s="275"/>
      <c r="J229" s="275"/>
      <c r="K229" s="275"/>
      <c r="L229" s="275"/>
      <c r="M229" s="275"/>
      <c r="N229" s="275"/>
    </row>
    <row r="230">
      <c r="B230" s="275"/>
      <c r="C230" s="275"/>
      <c r="D230" s="275"/>
      <c r="E230" s="275"/>
      <c r="F230" s="275"/>
      <c r="G230" s="275"/>
      <c r="H230" s="275"/>
      <c r="I230" s="275"/>
      <c r="J230" s="275"/>
      <c r="K230" s="275"/>
      <c r="L230" s="275"/>
      <c r="M230" s="275"/>
      <c r="N230" s="275"/>
    </row>
    <row r="231">
      <c r="B231" s="275"/>
      <c r="C231" s="275"/>
      <c r="D231" s="275"/>
      <c r="E231" s="275"/>
      <c r="F231" s="275"/>
      <c r="G231" s="275"/>
      <c r="H231" s="275"/>
      <c r="I231" s="275"/>
      <c r="J231" s="275"/>
      <c r="K231" s="275"/>
      <c r="L231" s="275"/>
      <c r="M231" s="275"/>
      <c r="N231" s="275"/>
    </row>
    <row r="232">
      <c r="B232" s="275"/>
      <c r="C232" s="275"/>
      <c r="D232" s="275"/>
      <c r="E232" s="275"/>
      <c r="F232" s="275"/>
      <c r="G232" s="275"/>
      <c r="H232" s="275"/>
      <c r="I232" s="275"/>
      <c r="J232" s="275"/>
      <c r="K232" s="275"/>
      <c r="L232" s="275"/>
      <c r="M232" s="275"/>
      <c r="N232" s="275"/>
    </row>
    <row r="233">
      <c r="B233" s="275"/>
      <c r="C233" s="275"/>
      <c r="D233" s="275"/>
      <c r="E233" s="275"/>
      <c r="F233" s="275"/>
      <c r="G233" s="275"/>
      <c r="H233" s="275"/>
      <c r="I233" s="275"/>
      <c r="J233" s="275"/>
      <c r="K233" s="275"/>
      <c r="L233" s="275"/>
      <c r="M233" s="275"/>
      <c r="N233" s="275"/>
    </row>
    <row r="234">
      <c r="B234" s="275"/>
      <c r="C234" s="275"/>
      <c r="D234" s="275"/>
      <c r="E234" s="275"/>
      <c r="F234" s="275"/>
      <c r="G234" s="275"/>
      <c r="H234" s="275"/>
      <c r="I234" s="275"/>
      <c r="J234" s="275"/>
      <c r="K234" s="275"/>
      <c r="L234" s="275"/>
      <c r="M234" s="275"/>
      <c r="N234" s="275"/>
    </row>
    <row r="235">
      <c r="B235" s="275"/>
      <c r="C235" s="275"/>
      <c r="D235" s="275"/>
      <c r="E235" s="275"/>
      <c r="F235" s="275"/>
      <c r="G235" s="275"/>
      <c r="H235" s="275"/>
      <c r="I235" s="275"/>
      <c r="J235" s="275"/>
      <c r="K235" s="275"/>
      <c r="L235" s="275"/>
      <c r="M235" s="275"/>
      <c r="N235" s="275"/>
    </row>
    <row r="236">
      <c r="B236" s="275"/>
      <c r="C236" s="275"/>
      <c r="D236" s="275"/>
      <c r="E236" s="275"/>
      <c r="F236" s="275"/>
      <c r="G236" s="275"/>
      <c r="H236" s="275"/>
      <c r="I236" s="275"/>
      <c r="J236" s="275"/>
      <c r="K236" s="275"/>
      <c r="L236" s="275"/>
      <c r="M236" s="275"/>
      <c r="N236" s="275"/>
    </row>
    <row r="237">
      <c r="B237" s="275"/>
      <c r="C237" s="275"/>
      <c r="D237" s="275"/>
      <c r="E237" s="275"/>
      <c r="F237" s="275"/>
      <c r="G237" s="275"/>
      <c r="H237" s="275"/>
      <c r="I237" s="275"/>
      <c r="J237" s="275"/>
      <c r="K237" s="275"/>
      <c r="L237" s="275"/>
      <c r="M237" s="275"/>
      <c r="N237" s="275"/>
    </row>
    <row r="238">
      <c r="B238" s="275"/>
      <c r="C238" s="275"/>
      <c r="D238" s="275"/>
      <c r="E238" s="275"/>
      <c r="F238" s="275"/>
      <c r="G238" s="275"/>
      <c r="H238" s="275"/>
      <c r="I238" s="275"/>
      <c r="J238" s="275"/>
      <c r="K238" s="275"/>
      <c r="L238" s="275"/>
      <c r="M238" s="275"/>
      <c r="N238" s="275"/>
    </row>
    <row r="239">
      <c r="B239" s="275"/>
      <c r="C239" s="275"/>
      <c r="D239" s="275"/>
      <c r="E239" s="275"/>
      <c r="F239" s="275"/>
      <c r="G239" s="275"/>
      <c r="H239" s="275"/>
      <c r="I239" s="275"/>
      <c r="J239" s="275"/>
      <c r="K239" s="275"/>
      <c r="L239" s="275"/>
      <c r="M239" s="275"/>
      <c r="N239" s="275"/>
    </row>
    <row r="240">
      <c r="B240" s="275"/>
      <c r="C240" s="275"/>
      <c r="D240" s="275"/>
      <c r="E240" s="275"/>
      <c r="F240" s="275"/>
      <c r="G240" s="275"/>
      <c r="H240" s="275"/>
      <c r="I240" s="275"/>
      <c r="J240" s="275"/>
      <c r="K240" s="275"/>
      <c r="L240" s="275"/>
      <c r="M240" s="275"/>
      <c r="N240" s="275"/>
    </row>
    <row r="241">
      <c r="B241" s="275"/>
      <c r="C241" s="275"/>
      <c r="D241" s="275"/>
      <c r="E241" s="275"/>
      <c r="F241" s="275"/>
      <c r="G241" s="275"/>
      <c r="H241" s="275"/>
      <c r="I241" s="275"/>
      <c r="J241" s="275"/>
      <c r="K241" s="275"/>
      <c r="L241" s="275"/>
      <c r="M241" s="275"/>
      <c r="N241" s="275"/>
    </row>
    <row r="242">
      <c r="B242" s="275"/>
      <c r="C242" s="275"/>
      <c r="D242" s="275"/>
      <c r="E242" s="275"/>
      <c r="F242" s="275"/>
      <c r="G242" s="275"/>
      <c r="H242" s="275"/>
      <c r="I242" s="275"/>
      <c r="J242" s="275"/>
      <c r="K242" s="275"/>
      <c r="L242" s="275"/>
      <c r="M242" s="275"/>
      <c r="N242" s="275"/>
    </row>
    <row r="243">
      <c r="B243" s="275"/>
      <c r="C243" s="275"/>
      <c r="D243" s="275"/>
      <c r="E243" s="275"/>
      <c r="F243" s="275"/>
      <c r="G243" s="275"/>
      <c r="H243" s="275"/>
      <c r="I243" s="275"/>
      <c r="J243" s="275"/>
      <c r="K243" s="275"/>
      <c r="L243" s="275"/>
      <c r="M243" s="275"/>
      <c r="N243" s="275"/>
    </row>
    <row r="244">
      <c r="B244" s="275"/>
      <c r="C244" s="275"/>
      <c r="D244" s="275"/>
      <c r="E244" s="275"/>
      <c r="F244" s="275"/>
      <c r="G244" s="275"/>
      <c r="H244" s="275"/>
      <c r="I244" s="275"/>
      <c r="J244" s="275"/>
      <c r="K244" s="275"/>
      <c r="L244" s="275"/>
      <c r="M244" s="275"/>
      <c r="N244" s="275"/>
    </row>
    <row r="245">
      <c r="B245" s="275"/>
      <c r="C245" s="275"/>
      <c r="D245" s="275"/>
      <c r="E245" s="275"/>
      <c r="F245" s="275"/>
      <c r="G245" s="275"/>
      <c r="H245" s="275"/>
      <c r="I245" s="275"/>
      <c r="J245" s="275"/>
      <c r="K245" s="275"/>
      <c r="L245" s="275"/>
      <c r="M245" s="275"/>
      <c r="N245" s="275"/>
    </row>
    <row r="246">
      <c r="B246" s="275"/>
      <c r="C246" s="275"/>
      <c r="D246" s="275"/>
      <c r="E246" s="275"/>
      <c r="F246" s="275"/>
      <c r="G246" s="275"/>
      <c r="H246" s="275"/>
      <c r="I246" s="275"/>
      <c r="J246" s="275"/>
      <c r="K246" s="275"/>
      <c r="L246" s="275"/>
      <c r="M246" s="275"/>
      <c r="N246" s="275"/>
    </row>
    <row r="247">
      <c r="B247" s="275"/>
      <c r="C247" s="275"/>
      <c r="D247" s="275"/>
      <c r="E247" s="275"/>
      <c r="F247" s="275"/>
      <c r="G247" s="275"/>
      <c r="H247" s="275"/>
      <c r="I247" s="275"/>
      <c r="J247" s="275"/>
      <c r="K247" s="275"/>
      <c r="L247" s="275"/>
      <c r="M247" s="275"/>
      <c r="N247" s="275"/>
    </row>
    <row r="248">
      <c r="B248" s="275"/>
      <c r="C248" s="275"/>
      <c r="D248" s="275"/>
      <c r="E248" s="275"/>
      <c r="F248" s="275"/>
      <c r="G248" s="275"/>
      <c r="H248" s="275"/>
      <c r="I248" s="275"/>
      <c r="J248" s="275"/>
      <c r="K248" s="275"/>
      <c r="L248" s="275"/>
      <c r="M248" s="275"/>
      <c r="N248" s="275"/>
    </row>
    <row r="249">
      <c r="B249" s="275"/>
      <c r="C249" s="275"/>
      <c r="D249" s="275"/>
      <c r="E249" s="275"/>
      <c r="F249" s="275"/>
      <c r="G249" s="275"/>
      <c r="H249" s="275"/>
      <c r="I249" s="275"/>
      <c r="J249" s="275"/>
      <c r="K249" s="275"/>
      <c r="L249" s="275"/>
      <c r="M249" s="275"/>
      <c r="N249" s="275"/>
    </row>
    <row r="250">
      <c r="B250" s="275"/>
      <c r="C250" s="275"/>
      <c r="D250" s="275"/>
      <c r="E250" s="275"/>
      <c r="F250" s="275"/>
      <c r="G250" s="275"/>
      <c r="H250" s="275"/>
      <c r="I250" s="275"/>
      <c r="J250" s="275"/>
      <c r="K250" s="275"/>
      <c r="L250" s="275"/>
      <c r="M250" s="275"/>
      <c r="N250" s="275"/>
    </row>
    <row r="251">
      <c r="B251" s="275"/>
      <c r="C251" s="275"/>
      <c r="D251" s="275"/>
      <c r="E251" s="275"/>
      <c r="F251" s="275"/>
      <c r="G251" s="275"/>
      <c r="H251" s="275"/>
      <c r="I251" s="275"/>
      <c r="J251" s="275"/>
      <c r="K251" s="275"/>
      <c r="L251" s="275"/>
      <c r="M251" s="275"/>
      <c r="N251" s="275"/>
    </row>
    <row r="252">
      <c r="B252" s="275"/>
      <c r="C252" s="275"/>
      <c r="D252" s="275"/>
      <c r="E252" s="275"/>
      <c r="F252" s="275"/>
      <c r="G252" s="275"/>
      <c r="H252" s="275"/>
      <c r="I252" s="275"/>
      <c r="J252" s="275"/>
      <c r="K252" s="275"/>
      <c r="L252" s="275"/>
      <c r="M252" s="275"/>
      <c r="N252" s="275"/>
    </row>
    <row r="253">
      <c r="B253" s="275"/>
      <c r="C253" s="275"/>
      <c r="D253" s="275"/>
      <c r="E253" s="275"/>
      <c r="F253" s="275"/>
      <c r="G253" s="275"/>
      <c r="H253" s="275"/>
      <c r="I253" s="275"/>
      <c r="J253" s="275"/>
      <c r="K253" s="275"/>
      <c r="L253" s="275"/>
      <c r="M253" s="275"/>
      <c r="N253" s="275"/>
    </row>
    <row r="254">
      <c r="B254" s="275"/>
      <c r="C254" s="275"/>
      <c r="D254" s="275"/>
      <c r="E254" s="275"/>
      <c r="F254" s="275"/>
      <c r="G254" s="275"/>
      <c r="H254" s="275"/>
      <c r="I254" s="275"/>
      <c r="J254" s="275"/>
      <c r="K254" s="275"/>
      <c r="L254" s="275"/>
      <c r="M254" s="275"/>
      <c r="N254" s="275"/>
    </row>
    <row r="255">
      <c r="B255" s="275"/>
      <c r="C255" s="275"/>
      <c r="D255" s="275"/>
      <c r="E255" s="275"/>
      <c r="F255" s="275"/>
      <c r="G255" s="275"/>
      <c r="H255" s="275"/>
      <c r="I255" s="275"/>
      <c r="J255" s="275"/>
      <c r="K255" s="275"/>
      <c r="L255" s="275"/>
      <c r="M255" s="275"/>
      <c r="N255" s="275"/>
    </row>
    <row r="256">
      <c r="B256" s="275"/>
      <c r="C256" s="275"/>
      <c r="D256" s="275"/>
      <c r="E256" s="275"/>
      <c r="F256" s="275"/>
      <c r="G256" s="275"/>
      <c r="H256" s="275"/>
      <c r="I256" s="275"/>
      <c r="J256" s="275"/>
      <c r="K256" s="275"/>
      <c r="L256" s="275"/>
      <c r="M256" s="275"/>
      <c r="N256" s="275"/>
    </row>
    <row r="257">
      <c r="B257" s="275"/>
      <c r="C257" s="275"/>
      <c r="D257" s="275"/>
      <c r="E257" s="275"/>
      <c r="F257" s="275"/>
      <c r="G257" s="275"/>
      <c r="H257" s="275"/>
      <c r="I257" s="275"/>
      <c r="J257" s="275"/>
      <c r="K257" s="275"/>
      <c r="L257" s="275"/>
      <c r="M257" s="275"/>
      <c r="N257" s="275"/>
    </row>
    <row r="258">
      <c r="B258" s="275"/>
      <c r="C258" s="275"/>
      <c r="D258" s="275"/>
      <c r="E258" s="275"/>
      <c r="F258" s="275"/>
      <c r="G258" s="275"/>
      <c r="H258" s="275"/>
      <c r="I258" s="275"/>
      <c r="J258" s="275"/>
      <c r="K258" s="275"/>
      <c r="L258" s="275"/>
      <c r="M258" s="275"/>
      <c r="N258" s="275"/>
    </row>
    <row r="259">
      <c r="B259" s="275"/>
      <c r="C259" s="275"/>
      <c r="D259" s="275"/>
      <c r="E259" s="275"/>
      <c r="F259" s="275"/>
      <c r="G259" s="275"/>
      <c r="H259" s="275"/>
      <c r="I259" s="275"/>
      <c r="J259" s="275"/>
      <c r="K259" s="275"/>
      <c r="L259" s="275"/>
      <c r="M259" s="275"/>
      <c r="N259" s="275"/>
    </row>
    <row r="260">
      <c r="B260" s="275"/>
      <c r="C260" s="275"/>
      <c r="D260" s="275"/>
      <c r="E260" s="275"/>
      <c r="F260" s="275"/>
      <c r="G260" s="275"/>
      <c r="H260" s="275"/>
      <c r="I260" s="275"/>
      <c r="J260" s="275"/>
      <c r="K260" s="275"/>
      <c r="L260" s="275"/>
      <c r="M260" s="275"/>
      <c r="N260" s="275"/>
    </row>
    <row r="261">
      <c r="B261" s="275"/>
      <c r="C261" s="275"/>
      <c r="D261" s="275"/>
      <c r="E261" s="275"/>
      <c r="F261" s="275"/>
      <c r="G261" s="275"/>
      <c r="H261" s="275"/>
      <c r="I261" s="275"/>
      <c r="J261" s="275"/>
      <c r="K261" s="275"/>
      <c r="L261" s="275"/>
      <c r="M261" s="275"/>
      <c r="N261" s="275"/>
    </row>
    <row r="262">
      <c r="B262" s="275"/>
      <c r="C262" s="275"/>
      <c r="D262" s="275"/>
      <c r="E262" s="275"/>
      <c r="F262" s="275"/>
      <c r="G262" s="275"/>
      <c r="H262" s="275"/>
      <c r="I262" s="275"/>
      <c r="J262" s="275"/>
      <c r="K262" s="275"/>
      <c r="L262" s="275"/>
      <c r="M262" s="275"/>
      <c r="N262" s="275"/>
    </row>
    <row r="263">
      <c r="B263" s="275"/>
      <c r="C263" s="275"/>
      <c r="D263" s="275"/>
      <c r="E263" s="275"/>
      <c r="F263" s="275"/>
      <c r="G263" s="275"/>
      <c r="H263" s="275"/>
      <c r="I263" s="275"/>
      <c r="J263" s="275"/>
      <c r="K263" s="275"/>
      <c r="L263" s="275"/>
      <c r="M263" s="275"/>
      <c r="N263" s="275"/>
    </row>
    <row r="264">
      <c r="B264" s="275"/>
      <c r="C264" s="275"/>
      <c r="D264" s="275"/>
      <c r="E264" s="275"/>
      <c r="F264" s="275"/>
      <c r="G264" s="275"/>
      <c r="H264" s="275"/>
      <c r="I264" s="275"/>
      <c r="J264" s="275"/>
      <c r="K264" s="275"/>
      <c r="L264" s="275"/>
      <c r="M264" s="275"/>
      <c r="N264" s="275"/>
    </row>
    <row r="265">
      <c r="B265" s="275"/>
      <c r="C265" s="275"/>
      <c r="D265" s="275"/>
      <c r="E265" s="275"/>
      <c r="F265" s="275"/>
      <c r="G265" s="275"/>
      <c r="H265" s="275"/>
      <c r="I265" s="275"/>
      <c r="J265" s="275"/>
      <c r="K265" s="275"/>
      <c r="L265" s="275"/>
      <c r="M265" s="275"/>
      <c r="N265" s="275"/>
    </row>
    <row r="266">
      <c r="B266" s="275"/>
      <c r="C266" s="275"/>
      <c r="D266" s="275"/>
      <c r="E266" s="275"/>
      <c r="F266" s="275"/>
      <c r="G266" s="275"/>
      <c r="H266" s="275"/>
      <c r="I266" s="275"/>
      <c r="J266" s="275"/>
      <c r="K266" s="275"/>
      <c r="L266" s="275"/>
      <c r="M266" s="275"/>
      <c r="N266" s="275"/>
    </row>
    <row r="267">
      <c r="B267" s="275"/>
      <c r="C267" s="275"/>
      <c r="D267" s="275"/>
      <c r="E267" s="275"/>
      <c r="F267" s="275"/>
      <c r="G267" s="275"/>
      <c r="H267" s="275"/>
      <c r="I267" s="275"/>
      <c r="J267" s="275"/>
      <c r="K267" s="275"/>
      <c r="L267" s="275"/>
      <c r="M267" s="275"/>
      <c r="N267" s="275"/>
    </row>
    <row r="268">
      <c r="B268" s="275"/>
      <c r="C268" s="275"/>
      <c r="D268" s="275"/>
      <c r="E268" s="275"/>
      <c r="F268" s="275"/>
      <c r="G268" s="275"/>
      <c r="H268" s="275"/>
      <c r="I268" s="275"/>
      <c r="J268" s="275"/>
      <c r="K268" s="275"/>
      <c r="L268" s="275"/>
      <c r="M268" s="275"/>
      <c r="N268" s="275"/>
    </row>
    <row r="269">
      <c r="B269" s="275"/>
      <c r="C269" s="275"/>
      <c r="D269" s="275"/>
      <c r="E269" s="275"/>
      <c r="F269" s="275"/>
      <c r="G269" s="275"/>
      <c r="H269" s="275"/>
      <c r="I269" s="275"/>
      <c r="J269" s="275"/>
      <c r="K269" s="275"/>
      <c r="L269" s="275"/>
      <c r="M269" s="275"/>
      <c r="N269" s="275"/>
    </row>
    <row r="270">
      <c r="B270" s="275"/>
      <c r="C270" s="275"/>
      <c r="D270" s="275"/>
      <c r="E270" s="275"/>
      <c r="F270" s="275"/>
      <c r="G270" s="275"/>
      <c r="H270" s="275"/>
      <c r="I270" s="275"/>
      <c r="J270" s="275"/>
      <c r="K270" s="275"/>
      <c r="L270" s="275"/>
      <c r="M270" s="275"/>
      <c r="N270" s="275"/>
    </row>
    <row r="271">
      <c r="B271" s="275"/>
      <c r="C271" s="275"/>
      <c r="D271" s="275"/>
      <c r="E271" s="275"/>
      <c r="F271" s="275"/>
      <c r="G271" s="275"/>
      <c r="H271" s="275"/>
      <c r="I271" s="275"/>
      <c r="J271" s="275"/>
      <c r="K271" s="275"/>
      <c r="L271" s="275"/>
      <c r="M271" s="275"/>
      <c r="N271" s="275"/>
    </row>
    <row r="272">
      <c r="B272" s="275"/>
      <c r="C272" s="275"/>
      <c r="D272" s="275"/>
      <c r="E272" s="275"/>
      <c r="F272" s="275"/>
      <c r="G272" s="275"/>
      <c r="H272" s="275"/>
      <c r="I272" s="275"/>
      <c r="J272" s="275"/>
      <c r="K272" s="275"/>
      <c r="L272" s="275"/>
      <c r="M272" s="275"/>
      <c r="N272" s="275"/>
    </row>
    <row r="273">
      <c r="B273" s="275"/>
      <c r="C273" s="275"/>
      <c r="D273" s="275"/>
      <c r="E273" s="275"/>
      <c r="F273" s="275"/>
      <c r="G273" s="275"/>
      <c r="H273" s="275"/>
      <c r="I273" s="275"/>
      <c r="J273" s="275"/>
      <c r="K273" s="275"/>
      <c r="L273" s="275"/>
      <c r="M273" s="275"/>
      <c r="N273" s="275"/>
    </row>
    <row r="274">
      <c r="B274" s="275"/>
      <c r="C274" s="275"/>
      <c r="D274" s="275"/>
      <c r="E274" s="275"/>
      <c r="F274" s="275"/>
      <c r="G274" s="275"/>
      <c r="H274" s="275"/>
      <c r="I274" s="275"/>
      <c r="J274" s="275"/>
      <c r="K274" s="275"/>
      <c r="L274" s="275"/>
      <c r="M274" s="275"/>
      <c r="N274" s="275"/>
    </row>
    <row r="275">
      <c r="B275" s="275"/>
      <c r="C275" s="275"/>
      <c r="D275" s="275"/>
      <c r="E275" s="275"/>
      <c r="F275" s="275"/>
      <c r="G275" s="275"/>
      <c r="H275" s="275"/>
      <c r="I275" s="275"/>
      <c r="J275" s="275"/>
      <c r="K275" s="275"/>
      <c r="L275" s="275"/>
      <c r="M275" s="275"/>
      <c r="N275" s="275"/>
    </row>
    <row r="276">
      <c r="B276" s="275"/>
      <c r="C276" s="275"/>
      <c r="D276" s="275"/>
      <c r="E276" s="275"/>
      <c r="F276" s="275"/>
      <c r="G276" s="275"/>
      <c r="H276" s="275"/>
      <c r="I276" s="275"/>
      <c r="J276" s="275"/>
      <c r="K276" s="275"/>
      <c r="L276" s="275"/>
      <c r="M276" s="275"/>
      <c r="N276" s="275"/>
    </row>
    <row r="277">
      <c r="B277" s="275"/>
      <c r="C277" s="275"/>
      <c r="D277" s="275"/>
      <c r="E277" s="275"/>
      <c r="F277" s="275"/>
      <c r="G277" s="275"/>
      <c r="H277" s="275"/>
      <c r="I277" s="275"/>
      <c r="J277" s="275"/>
      <c r="K277" s="275"/>
      <c r="L277" s="275"/>
      <c r="M277" s="275"/>
      <c r="N277" s="275"/>
    </row>
    <row r="278">
      <c r="B278" s="275"/>
      <c r="C278" s="275"/>
      <c r="D278" s="275"/>
      <c r="E278" s="275"/>
      <c r="F278" s="275"/>
      <c r="G278" s="275"/>
      <c r="H278" s="275"/>
      <c r="I278" s="275"/>
      <c r="J278" s="275"/>
      <c r="K278" s="275"/>
      <c r="L278" s="275"/>
      <c r="M278" s="275"/>
      <c r="N278" s="275"/>
    </row>
    <row r="279">
      <c r="B279" s="275"/>
      <c r="C279" s="275"/>
      <c r="D279" s="275"/>
      <c r="E279" s="275"/>
      <c r="F279" s="275"/>
      <c r="G279" s="275"/>
      <c r="H279" s="275"/>
      <c r="I279" s="275"/>
      <c r="J279" s="275"/>
      <c r="K279" s="275"/>
      <c r="L279" s="275"/>
      <c r="M279" s="275"/>
      <c r="N279" s="275"/>
    </row>
    <row r="280">
      <c r="B280" s="275"/>
      <c r="C280" s="275"/>
      <c r="D280" s="275"/>
      <c r="E280" s="275"/>
      <c r="F280" s="275"/>
      <c r="G280" s="275"/>
      <c r="H280" s="275"/>
      <c r="I280" s="275"/>
      <c r="J280" s="275"/>
      <c r="K280" s="275"/>
      <c r="L280" s="275"/>
      <c r="M280" s="275"/>
      <c r="N280" s="275"/>
    </row>
    <row r="281">
      <c r="B281" s="275"/>
      <c r="C281" s="275"/>
      <c r="D281" s="275"/>
      <c r="E281" s="275"/>
      <c r="F281" s="275"/>
      <c r="G281" s="275"/>
      <c r="H281" s="275"/>
      <c r="I281" s="275"/>
      <c r="J281" s="275"/>
      <c r="K281" s="275"/>
      <c r="L281" s="275"/>
      <c r="M281" s="275"/>
      <c r="N281" s="275"/>
    </row>
    <row r="282">
      <c r="B282" s="275"/>
      <c r="C282" s="275"/>
      <c r="D282" s="275"/>
      <c r="E282" s="275"/>
      <c r="F282" s="275"/>
      <c r="G282" s="275"/>
      <c r="H282" s="275"/>
      <c r="I282" s="275"/>
      <c r="J282" s="275"/>
      <c r="K282" s="275"/>
      <c r="L282" s="275"/>
      <c r="M282" s="275"/>
      <c r="N282" s="275"/>
    </row>
    <row r="283">
      <c r="B283" s="275"/>
      <c r="C283" s="275"/>
      <c r="D283" s="275"/>
      <c r="E283" s="275"/>
      <c r="F283" s="275"/>
      <c r="G283" s="275"/>
      <c r="H283" s="275"/>
      <c r="I283" s="275"/>
      <c r="J283" s="275"/>
      <c r="K283" s="275"/>
      <c r="L283" s="275"/>
      <c r="M283" s="275"/>
      <c r="N283" s="275"/>
    </row>
    <row r="284">
      <c r="B284" s="275"/>
      <c r="C284" s="275"/>
      <c r="D284" s="275"/>
      <c r="E284" s="275"/>
      <c r="F284" s="275"/>
      <c r="G284" s="275"/>
      <c r="H284" s="275"/>
      <c r="I284" s="275"/>
      <c r="J284" s="275"/>
      <c r="K284" s="275"/>
      <c r="L284" s="275"/>
      <c r="M284" s="275"/>
      <c r="N284" s="275"/>
    </row>
    <row r="285">
      <c r="B285" s="275"/>
      <c r="C285" s="275"/>
      <c r="D285" s="275"/>
      <c r="E285" s="275"/>
      <c r="F285" s="275"/>
      <c r="G285" s="275"/>
      <c r="H285" s="275"/>
      <c r="I285" s="275"/>
      <c r="J285" s="275"/>
      <c r="K285" s="275"/>
      <c r="L285" s="275"/>
      <c r="M285" s="275"/>
      <c r="N285" s="275"/>
    </row>
    <row r="286">
      <c r="B286" s="275"/>
      <c r="C286" s="275"/>
      <c r="D286" s="275"/>
      <c r="E286" s="275"/>
      <c r="F286" s="275"/>
      <c r="G286" s="275"/>
      <c r="H286" s="275"/>
      <c r="I286" s="275"/>
      <c r="J286" s="275"/>
      <c r="K286" s="275"/>
      <c r="L286" s="275"/>
      <c r="M286" s="275"/>
      <c r="N286" s="275"/>
    </row>
    <row r="287">
      <c r="B287" s="275"/>
      <c r="C287" s="275"/>
      <c r="D287" s="275"/>
      <c r="E287" s="275"/>
      <c r="F287" s="275"/>
      <c r="G287" s="275"/>
      <c r="H287" s="275"/>
      <c r="I287" s="275"/>
      <c r="J287" s="275"/>
      <c r="K287" s="275"/>
      <c r="L287" s="275"/>
      <c r="M287" s="275"/>
      <c r="N287" s="275"/>
    </row>
    <row r="288">
      <c r="B288" s="275"/>
      <c r="C288" s="275"/>
      <c r="D288" s="275"/>
      <c r="E288" s="275"/>
      <c r="F288" s="275"/>
      <c r="G288" s="275"/>
      <c r="H288" s="275"/>
      <c r="I288" s="275"/>
      <c r="J288" s="275"/>
      <c r="K288" s="275"/>
      <c r="L288" s="275"/>
      <c r="M288" s="275"/>
      <c r="N288" s="275"/>
    </row>
    <row r="289">
      <c r="B289" s="275"/>
      <c r="C289" s="275"/>
      <c r="D289" s="275"/>
      <c r="E289" s="275"/>
      <c r="F289" s="275"/>
      <c r="G289" s="275"/>
      <c r="H289" s="275"/>
      <c r="I289" s="275"/>
      <c r="J289" s="275"/>
      <c r="K289" s="275"/>
      <c r="L289" s="275"/>
      <c r="M289" s="275"/>
      <c r="N289" s="275"/>
    </row>
    <row r="290">
      <c r="B290" s="275"/>
      <c r="C290" s="275"/>
      <c r="D290" s="275"/>
      <c r="E290" s="275"/>
      <c r="F290" s="275"/>
      <c r="G290" s="275"/>
      <c r="H290" s="275"/>
      <c r="I290" s="275"/>
      <c r="J290" s="275"/>
      <c r="K290" s="275"/>
      <c r="L290" s="275"/>
      <c r="M290" s="275"/>
      <c r="N290" s="275"/>
    </row>
    <row r="291">
      <c r="B291" s="275"/>
      <c r="C291" s="275"/>
      <c r="D291" s="275"/>
      <c r="E291" s="275"/>
      <c r="F291" s="275"/>
      <c r="G291" s="275"/>
      <c r="H291" s="275"/>
      <c r="I291" s="275"/>
      <c r="J291" s="275"/>
      <c r="K291" s="275"/>
      <c r="L291" s="275"/>
      <c r="M291" s="275"/>
      <c r="N291" s="275"/>
    </row>
    <row r="292">
      <c r="B292" s="275"/>
      <c r="C292" s="275"/>
      <c r="D292" s="275"/>
      <c r="E292" s="275"/>
      <c r="F292" s="275"/>
      <c r="G292" s="275"/>
      <c r="H292" s="275"/>
      <c r="I292" s="275"/>
      <c r="J292" s="275"/>
      <c r="K292" s="275"/>
      <c r="L292" s="275"/>
      <c r="M292" s="275"/>
      <c r="N292" s="275"/>
    </row>
    <row r="293">
      <c r="B293" s="275"/>
      <c r="C293" s="275"/>
      <c r="D293" s="275"/>
      <c r="E293" s="275"/>
      <c r="F293" s="275"/>
      <c r="G293" s="275"/>
      <c r="H293" s="275"/>
      <c r="I293" s="275"/>
      <c r="J293" s="275"/>
      <c r="K293" s="275"/>
      <c r="L293" s="275"/>
      <c r="M293" s="275"/>
      <c r="N293" s="275"/>
    </row>
    <row r="294">
      <c r="B294" s="275"/>
      <c r="C294" s="275"/>
      <c r="D294" s="275"/>
      <c r="E294" s="275"/>
      <c r="F294" s="275"/>
      <c r="G294" s="275"/>
      <c r="H294" s="275"/>
      <c r="I294" s="275"/>
      <c r="J294" s="275"/>
      <c r="K294" s="275"/>
      <c r="L294" s="275"/>
      <c r="M294" s="275"/>
      <c r="N294" s="275"/>
    </row>
    <row r="295">
      <c r="B295" s="275"/>
      <c r="C295" s="275"/>
      <c r="D295" s="275"/>
      <c r="E295" s="275"/>
      <c r="F295" s="275"/>
      <c r="G295" s="275"/>
      <c r="H295" s="275"/>
      <c r="I295" s="275"/>
      <c r="J295" s="275"/>
      <c r="K295" s="275"/>
      <c r="L295" s="275"/>
      <c r="M295" s="275"/>
      <c r="N295" s="275"/>
    </row>
    <row r="296">
      <c r="B296" s="275"/>
      <c r="C296" s="275"/>
      <c r="D296" s="275"/>
      <c r="E296" s="275"/>
      <c r="F296" s="275"/>
      <c r="G296" s="275"/>
      <c r="H296" s="275"/>
      <c r="I296" s="275"/>
      <c r="J296" s="275"/>
      <c r="K296" s="275"/>
      <c r="L296" s="275"/>
      <c r="M296" s="275"/>
      <c r="N296" s="275"/>
    </row>
    <row r="297">
      <c r="B297" s="275"/>
      <c r="C297" s="275"/>
      <c r="D297" s="275"/>
      <c r="E297" s="275"/>
      <c r="F297" s="275"/>
      <c r="G297" s="275"/>
      <c r="H297" s="275"/>
      <c r="I297" s="275"/>
      <c r="J297" s="275"/>
      <c r="K297" s="275"/>
      <c r="L297" s="275"/>
      <c r="M297" s="275"/>
      <c r="N297" s="275"/>
    </row>
    <row r="298">
      <c r="B298" s="275"/>
      <c r="C298" s="275"/>
      <c r="D298" s="275"/>
      <c r="E298" s="275"/>
      <c r="F298" s="275"/>
      <c r="G298" s="275"/>
      <c r="H298" s="275"/>
      <c r="I298" s="275"/>
      <c r="J298" s="275"/>
      <c r="K298" s="275"/>
      <c r="L298" s="275"/>
      <c r="M298" s="275"/>
      <c r="N298" s="275"/>
    </row>
    <row r="299">
      <c r="B299" s="275"/>
      <c r="C299" s="275"/>
      <c r="D299" s="275"/>
      <c r="E299" s="275"/>
      <c r="F299" s="275"/>
      <c r="G299" s="275"/>
      <c r="H299" s="275"/>
      <c r="I299" s="275"/>
      <c r="J299" s="275"/>
      <c r="K299" s="275"/>
      <c r="L299" s="275"/>
      <c r="M299" s="275"/>
      <c r="N299" s="275"/>
    </row>
    <row r="300">
      <c r="B300" s="275"/>
      <c r="C300" s="275"/>
      <c r="D300" s="275"/>
      <c r="E300" s="275"/>
      <c r="F300" s="275"/>
      <c r="G300" s="275"/>
      <c r="H300" s="275"/>
      <c r="I300" s="275"/>
      <c r="J300" s="275"/>
      <c r="K300" s="275"/>
      <c r="L300" s="275"/>
      <c r="M300" s="275"/>
      <c r="N300" s="275"/>
    </row>
    <row r="301">
      <c r="B301" s="275"/>
      <c r="C301" s="275"/>
      <c r="D301" s="275"/>
      <c r="E301" s="275"/>
      <c r="F301" s="275"/>
      <c r="G301" s="275"/>
      <c r="H301" s="275"/>
      <c r="I301" s="275"/>
      <c r="J301" s="275"/>
      <c r="K301" s="275"/>
      <c r="L301" s="275"/>
      <c r="M301" s="275"/>
      <c r="N301" s="275"/>
    </row>
    <row r="302">
      <c r="B302" s="275"/>
      <c r="C302" s="275"/>
      <c r="D302" s="275"/>
      <c r="E302" s="275"/>
      <c r="F302" s="275"/>
      <c r="G302" s="275"/>
      <c r="H302" s="275"/>
      <c r="I302" s="275"/>
      <c r="J302" s="275"/>
      <c r="K302" s="275"/>
      <c r="L302" s="275"/>
      <c r="M302" s="275"/>
      <c r="N302" s="275"/>
    </row>
    <row r="303">
      <c r="B303" s="275"/>
      <c r="C303" s="275"/>
      <c r="D303" s="275"/>
      <c r="E303" s="275"/>
      <c r="F303" s="275"/>
      <c r="G303" s="275"/>
      <c r="H303" s="275"/>
      <c r="I303" s="275"/>
      <c r="J303" s="275"/>
      <c r="K303" s="275"/>
      <c r="L303" s="275"/>
      <c r="M303" s="275"/>
      <c r="N303" s="275"/>
    </row>
    <row r="304">
      <c r="B304" s="275"/>
      <c r="C304" s="275"/>
      <c r="D304" s="275"/>
      <c r="E304" s="275"/>
      <c r="F304" s="275"/>
      <c r="G304" s="275"/>
      <c r="H304" s="275"/>
      <c r="I304" s="275"/>
      <c r="J304" s="275"/>
      <c r="K304" s="275"/>
      <c r="L304" s="275"/>
      <c r="M304" s="275"/>
      <c r="N304" s="275"/>
    </row>
    <row r="305">
      <c r="B305" s="275"/>
      <c r="C305" s="275"/>
      <c r="D305" s="275"/>
      <c r="E305" s="275"/>
      <c r="F305" s="275"/>
      <c r="G305" s="275"/>
      <c r="H305" s="275"/>
      <c r="I305" s="275"/>
      <c r="J305" s="275"/>
      <c r="K305" s="275"/>
      <c r="L305" s="275"/>
      <c r="M305" s="275"/>
      <c r="N305" s="275"/>
    </row>
    <row r="306">
      <c r="B306" s="275"/>
      <c r="C306" s="275"/>
      <c r="D306" s="275"/>
      <c r="E306" s="275"/>
      <c r="F306" s="275"/>
      <c r="G306" s="275"/>
      <c r="H306" s="275"/>
      <c r="I306" s="275"/>
      <c r="J306" s="275"/>
      <c r="K306" s="275"/>
      <c r="L306" s="275"/>
      <c r="M306" s="275"/>
      <c r="N306" s="275"/>
    </row>
    <row r="307">
      <c r="B307" s="275"/>
      <c r="C307" s="275"/>
      <c r="D307" s="275"/>
      <c r="E307" s="275"/>
      <c r="F307" s="275"/>
      <c r="G307" s="275"/>
      <c r="H307" s="275"/>
      <c r="I307" s="275"/>
      <c r="J307" s="275"/>
      <c r="K307" s="275"/>
      <c r="L307" s="275"/>
      <c r="M307" s="275"/>
      <c r="N307" s="275"/>
    </row>
    <row r="308">
      <c r="B308" s="275"/>
      <c r="C308" s="275"/>
      <c r="D308" s="275"/>
      <c r="E308" s="275"/>
      <c r="F308" s="275"/>
      <c r="G308" s="275"/>
      <c r="H308" s="275"/>
      <c r="I308" s="275"/>
      <c r="J308" s="275"/>
      <c r="K308" s="275"/>
      <c r="L308" s="275"/>
      <c r="M308" s="275"/>
      <c r="N308" s="275"/>
    </row>
    <row r="309">
      <c r="B309" s="275"/>
      <c r="C309" s="275"/>
      <c r="D309" s="275"/>
      <c r="E309" s="275"/>
      <c r="F309" s="275"/>
      <c r="G309" s="275"/>
      <c r="H309" s="275"/>
      <c r="I309" s="275"/>
      <c r="J309" s="275"/>
      <c r="K309" s="275"/>
      <c r="L309" s="275"/>
      <c r="M309" s="275"/>
      <c r="N309" s="275"/>
    </row>
    <row r="310">
      <c r="B310" s="275"/>
      <c r="C310" s="275"/>
      <c r="D310" s="275"/>
      <c r="E310" s="275"/>
      <c r="F310" s="275"/>
      <c r="G310" s="275"/>
      <c r="H310" s="275"/>
      <c r="I310" s="275"/>
      <c r="J310" s="275"/>
      <c r="K310" s="275"/>
      <c r="L310" s="275"/>
      <c r="M310" s="275"/>
      <c r="N310" s="275"/>
    </row>
    <row r="311">
      <c r="B311" s="275"/>
      <c r="C311" s="275"/>
      <c r="D311" s="275"/>
      <c r="E311" s="275"/>
      <c r="F311" s="275"/>
      <c r="G311" s="275"/>
      <c r="H311" s="275"/>
      <c r="I311" s="275"/>
      <c r="J311" s="275"/>
      <c r="K311" s="275"/>
      <c r="L311" s="275"/>
      <c r="M311" s="275"/>
      <c r="N311" s="275"/>
    </row>
    <row r="312">
      <c r="B312" s="275"/>
      <c r="C312" s="275"/>
      <c r="D312" s="275"/>
      <c r="E312" s="275"/>
      <c r="F312" s="275"/>
      <c r="G312" s="275"/>
      <c r="H312" s="275"/>
      <c r="I312" s="275"/>
      <c r="J312" s="275"/>
      <c r="K312" s="275"/>
      <c r="L312" s="275"/>
      <c r="M312" s="275"/>
      <c r="N312" s="275"/>
    </row>
    <row r="313">
      <c r="B313" s="275"/>
      <c r="C313" s="275"/>
      <c r="D313" s="275"/>
      <c r="E313" s="275"/>
      <c r="F313" s="275"/>
      <c r="G313" s="275"/>
      <c r="H313" s="275"/>
      <c r="I313" s="275"/>
      <c r="J313" s="275"/>
      <c r="K313" s="275"/>
      <c r="L313" s="275"/>
      <c r="M313" s="275"/>
      <c r="N313" s="275"/>
    </row>
    <row r="314">
      <c r="B314" s="275"/>
      <c r="C314" s="275"/>
      <c r="D314" s="275"/>
      <c r="E314" s="275"/>
      <c r="F314" s="275"/>
      <c r="G314" s="275"/>
      <c r="H314" s="275"/>
      <c r="I314" s="275"/>
      <c r="J314" s="275"/>
      <c r="K314" s="275"/>
      <c r="L314" s="275"/>
      <c r="M314" s="275"/>
      <c r="N314" s="275"/>
    </row>
    <row r="315">
      <c r="B315" s="275"/>
      <c r="C315" s="275"/>
      <c r="D315" s="275"/>
      <c r="E315" s="275"/>
      <c r="F315" s="275"/>
      <c r="G315" s="275"/>
      <c r="H315" s="275"/>
      <c r="I315" s="275"/>
      <c r="J315" s="275"/>
      <c r="K315" s="275"/>
      <c r="L315" s="275"/>
      <c r="M315" s="275"/>
      <c r="N315" s="275"/>
    </row>
    <row r="316">
      <c r="B316" s="275"/>
      <c r="C316" s="275"/>
      <c r="D316" s="275"/>
      <c r="E316" s="275"/>
      <c r="F316" s="275"/>
      <c r="G316" s="275"/>
      <c r="H316" s="275"/>
      <c r="I316" s="275"/>
      <c r="J316" s="275"/>
      <c r="K316" s="275"/>
      <c r="L316" s="275"/>
      <c r="M316" s="275"/>
      <c r="N316" s="275"/>
    </row>
    <row r="317">
      <c r="B317" s="275"/>
      <c r="C317" s="275"/>
      <c r="D317" s="275"/>
      <c r="E317" s="275"/>
      <c r="F317" s="275"/>
      <c r="G317" s="275"/>
      <c r="H317" s="275"/>
      <c r="I317" s="275"/>
      <c r="J317" s="275"/>
      <c r="K317" s="275"/>
      <c r="L317" s="275"/>
      <c r="M317" s="275"/>
      <c r="N317" s="275"/>
    </row>
    <row r="318">
      <c r="B318" s="275"/>
      <c r="C318" s="275"/>
      <c r="D318" s="275"/>
      <c r="E318" s="275"/>
      <c r="F318" s="275"/>
      <c r="G318" s="275"/>
      <c r="H318" s="275"/>
      <c r="I318" s="275"/>
      <c r="J318" s="275"/>
      <c r="K318" s="275"/>
      <c r="L318" s="275"/>
      <c r="M318" s="275"/>
      <c r="N318" s="275"/>
    </row>
    <row r="319">
      <c r="B319" s="275"/>
      <c r="C319" s="275"/>
      <c r="D319" s="275"/>
      <c r="E319" s="275"/>
      <c r="F319" s="275"/>
      <c r="G319" s="275"/>
      <c r="H319" s="275"/>
      <c r="I319" s="275"/>
      <c r="J319" s="275"/>
      <c r="K319" s="275"/>
      <c r="L319" s="275"/>
      <c r="M319" s="275"/>
      <c r="N319" s="275"/>
    </row>
    <row r="320">
      <c r="B320" s="275"/>
      <c r="C320" s="275"/>
      <c r="D320" s="275"/>
      <c r="E320" s="275"/>
      <c r="F320" s="275"/>
      <c r="G320" s="275"/>
      <c r="H320" s="275"/>
      <c r="I320" s="275"/>
      <c r="J320" s="275"/>
      <c r="K320" s="275"/>
      <c r="L320" s="275"/>
      <c r="M320" s="275"/>
      <c r="N320" s="275"/>
    </row>
    <row r="321">
      <c r="B321" s="275"/>
      <c r="C321" s="275"/>
      <c r="D321" s="275"/>
      <c r="E321" s="275"/>
      <c r="F321" s="275"/>
      <c r="G321" s="275"/>
      <c r="H321" s="275"/>
      <c r="I321" s="275"/>
      <c r="J321" s="275"/>
      <c r="K321" s="275"/>
      <c r="L321" s="275"/>
      <c r="M321" s="275"/>
      <c r="N321" s="275"/>
    </row>
    <row r="322">
      <c r="B322" s="275"/>
      <c r="C322" s="275"/>
      <c r="D322" s="275"/>
      <c r="E322" s="275"/>
      <c r="F322" s="275"/>
      <c r="G322" s="275"/>
      <c r="H322" s="275"/>
      <c r="I322" s="275"/>
      <c r="J322" s="275"/>
      <c r="K322" s="275"/>
      <c r="L322" s="275"/>
      <c r="M322" s="275"/>
      <c r="N322" s="275"/>
    </row>
    <row r="323">
      <c r="B323" s="275"/>
      <c r="C323" s="275"/>
      <c r="D323" s="275"/>
      <c r="E323" s="275"/>
      <c r="F323" s="275"/>
      <c r="G323" s="275"/>
      <c r="H323" s="275"/>
      <c r="I323" s="275"/>
      <c r="J323" s="275"/>
      <c r="K323" s="275"/>
      <c r="L323" s="275"/>
      <c r="M323" s="275"/>
      <c r="N323" s="275"/>
    </row>
    <row r="324">
      <c r="B324" s="275"/>
      <c r="C324" s="275"/>
      <c r="D324" s="275"/>
      <c r="E324" s="275"/>
      <c r="F324" s="275"/>
      <c r="G324" s="275"/>
      <c r="H324" s="275"/>
      <c r="I324" s="275"/>
      <c r="J324" s="275"/>
      <c r="K324" s="275"/>
      <c r="L324" s="275"/>
      <c r="M324" s="275"/>
      <c r="N324" s="275"/>
    </row>
    <row r="325">
      <c r="B325" s="275"/>
      <c r="C325" s="275"/>
      <c r="D325" s="275"/>
      <c r="E325" s="275"/>
      <c r="F325" s="275"/>
      <c r="G325" s="275"/>
      <c r="H325" s="275"/>
      <c r="I325" s="275"/>
      <c r="J325" s="275"/>
      <c r="K325" s="275"/>
      <c r="L325" s="275"/>
      <c r="M325" s="275"/>
      <c r="N325" s="275"/>
    </row>
    <row r="326">
      <c r="B326" s="275"/>
      <c r="C326" s="275"/>
      <c r="D326" s="275"/>
      <c r="E326" s="275"/>
      <c r="F326" s="275"/>
      <c r="G326" s="275"/>
      <c r="H326" s="275"/>
      <c r="I326" s="275"/>
      <c r="J326" s="275"/>
      <c r="K326" s="275"/>
      <c r="L326" s="275"/>
      <c r="M326" s="275"/>
      <c r="N326" s="275"/>
    </row>
    <row r="327">
      <c r="B327" s="275"/>
      <c r="C327" s="275"/>
      <c r="D327" s="275"/>
      <c r="E327" s="275"/>
      <c r="F327" s="275"/>
      <c r="G327" s="275"/>
      <c r="H327" s="275"/>
      <c r="I327" s="275"/>
      <c r="J327" s="275"/>
      <c r="K327" s="275"/>
      <c r="L327" s="275"/>
      <c r="M327" s="275"/>
      <c r="N327" s="275"/>
    </row>
    <row r="328">
      <c r="B328" s="275"/>
      <c r="C328" s="275"/>
      <c r="D328" s="275"/>
      <c r="E328" s="275"/>
      <c r="F328" s="275"/>
      <c r="G328" s="275"/>
      <c r="H328" s="275"/>
      <c r="I328" s="275"/>
      <c r="J328" s="275"/>
      <c r="K328" s="275"/>
      <c r="L328" s="275"/>
      <c r="M328" s="275"/>
      <c r="N328" s="275"/>
    </row>
    <row r="329">
      <c r="B329" s="275"/>
      <c r="C329" s="275"/>
      <c r="D329" s="275"/>
      <c r="E329" s="275"/>
      <c r="F329" s="275"/>
      <c r="G329" s="275"/>
      <c r="H329" s="275"/>
      <c r="I329" s="275"/>
      <c r="J329" s="275"/>
      <c r="K329" s="275"/>
      <c r="L329" s="275"/>
      <c r="M329" s="275"/>
      <c r="N329" s="275"/>
    </row>
    <row r="330">
      <c r="B330" s="275"/>
      <c r="C330" s="275"/>
      <c r="D330" s="275"/>
      <c r="E330" s="275"/>
      <c r="F330" s="275"/>
      <c r="G330" s="275"/>
      <c r="H330" s="275"/>
      <c r="I330" s="275"/>
      <c r="J330" s="275"/>
      <c r="K330" s="275"/>
      <c r="L330" s="275"/>
      <c r="M330" s="275"/>
      <c r="N330" s="275"/>
    </row>
    <row r="331">
      <c r="B331" s="275"/>
      <c r="C331" s="275"/>
      <c r="D331" s="275"/>
      <c r="E331" s="275"/>
      <c r="F331" s="275"/>
      <c r="G331" s="275"/>
      <c r="H331" s="275"/>
      <c r="I331" s="275"/>
      <c r="J331" s="275"/>
      <c r="K331" s="275"/>
      <c r="L331" s="275"/>
      <c r="M331" s="275"/>
      <c r="N331" s="275"/>
    </row>
    <row r="332">
      <c r="B332" s="275"/>
      <c r="C332" s="275"/>
      <c r="D332" s="275"/>
      <c r="E332" s="275"/>
      <c r="F332" s="275"/>
      <c r="G332" s="275"/>
      <c r="H332" s="275"/>
      <c r="I332" s="275"/>
      <c r="J332" s="275"/>
      <c r="K332" s="275"/>
      <c r="L332" s="275"/>
      <c r="M332" s="275"/>
      <c r="N332" s="275"/>
    </row>
    <row r="333">
      <c r="B333" s="275"/>
      <c r="C333" s="275"/>
      <c r="D333" s="275"/>
      <c r="E333" s="275"/>
      <c r="F333" s="275"/>
      <c r="G333" s="275"/>
      <c r="H333" s="275"/>
      <c r="I333" s="275"/>
      <c r="J333" s="275"/>
      <c r="K333" s="275"/>
      <c r="L333" s="275"/>
      <c r="M333" s="275"/>
      <c r="N333" s="275"/>
    </row>
    <row r="334">
      <c r="B334" s="275"/>
      <c r="C334" s="275"/>
      <c r="D334" s="275"/>
      <c r="E334" s="275"/>
      <c r="F334" s="275"/>
      <c r="G334" s="275"/>
      <c r="H334" s="275"/>
      <c r="I334" s="275"/>
      <c r="J334" s="275"/>
      <c r="K334" s="275"/>
      <c r="L334" s="275"/>
      <c r="M334" s="275"/>
      <c r="N334" s="275"/>
    </row>
    <row r="335">
      <c r="B335" s="275"/>
      <c r="C335" s="275"/>
      <c r="D335" s="275"/>
      <c r="E335" s="275"/>
      <c r="F335" s="275"/>
      <c r="G335" s="275"/>
      <c r="H335" s="275"/>
      <c r="I335" s="275"/>
      <c r="J335" s="275"/>
      <c r="K335" s="275"/>
      <c r="L335" s="275"/>
      <c r="M335" s="275"/>
      <c r="N335" s="275"/>
    </row>
    <row r="336">
      <c r="B336" s="275"/>
      <c r="C336" s="275"/>
      <c r="D336" s="275"/>
      <c r="E336" s="275"/>
      <c r="F336" s="275"/>
      <c r="G336" s="275"/>
      <c r="H336" s="275"/>
      <c r="I336" s="275"/>
      <c r="J336" s="275"/>
      <c r="K336" s="275"/>
      <c r="L336" s="275"/>
      <c r="M336" s="275"/>
      <c r="N336" s="275"/>
    </row>
    <row r="337">
      <c r="B337" s="275"/>
      <c r="C337" s="275"/>
      <c r="D337" s="275"/>
      <c r="E337" s="275"/>
      <c r="F337" s="275"/>
      <c r="G337" s="275"/>
      <c r="H337" s="275"/>
      <c r="I337" s="275"/>
      <c r="J337" s="275"/>
      <c r="K337" s="275"/>
      <c r="L337" s="275"/>
      <c r="M337" s="275"/>
      <c r="N337" s="275"/>
    </row>
    <row r="338">
      <c r="B338" s="275"/>
      <c r="C338" s="275"/>
      <c r="D338" s="275"/>
      <c r="E338" s="275"/>
      <c r="F338" s="275"/>
      <c r="G338" s="275"/>
      <c r="H338" s="275"/>
      <c r="I338" s="275"/>
      <c r="J338" s="275"/>
      <c r="K338" s="275"/>
      <c r="L338" s="275"/>
      <c r="M338" s="275"/>
      <c r="N338" s="275"/>
    </row>
    <row r="339">
      <c r="B339" s="275"/>
      <c r="C339" s="275"/>
      <c r="D339" s="275"/>
      <c r="E339" s="275"/>
      <c r="F339" s="275"/>
      <c r="G339" s="275"/>
      <c r="H339" s="275"/>
      <c r="I339" s="275"/>
      <c r="J339" s="275"/>
      <c r="K339" s="275"/>
      <c r="L339" s="275"/>
      <c r="M339" s="275"/>
      <c r="N339" s="275"/>
    </row>
    <row r="340">
      <c r="B340" s="275"/>
      <c r="C340" s="275"/>
      <c r="D340" s="275"/>
      <c r="E340" s="275"/>
      <c r="F340" s="275"/>
      <c r="G340" s="275"/>
      <c r="H340" s="275"/>
      <c r="I340" s="275"/>
      <c r="J340" s="275"/>
      <c r="K340" s="275"/>
      <c r="L340" s="275"/>
      <c r="M340" s="275"/>
      <c r="N340" s="275"/>
    </row>
    <row r="341">
      <c r="B341" s="275"/>
      <c r="C341" s="275"/>
      <c r="D341" s="275"/>
      <c r="E341" s="275"/>
      <c r="F341" s="275"/>
      <c r="G341" s="275"/>
      <c r="H341" s="275"/>
      <c r="I341" s="275"/>
      <c r="J341" s="275"/>
      <c r="K341" s="275"/>
      <c r="L341" s="275"/>
      <c r="M341" s="275"/>
      <c r="N341" s="275"/>
    </row>
    <row r="342">
      <c r="B342" s="275"/>
      <c r="C342" s="275"/>
      <c r="D342" s="275"/>
      <c r="E342" s="275"/>
      <c r="F342" s="275"/>
      <c r="G342" s="275"/>
      <c r="H342" s="275"/>
      <c r="I342" s="275"/>
      <c r="J342" s="275"/>
      <c r="K342" s="275"/>
      <c r="L342" s="275"/>
      <c r="M342" s="275"/>
      <c r="N342" s="275"/>
    </row>
    <row r="343">
      <c r="B343" s="275"/>
      <c r="C343" s="275"/>
      <c r="D343" s="275"/>
      <c r="E343" s="275"/>
      <c r="F343" s="275"/>
      <c r="G343" s="275"/>
      <c r="H343" s="275"/>
      <c r="I343" s="275"/>
      <c r="J343" s="275"/>
      <c r="K343" s="275"/>
      <c r="L343" s="275"/>
      <c r="M343" s="275"/>
      <c r="N343" s="275"/>
    </row>
    <row r="344">
      <c r="B344" s="275"/>
      <c r="C344" s="275"/>
      <c r="D344" s="275"/>
      <c r="E344" s="275"/>
      <c r="F344" s="275"/>
      <c r="G344" s="275"/>
      <c r="H344" s="275"/>
      <c r="I344" s="275"/>
      <c r="J344" s="275"/>
      <c r="K344" s="275"/>
      <c r="L344" s="275"/>
      <c r="M344" s="275"/>
      <c r="N344" s="275"/>
    </row>
    <row r="345">
      <c r="B345" s="275"/>
      <c r="C345" s="275"/>
      <c r="D345" s="275"/>
      <c r="E345" s="275"/>
      <c r="F345" s="275"/>
      <c r="G345" s="275"/>
      <c r="H345" s="275"/>
      <c r="I345" s="275"/>
      <c r="J345" s="275"/>
      <c r="K345" s="275"/>
      <c r="L345" s="275"/>
      <c r="M345" s="275"/>
      <c r="N345" s="275"/>
    </row>
    <row r="346">
      <c r="B346" s="275"/>
      <c r="C346" s="275"/>
      <c r="D346" s="275"/>
      <c r="E346" s="275"/>
      <c r="F346" s="275"/>
      <c r="G346" s="275"/>
      <c r="H346" s="275"/>
      <c r="I346" s="275"/>
      <c r="J346" s="275"/>
      <c r="K346" s="275"/>
      <c r="L346" s="275"/>
      <c r="M346" s="275"/>
      <c r="N346" s="275"/>
    </row>
    <row r="347">
      <c r="B347" s="275"/>
      <c r="C347" s="275"/>
      <c r="D347" s="275"/>
      <c r="E347" s="275"/>
      <c r="F347" s="275"/>
      <c r="G347" s="275"/>
      <c r="H347" s="275"/>
      <c r="I347" s="275"/>
      <c r="J347" s="275"/>
      <c r="K347" s="275"/>
      <c r="L347" s="275"/>
      <c r="M347" s="275"/>
      <c r="N347" s="275"/>
    </row>
    <row r="348">
      <c r="B348" s="275"/>
      <c r="C348" s="275"/>
      <c r="D348" s="275"/>
      <c r="E348" s="275"/>
      <c r="F348" s="275"/>
      <c r="G348" s="275"/>
      <c r="H348" s="275"/>
      <c r="I348" s="275"/>
      <c r="J348" s="275"/>
      <c r="K348" s="275"/>
      <c r="L348" s="275"/>
      <c r="M348" s="275"/>
      <c r="N348" s="275"/>
    </row>
    <row r="349">
      <c r="B349" s="275"/>
      <c r="C349" s="275"/>
      <c r="D349" s="275"/>
      <c r="E349" s="275"/>
      <c r="F349" s="275"/>
      <c r="G349" s="275"/>
      <c r="H349" s="275"/>
      <c r="I349" s="275"/>
      <c r="J349" s="275"/>
      <c r="K349" s="275"/>
      <c r="L349" s="275"/>
      <c r="M349" s="275"/>
      <c r="N349" s="275"/>
    </row>
    <row r="350">
      <c r="B350" s="275"/>
      <c r="C350" s="275"/>
      <c r="D350" s="275"/>
      <c r="E350" s="275"/>
      <c r="F350" s="275"/>
      <c r="G350" s="275"/>
      <c r="H350" s="275"/>
      <c r="I350" s="275"/>
      <c r="J350" s="275"/>
      <c r="K350" s="275"/>
      <c r="L350" s="275"/>
      <c r="M350" s="275"/>
      <c r="N350" s="275"/>
    </row>
    <row r="351">
      <c r="B351" s="275"/>
      <c r="C351" s="275"/>
      <c r="D351" s="275"/>
      <c r="E351" s="275"/>
      <c r="F351" s="275"/>
      <c r="G351" s="275"/>
      <c r="H351" s="275"/>
      <c r="I351" s="275"/>
      <c r="J351" s="275"/>
      <c r="K351" s="275"/>
      <c r="L351" s="275"/>
      <c r="M351" s="275"/>
      <c r="N351" s="275"/>
    </row>
    <row r="352">
      <c r="B352" s="275"/>
      <c r="C352" s="275"/>
      <c r="D352" s="275"/>
      <c r="E352" s="275"/>
      <c r="F352" s="275"/>
      <c r="G352" s="275"/>
      <c r="H352" s="275"/>
      <c r="I352" s="275"/>
      <c r="J352" s="275"/>
      <c r="K352" s="275"/>
      <c r="L352" s="275"/>
      <c r="M352" s="275"/>
      <c r="N352" s="275"/>
    </row>
    <row r="353">
      <c r="B353" s="275"/>
      <c r="C353" s="275"/>
      <c r="D353" s="275"/>
      <c r="E353" s="275"/>
      <c r="F353" s="275"/>
      <c r="G353" s="275"/>
      <c r="H353" s="275"/>
      <c r="I353" s="275"/>
      <c r="J353" s="275"/>
      <c r="K353" s="275"/>
      <c r="L353" s="275"/>
      <c r="M353" s="275"/>
      <c r="N353" s="275"/>
    </row>
    <row r="354">
      <c r="B354" s="275"/>
      <c r="C354" s="275"/>
      <c r="D354" s="275"/>
      <c r="E354" s="275"/>
      <c r="F354" s="275"/>
      <c r="G354" s="275"/>
      <c r="H354" s="275"/>
      <c r="I354" s="275"/>
      <c r="J354" s="275"/>
      <c r="K354" s="275"/>
      <c r="L354" s="275"/>
      <c r="M354" s="275"/>
      <c r="N354" s="275"/>
    </row>
    <row r="355">
      <c r="B355" s="275"/>
      <c r="C355" s="275"/>
      <c r="D355" s="275"/>
      <c r="E355" s="275"/>
      <c r="F355" s="275"/>
      <c r="G355" s="275"/>
      <c r="H355" s="275"/>
      <c r="I355" s="275"/>
      <c r="J355" s="275"/>
      <c r="K355" s="275"/>
      <c r="L355" s="275"/>
      <c r="M355" s="275"/>
      <c r="N355" s="275"/>
    </row>
    <row r="356">
      <c r="B356" s="275"/>
      <c r="C356" s="275"/>
      <c r="D356" s="275"/>
      <c r="E356" s="275"/>
      <c r="F356" s="275"/>
      <c r="G356" s="275"/>
      <c r="H356" s="275"/>
      <c r="I356" s="275"/>
      <c r="J356" s="275"/>
      <c r="K356" s="275"/>
      <c r="L356" s="275"/>
      <c r="M356" s="275"/>
      <c r="N356" s="275"/>
    </row>
    <row r="357">
      <c r="B357" s="275"/>
      <c r="C357" s="275"/>
      <c r="D357" s="275"/>
      <c r="E357" s="275"/>
      <c r="F357" s="275"/>
      <c r="G357" s="275"/>
      <c r="H357" s="275"/>
      <c r="I357" s="275"/>
      <c r="J357" s="275"/>
      <c r="K357" s="275"/>
      <c r="L357" s="275"/>
      <c r="M357" s="275"/>
      <c r="N357" s="275"/>
    </row>
    <row r="358">
      <c r="B358" s="275"/>
      <c r="C358" s="275"/>
      <c r="D358" s="275"/>
      <c r="E358" s="275"/>
      <c r="F358" s="275"/>
      <c r="G358" s="275"/>
      <c r="H358" s="275"/>
      <c r="I358" s="275"/>
      <c r="J358" s="275"/>
      <c r="K358" s="275"/>
      <c r="L358" s="275"/>
      <c r="M358" s="275"/>
      <c r="N358" s="275"/>
    </row>
    <row r="359">
      <c r="B359" s="275"/>
      <c r="C359" s="275"/>
      <c r="D359" s="275"/>
      <c r="E359" s="275"/>
      <c r="F359" s="275"/>
      <c r="G359" s="275"/>
      <c r="H359" s="275"/>
      <c r="I359" s="275"/>
      <c r="J359" s="275"/>
      <c r="K359" s="275"/>
      <c r="L359" s="275"/>
      <c r="M359" s="275"/>
      <c r="N359" s="275"/>
    </row>
    <row r="360">
      <c r="B360" s="275"/>
      <c r="C360" s="275"/>
      <c r="D360" s="275"/>
      <c r="E360" s="275"/>
      <c r="F360" s="275"/>
      <c r="G360" s="275"/>
      <c r="H360" s="275"/>
      <c r="I360" s="275"/>
      <c r="J360" s="275"/>
      <c r="K360" s="275"/>
      <c r="L360" s="275"/>
      <c r="M360" s="275"/>
      <c r="N360" s="275"/>
    </row>
    <row r="361">
      <c r="B361" s="275"/>
      <c r="C361" s="275"/>
      <c r="D361" s="275"/>
      <c r="E361" s="275"/>
      <c r="F361" s="275"/>
      <c r="G361" s="275"/>
      <c r="H361" s="275"/>
      <c r="I361" s="275"/>
      <c r="J361" s="275"/>
      <c r="K361" s="275"/>
      <c r="L361" s="275"/>
      <c r="M361" s="275"/>
      <c r="N361" s="275"/>
    </row>
    <row r="362">
      <c r="B362" s="275"/>
      <c r="C362" s="275"/>
      <c r="D362" s="275"/>
      <c r="E362" s="275"/>
      <c r="F362" s="275"/>
      <c r="G362" s="275"/>
      <c r="H362" s="275"/>
      <c r="I362" s="275"/>
      <c r="J362" s="275"/>
      <c r="K362" s="275"/>
      <c r="L362" s="275"/>
      <c r="M362" s="275"/>
      <c r="N362" s="275"/>
    </row>
    <row r="363">
      <c r="B363" s="275"/>
      <c r="C363" s="275"/>
      <c r="D363" s="275"/>
      <c r="E363" s="275"/>
      <c r="F363" s="275"/>
      <c r="G363" s="275"/>
      <c r="H363" s="275"/>
      <c r="I363" s="275"/>
      <c r="J363" s="275"/>
      <c r="K363" s="275"/>
      <c r="L363" s="275"/>
      <c r="M363" s="275"/>
      <c r="N363" s="275"/>
    </row>
    <row r="364">
      <c r="B364" s="275"/>
      <c r="C364" s="275"/>
      <c r="D364" s="275"/>
      <c r="E364" s="275"/>
      <c r="F364" s="275"/>
      <c r="G364" s="275"/>
      <c r="H364" s="275"/>
      <c r="I364" s="275"/>
      <c r="J364" s="275"/>
      <c r="K364" s="275"/>
      <c r="L364" s="275"/>
      <c r="M364" s="275"/>
      <c r="N364" s="275"/>
    </row>
    <row r="365">
      <c r="B365" s="275"/>
      <c r="C365" s="275"/>
      <c r="D365" s="275"/>
      <c r="E365" s="275"/>
      <c r="F365" s="275"/>
      <c r="G365" s="275"/>
      <c r="H365" s="275"/>
      <c r="I365" s="275"/>
      <c r="J365" s="275"/>
      <c r="K365" s="275"/>
      <c r="L365" s="275"/>
      <c r="M365" s="275"/>
      <c r="N365" s="275"/>
    </row>
    <row r="366">
      <c r="B366" s="275"/>
      <c r="C366" s="275"/>
      <c r="D366" s="275"/>
      <c r="E366" s="275"/>
      <c r="F366" s="275"/>
      <c r="G366" s="275"/>
      <c r="H366" s="275"/>
      <c r="I366" s="275"/>
      <c r="J366" s="275"/>
      <c r="K366" s="275"/>
      <c r="L366" s="275"/>
      <c r="M366" s="275"/>
      <c r="N366" s="275"/>
    </row>
    <row r="367">
      <c r="B367" s="275"/>
      <c r="C367" s="275"/>
      <c r="D367" s="275"/>
      <c r="E367" s="275"/>
      <c r="F367" s="275"/>
      <c r="G367" s="275"/>
      <c r="H367" s="275"/>
      <c r="I367" s="275"/>
      <c r="J367" s="275"/>
      <c r="K367" s="275"/>
      <c r="L367" s="275"/>
      <c r="M367" s="275"/>
      <c r="N367" s="275"/>
    </row>
    <row r="368">
      <c r="B368" s="275"/>
      <c r="C368" s="275"/>
      <c r="D368" s="275"/>
      <c r="E368" s="275"/>
      <c r="F368" s="275"/>
      <c r="G368" s="275"/>
      <c r="H368" s="275"/>
      <c r="I368" s="275"/>
      <c r="J368" s="275"/>
      <c r="K368" s="275"/>
      <c r="L368" s="275"/>
      <c r="M368" s="275"/>
      <c r="N368" s="275"/>
    </row>
    <row r="369">
      <c r="B369" s="275"/>
      <c r="C369" s="275"/>
      <c r="D369" s="275"/>
      <c r="E369" s="275"/>
      <c r="F369" s="275"/>
      <c r="G369" s="275"/>
      <c r="H369" s="275"/>
      <c r="I369" s="275"/>
      <c r="J369" s="275"/>
      <c r="K369" s="275"/>
      <c r="L369" s="275"/>
      <c r="M369" s="275"/>
      <c r="N369" s="275"/>
    </row>
    <row r="370">
      <c r="B370" s="275"/>
      <c r="C370" s="275"/>
      <c r="D370" s="275"/>
      <c r="E370" s="275"/>
      <c r="F370" s="275"/>
      <c r="G370" s="275"/>
      <c r="H370" s="275"/>
      <c r="I370" s="275"/>
      <c r="J370" s="275"/>
      <c r="K370" s="275"/>
      <c r="L370" s="275"/>
      <c r="M370" s="275"/>
      <c r="N370" s="275"/>
    </row>
    <row r="371">
      <c r="B371" s="275"/>
      <c r="C371" s="275"/>
      <c r="D371" s="275"/>
      <c r="E371" s="275"/>
      <c r="F371" s="275"/>
      <c r="G371" s="275"/>
      <c r="H371" s="275"/>
      <c r="I371" s="275"/>
      <c r="J371" s="275"/>
      <c r="K371" s="275"/>
      <c r="L371" s="275"/>
      <c r="M371" s="275"/>
      <c r="N371" s="275"/>
    </row>
    <row r="372">
      <c r="B372" s="275"/>
      <c r="C372" s="275"/>
      <c r="D372" s="275"/>
      <c r="E372" s="275"/>
      <c r="F372" s="275"/>
      <c r="G372" s="275"/>
      <c r="H372" s="275"/>
      <c r="I372" s="275"/>
      <c r="J372" s="275"/>
      <c r="K372" s="275"/>
      <c r="L372" s="275"/>
      <c r="M372" s="275"/>
      <c r="N372" s="275"/>
    </row>
    <row r="373">
      <c r="B373" s="275"/>
      <c r="C373" s="275"/>
      <c r="D373" s="275"/>
      <c r="E373" s="275"/>
      <c r="F373" s="275"/>
      <c r="G373" s="275"/>
      <c r="H373" s="275"/>
      <c r="I373" s="275"/>
      <c r="J373" s="275"/>
      <c r="K373" s="275"/>
      <c r="L373" s="275"/>
      <c r="M373" s="275"/>
      <c r="N373" s="275"/>
    </row>
    <row r="374">
      <c r="B374" s="275"/>
      <c r="C374" s="275"/>
      <c r="D374" s="275"/>
      <c r="E374" s="275"/>
      <c r="F374" s="275"/>
      <c r="G374" s="275"/>
      <c r="H374" s="275"/>
      <c r="I374" s="275"/>
      <c r="J374" s="275"/>
      <c r="K374" s="275"/>
      <c r="L374" s="275"/>
      <c r="M374" s="275"/>
      <c r="N374" s="275"/>
    </row>
    <row r="375">
      <c r="B375" s="275"/>
      <c r="C375" s="275"/>
      <c r="D375" s="275"/>
      <c r="E375" s="275"/>
      <c r="F375" s="275"/>
      <c r="G375" s="275"/>
      <c r="H375" s="275"/>
      <c r="I375" s="275"/>
      <c r="J375" s="275"/>
      <c r="K375" s="275"/>
      <c r="L375" s="275"/>
      <c r="M375" s="275"/>
      <c r="N375" s="275"/>
    </row>
    <row r="376">
      <c r="B376" s="275"/>
      <c r="C376" s="275"/>
      <c r="D376" s="275"/>
      <c r="E376" s="275"/>
      <c r="F376" s="275"/>
      <c r="G376" s="275"/>
      <c r="H376" s="275"/>
      <c r="I376" s="275"/>
      <c r="J376" s="275"/>
      <c r="K376" s="275"/>
      <c r="L376" s="275"/>
      <c r="M376" s="275"/>
      <c r="N376" s="275"/>
    </row>
    <row r="377">
      <c r="B377" s="275"/>
      <c r="C377" s="275"/>
      <c r="D377" s="275"/>
      <c r="E377" s="275"/>
      <c r="F377" s="275"/>
      <c r="G377" s="275"/>
      <c r="H377" s="275"/>
      <c r="I377" s="275"/>
      <c r="J377" s="275"/>
      <c r="K377" s="275"/>
      <c r="L377" s="275"/>
      <c r="M377" s="275"/>
      <c r="N377" s="275"/>
    </row>
    <row r="378">
      <c r="B378" s="275"/>
      <c r="C378" s="275"/>
      <c r="D378" s="275"/>
      <c r="E378" s="275"/>
      <c r="F378" s="275"/>
      <c r="G378" s="275"/>
      <c r="H378" s="275"/>
      <c r="I378" s="275"/>
      <c r="J378" s="275"/>
      <c r="K378" s="275"/>
      <c r="L378" s="275"/>
      <c r="M378" s="275"/>
      <c r="N378" s="275"/>
    </row>
    <row r="379">
      <c r="B379" s="275"/>
      <c r="C379" s="275"/>
      <c r="D379" s="275"/>
      <c r="E379" s="275"/>
      <c r="F379" s="275"/>
      <c r="G379" s="275"/>
      <c r="H379" s="275"/>
      <c r="I379" s="275"/>
      <c r="J379" s="275"/>
      <c r="K379" s="275"/>
      <c r="L379" s="275"/>
      <c r="M379" s="275"/>
      <c r="N379" s="275"/>
    </row>
    <row r="380">
      <c r="B380" s="275"/>
      <c r="C380" s="275"/>
      <c r="D380" s="275"/>
      <c r="E380" s="275"/>
      <c r="F380" s="275"/>
      <c r="G380" s="275"/>
      <c r="H380" s="275"/>
      <c r="I380" s="275"/>
      <c r="J380" s="275"/>
      <c r="K380" s="275"/>
      <c r="L380" s="275"/>
      <c r="M380" s="275"/>
      <c r="N380" s="275"/>
    </row>
    <row r="381">
      <c r="B381" s="275"/>
      <c r="C381" s="275"/>
      <c r="D381" s="275"/>
      <c r="E381" s="275"/>
      <c r="F381" s="275"/>
      <c r="G381" s="275"/>
      <c r="H381" s="275"/>
      <c r="I381" s="275"/>
      <c r="J381" s="275"/>
      <c r="K381" s="275"/>
      <c r="L381" s="275"/>
      <c r="M381" s="275"/>
      <c r="N381" s="275"/>
    </row>
    <row r="382">
      <c r="B382" s="275"/>
      <c r="C382" s="275"/>
      <c r="D382" s="275"/>
      <c r="E382" s="275"/>
      <c r="F382" s="275"/>
      <c r="G382" s="275"/>
      <c r="H382" s="275"/>
      <c r="I382" s="275"/>
      <c r="J382" s="275"/>
      <c r="K382" s="275"/>
      <c r="L382" s="275"/>
      <c r="M382" s="275"/>
      <c r="N382" s="275"/>
    </row>
    <row r="383">
      <c r="B383" s="275"/>
      <c r="C383" s="275"/>
      <c r="D383" s="275"/>
      <c r="E383" s="275"/>
      <c r="F383" s="275"/>
      <c r="G383" s="275"/>
      <c r="H383" s="275"/>
      <c r="I383" s="275"/>
      <c r="J383" s="275"/>
      <c r="K383" s="275"/>
      <c r="L383" s="275"/>
      <c r="M383" s="275"/>
      <c r="N383" s="275"/>
    </row>
    <row r="384">
      <c r="B384" s="275"/>
      <c r="C384" s="275"/>
      <c r="D384" s="275"/>
      <c r="E384" s="275"/>
      <c r="F384" s="275"/>
      <c r="G384" s="275"/>
      <c r="H384" s="275"/>
      <c r="I384" s="275"/>
      <c r="J384" s="275"/>
      <c r="K384" s="275"/>
      <c r="L384" s="275"/>
      <c r="M384" s="275"/>
      <c r="N384" s="275"/>
    </row>
    <row r="385">
      <c r="B385" s="275"/>
      <c r="C385" s="275"/>
      <c r="D385" s="275"/>
      <c r="E385" s="275"/>
      <c r="F385" s="275"/>
      <c r="G385" s="275"/>
      <c r="H385" s="275"/>
      <c r="I385" s="275"/>
      <c r="J385" s="275"/>
      <c r="K385" s="275"/>
      <c r="L385" s="275"/>
      <c r="M385" s="275"/>
      <c r="N385" s="275"/>
    </row>
    <row r="386">
      <c r="B386" s="275"/>
      <c r="C386" s="275"/>
      <c r="D386" s="275"/>
      <c r="E386" s="275"/>
      <c r="F386" s="275"/>
      <c r="G386" s="275"/>
      <c r="H386" s="275"/>
      <c r="I386" s="275"/>
      <c r="J386" s="275"/>
      <c r="K386" s="275"/>
      <c r="L386" s="275"/>
      <c r="M386" s="275"/>
      <c r="N386" s="275"/>
    </row>
    <row r="387">
      <c r="B387" s="275"/>
      <c r="C387" s="275"/>
      <c r="D387" s="275"/>
      <c r="E387" s="275"/>
      <c r="F387" s="275"/>
      <c r="G387" s="275"/>
      <c r="H387" s="275"/>
      <c r="I387" s="275"/>
      <c r="J387" s="275"/>
      <c r="K387" s="275"/>
      <c r="L387" s="275"/>
      <c r="M387" s="275"/>
      <c r="N387" s="275"/>
    </row>
    <row r="388">
      <c r="B388" s="275"/>
      <c r="C388" s="275"/>
      <c r="D388" s="275"/>
      <c r="E388" s="275"/>
      <c r="F388" s="275"/>
      <c r="G388" s="275"/>
      <c r="H388" s="275"/>
      <c r="I388" s="275"/>
      <c r="J388" s="275"/>
      <c r="K388" s="275"/>
      <c r="L388" s="275"/>
      <c r="M388" s="275"/>
      <c r="N388" s="275"/>
    </row>
    <row r="389">
      <c r="B389" s="275"/>
      <c r="C389" s="275"/>
      <c r="D389" s="275"/>
      <c r="E389" s="275"/>
      <c r="F389" s="275"/>
      <c r="G389" s="275"/>
      <c r="H389" s="275"/>
      <c r="I389" s="275"/>
      <c r="J389" s="275"/>
      <c r="K389" s="275"/>
      <c r="L389" s="275"/>
      <c r="M389" s="275"/>
      <c r="N389" s="275"/>
    </row>
    <row r="390">
      <c r="B390" s="275"/>
      <c r="C390" s="275"/>
      <c r="D390" s="275"/>
      <c r="E390" s="275"/>
      <c r="F390" s="275"/>
      <c r="G390" s="275"/>
      <c r="H390" s="275"/>
      <c r="I390" s="275"/>
      <c r="J390" s="275"/>
      <c r="K390" s="275"/>
      <c r="L390" s="275"/>
      <c r="M390" s="275"/>
      <c r="N390" s="275"/>
    </row>
    <row r="391">
      <c r="B391" s="275"/>
      <c r="C391" s="275"/>
      <c r="D391" s="275"/>
      <c r="E391" s="275"/>
      <c r="F391" s="275"/>
      <c r="G391" s="275"/>
      <c r="H391" s="275"/>
      <c r="I391" s="275"/>
      <c r="J391" s="275"/>
      <c r="K391" s="275"/>
      <c r="L391" s="275"/>
      <c r="M391" s="275"/>
      <c r="N391" s="275"/>
    </row>
    <row r="392">
      <c r="B392" s="275"/>
      <c r="C392" s="275"/>
      <c r="D392" s="275"/>
      <c r="E392" s="275"/>
      <c r="F392" s="275"/>
      <c r="G392" s="275"/>
      <c r="H392" s="275"/>
      <c r="I392" s="275"/>
      <c r="J392" s="275"/>
      <c r="K392" s="275"/>
      <c r="L392" s="275"/>
      <c r="M392" s="275"/>
      <c r="N392" s="275"/>
    </row>
    <row r="393">
      <c r="B393" s="275"/>
      <c r="C393" s="275"/>
      <c r="D393" s="275"/>
      <c r="E393" s="275"/>
      <c r="F393" s="275"/>
      <c r="G393" s="275"/>
      <c r="H393" s="275"/>
      <c r="I393" s="275"/>
      <c r="J393" s="275"/>
      <c r="K393" s="275"/>
      <c r="L393" s="275"/>
      <c r="M393" s="275"/>
      <c r="N393" s="275"/>
    </row>
    <row r="394">
      <c r="B394" s="275"/>
      <c r="C394" s="275"/>
      <c r="D394" s="275"/>
      <c r="E394" s="275"/>
      <c r="F394" s="275"/>
      <c r="G394" s="275"/>
      <c r="H394" s="275"/>
      <c r="I394" s="275"/>
      <c r="J394" s="275"/>
      <c r="K394" s="275"/>
      <c r="L394" s="275"/>
      <c r="M394" s="275"/>
      <c r="N394" s="275"/>
    </row>
    <row r="395">
      <c r="B395" s="275"/>
      <c r="C395" s="275"/>
      <c r="D395" s="275"/>
      <c r="E395" s="275"/>
      <c r="F395" s="275"/>
      <c r="G395" s="275"/>
      <c r="H395" s="275"/>
      <c r="I395" s="275"/>
      <c r="J395" s="275"/>
      <c r="K395" s="275"/>
      <c r="L395" s="275"/>
      <c r="M395" s="275"/>
      <c r="N395" s="275"/>
    </row>
    <row r="396">
      <c r="B396" s="275"/>
      <c r="C396" s="275"/>
      <c r="D396" s="275"/>
      <c r="E396" s="275"/>
      <c r="F396" s="275"/>
      <c r="G396" s="275"/>
      <c r="H396" s="275"/>
      <c r="I396" s="275"/>
      <c r="J396" s="275"/>
      <c r="K396" s="275"/>
      <c r="L396" s="275"/>
      <c r="M396" s="275"/>
      <c r="N396" s="275"/>
    </row>
    <row r="397">
      <c r="B397" s="275"/>
      <c r="C397" s="275"/>
      <c r="D397" s="275"/>
      <c r="E397" s="275"/>
      <c r="F397" s="275"/>
      <c r="G397" s="275"/>
      <c r="H397" s="275"/>
      <c r="I397" s="275"/>
      <c r="J397" s="275"/>
      <c r="K397" s="275"/>
      <c r="L397" s="275"/>
      <c r="M397" s="275"/>
      <c r="N397" s="275"/>
    </row>
    <row r="398">
      <c r="B398" s="275"/>
      <c r="C398" s="275"/>
      <c r="D398" s="275"/>
      <c r="E398" s="275"/>
      <c r="F398" s="275"/>
      <c r="G398" s="275"/>
      <c r="H398" s="275"/>
      <c r="I398" s="275"/>
      <c r="J398" s="275"/>
      <c r="K398" s="275"/>
      <c r="L398" s="275"/>
      <c r="M398" s="275"/>
      <c r="N398" s="275"/>
    </row>
    <row r="399">
      <c r="B399" s="275"/>
      <c r="C399" s="275"/>
      <c r="D399" s="275"/>
      <c r="E399" s="275"/>
      <c r="F399" s="275"/>
      <c r="G399" s="275"/>
      <c r="H399" s="275"/>
      <c r="I399" s="275"/>
      <c r="J399" s="275"/>
      <c r="K399" s="275"/>
      <c r="L399" s="275"/>
      <c r="M399" s="275"/>
      <c r="N399" s="275"/>
    </row>
    <row r="400">
      <c r="B400" s="275"/>
      <c r="C400" s="275"/>
      <c r="D400" s="275"/>
      <c r="E400" s="275"/>
      <c r="F400" s="275"/>
      <c r="G400" s="275"/>
      <c r="H400" s="275"/>
      <c r="I400" s="275"/>
      <c r="J400" s="275"/>
      <c r="K400" s="275"/>
      <c r="L400" s="275"/>
      <c r="M400" s="275"/>
      <c r="N400" s="275"/>
    </row>
    <row r="401">
      <c r="B401" s="275"/>
      <c r="C401" s="275"/>
      <c r="D401" s="275"/>
      <c r="E401" s="275"/>
      <c r="F401" s="275"/>
      <c r="G401" s="275"/>
      <c r="H401" s="275"/>
      <c r="I401" s="275"/>
      <c r="J401" s="275"/>
      <c r="K401" s="275"/>
      <c r="L401" s="275"/>
      <c r="M401" s="275"/>
      <c r="N401" s="275"/>
    </row>
    <row r="402">
      <c r="B402" s="275"/>
      <c r="C402" s="275"/>
      <c r="D402" s="275"/>
      <c r="E402" s="275"/>
      <c r="F402" s="275"/>
      <c r="G402" s="275"/>
      <c r="H402" s="275"/>
      <c r="I402" s="275"/>
      <c r="J402" s="275"/>
      <c r="K402" s="275"/>
      <c r="L402" s="275"/>
      <c r="M402" s="275"/>
      <c r="N402" s="275"/>
    </row>
    <row r="403">
      <c r="B403" s="275"/>
      <c r="C403" s="275"/>
      <c r="D403" s="275"/>
      <c r="E403" s="275"/>
      <c r="F403" s="275"/>
      <c r="G403" s="275"/>
      <c r="H403" s="275"/>
      <c r="I403" s="275"/>
      <c r="J403" s="275"/>
      <c r="K403" s="275"/>
      <c r="L403" s="275"/>
      <c r="M403" s="275"/>
      <c r="N403" s="275"/>
    </row>
    <row r="404">
      <c r="B404" s="275"/>
      <c r="C404" s="275"/>
      <c r="D404" s="275"/>
      <c r="E404" s="275"/>
      <c r="F404" s="275"/>
      <c r="G404" s="275"/>
      <c r="H404" s="275"/>
      <c r="I404" s="275"/>
      <c r="J404" s="275"/>
      <c r="K404" s="275"/>
      <c r="L404" s="275"/>
      <c r="M404" s="275"/>
      <c r="N404" s="275"/>
    </row>
    <row r="405">
      <c r="B405" s="275"/>
      <c r="C405" s="275"/>
      <c r="D405" s="275"/>
      <c r="E405" s="275"/>
      <c r="F405" s="275"/>
      <c r="G405" s="275"/>
      <c r="H405" s="275"/>
      <c r="I405" s="275"/>
      <c r="J405" s="275"/>
      <c r="K405" s="275"/>
      <c r="L405" s="275"/>
      <c r="M405" s="275"/>
      <c r="N405" s="275"/>
    </row>
    <row r="406">
      <c r="B406" s="275"/>
      <c r="C406" s="275"/>
      <c r="D406" s="275"/>
      <c r="E406" s="275"/>
      <c r="F406" s="275"/>
      <c r="G406" s="275"/>
      <c r="H406" s="275"/>
      <c r="I406" s="275"/>
      <c r="J406" s="275"/>
      <c r="K406" s="275"/>
      <c r="L406" s="275"/>
      <c r="M406" s="275"/>
      <c r="N406" s="275"/>
    </row>
    <row r="407">
      <c r="B407" s="275"/>
      <c r="C407" s="275"/>
      <c r="D407" s="275"/>
      <c r="E407" s="275"/>
      <c r="F407" s="275"/>
      <c r="G407" s="275"/>
      <c r="H407" s="275"/>
      <c r="I407" s="275"/>
      <c r="J407" s="275"/>
      <c r="K407" s="275"/>
      <c r="L407" s="275"/>
      <c r="M407" s="275"/>
      <c r="N407" s="275"/>
    </row>
    <row r="408">
      <c r="B408" s="275"/>
      <c r="C408" s="275"/>
      <c r="D408" s="275"/>
      <c r="E408" s="275"/>
      <c r="F408" s="275"/>
      <c r="G408" s="275"/>
      <c r="H408" s="275"/>
      <c r="I408" s="275"/>
      <c r="J408" s="275"/>
      <c r="K408" s="275"/>
      <c r="L408" s="275"/>
      <c r="M408" s="275"/>
      <c r="N408" s="275"/>
    </row>
    <row r="409">
      <c r="B409" s="275"/>
      <c r="C409" s="275"/>
      <c r="D409" s="275"/>
      <c r="E409" s="275"/>
      <c r="F409" s="275"/>
      <c r="G409" s="275"/>
      <c r="H409" s="275"/>
      <c r="I409" s="275"/>
      <c r="J409" s="275"/>
      <c r="K409" s="275"/>
      <c r="L409" s="275"/>
      <c r="M409" s="275"/>
      <c r="N409" s="275"/>
    </row>
    <row r="410">
      <c r="B410" s="275"/>
      <c r="C410" s="275"/>
      <c r="D410" s="275"/>
      <c r="E410" s="275"/>
      <c r="F410" s="275"/>
      <c r="G410" s="275"/>
      <c r="H410" s="275"/>
      <c r="I410" s="275"/>
      <c r="J410" s="275"/>
      <c r="K410" s="275"/>
      <c r="L410" s="275"/>
      <c r="M410" s="275"/>
      <c r="N410" s="275"/>
    </row>
    <row r="411">
      <c r="B411" s="275"/>
      <c r="C411" s="275"/>
      <c r="D411" s="275"/>
      <c r="E411" s="275"/>
      <c r="F411" s="275"/>
      <c r="G411" s="275"/>
      <c r="H411" s="275"/>
      <c r="I411" s="275"/>
      <c r="J411" s="275"/>
      <c r="K411" s="275"/>
      <c r="L411" s="275"/>
      <c r="M411" s="275"/>
      <c r="N411" s="275"/>
    </row>
    <row r="412">
      <c r="B412" s="275"/>
      <c r="C412" s="275"/>
      <c r="D412" s="275"/>
      <c r="E412" s="275"/>
      <c r="F412" s="275"/>
      <c r="G412" s="275"/>
      <c r="H412" s="275"/>
      <c r="I412" s="275"/>
      <c r="J412" s="275"/>
      <c r="K412" s="275"/>
      <c r="L412" s="275"/>
      <c r="M412" s="275"/>
      <c r="N412" s="275"/>
    </row>
    <row r="413">
      <c r="B413" s="275"/>
      <c r="C413" s="275"/>
      <c r="D413" s="275"/>
      <c r="E413" s="275"/>
      <c r="F413" s="275"/>
      <c r="G413" s="275"/>
      <c r="H413" s="275"/>
      <c r="I413" s="275"/>
      <c r="J413" s="275"/>
      <c r="K413" s="275"/>
      <c r="L413" s="275"/>
      <c r="M413" s="275"/>
      <c r="N413" s="275"/>
    </row>
    <row r="414">
      <c r="B414" s="275"/>
      <c r="C414" s="275"/>
      <c r="D414" s="275"/>
      <c r="E414" s="275"/>
      <c r="F414" s="275"/>
      <c r="G414" s="275"/>
      <c r="H414" s="275"/>
      <c r="I414" s="275"/>
      <c r="J414" s="275"/>
      <c r="K414" s="275"/>
      <c r="L414" s="275"/>
      <c r="M414" s="275"/>
      <c r="N414" s="275"/>
    </row>
    <row r="415">
      <c r="B415" s="275"/>
      <c r="C415" s="275"/>
      <c r="D415" s="275"/>
      <c r="E415" s="275"/>
      <c r="F415" s="275"/>
      <c r="G415" s="275"/>
      <c r="H415" s="275"/>
      <c r="I415" s="275"/>
      <c r="J415" s="275"/>
      <c r="K415" s="275"/>
      <c r="L415" s="275"/>
      <c r="M415" s="275"/>
      <c r="N415" s="275"/>
    </row>
    <row r="416">
      <c r="B416" s="275"/>
      <c r="C416" s="275"/>
      <c r="D416" s="275"/>
      <c r="E416" s="275"/>
      <c r="F416" s="275"/>
      <c r="G416" s="275"/>
      <c r="H416" s="275"/>
      <c r="I416" s="275"/>
      <c r="J416" s="275"/>
      <c r="K416" s="275"/>
      <c r="L416" s="275"/>
      <c r="M416" s="275"/>
      <c r="N416" s="275"/>
    </row>
    <row r="417">
      <c r="B417" s="275"/>
      <c r="C417" s="275"/>
      <c r="D417" s="275"/>
      <c r="E417" s="275"/>
      <c r="F417" s="275"/>
      <c r="G417" s="275"/>
      <c r="H417" s="275"/>
      <c r="I417" s="275"/>
      <c r="J417" s="275"/>
      <c r="K417" s="275"/>
      <c r="L417" s="275"/>
      <c r="M417" s="275"/>
      <c r="N417" s="275"/>
    </row>
    <row r="418">
      <c r="B418" s="275"/>
      <c r="C418" s="275"/>
      <c r="D418" s="275"/>
      <c r="E418" s="275"/>
      <c r="F418" s="275"/>
      <c r="G418" s="275"/>
      <c r="H418" s="275"/>
      <c r="I418" s="275"/>
      <c r="J418" s="275"/>
      <c r="K418" s="275"/>
      <c r="L418" s="275"/>
      <c r="M418" s="275"/>
      <c r="N418" s="275"/>
    </row>
    <row r="419">
      <c r="B419" s="275"/>
      <c r="C419" s="275"/>
      <c r="D419" s="275"/>
      <c r="E419" s="275"/>
      <c r="F419" s="275"/>
      <c r="G419" s="275"/>
      <c r="H419" s="275"/>
      <c r="I419" s="275"/>
      <c r="J419" s="275"/>
      <c r="K419" s="275"/>
      <c r="L419" s="275"/>
      <c r="M419" s="275"/>
      <c r="N419" s="275"/>
    </row>
    <row r="420">
      <c r="B420" s="275"/>
      <c r="C420" s="275"/>
      <c r="D420" s="275"/>
      <c r="E420" s="275"/>
      <c r="F420" s="275"/>
      <c r="G420" s="275"/>
      <c r="H420" s="275"/>
      <c r="I420" s="275"/>
      <c r="J420" s="275"/>
      <c r="K420" s="275"/>
      <c r="L420" s="275"/>
      <c r="M420" s="275"/>
      <c r="N420" s="275"/>
    </row>
    <row r="421">
      <c r="B421" s="275"/>
      <c r="C421" s="275"/>
      <c r="D421" s="275"/>
      <c r="E421" s="275"/>
      <c r="F421" s="275"/>
      <c r="G421" s="275"/>
      <c r="H421" s="275"/>
      <c r="I421" s="275"/>
      <c r="J421" s="275"/>
      <c r="K421" s="275"/>
      <c r="L421" s="275"/>
      <c r="M421" s="275"/>
      <c r="N421" s="275"/>
    </row>
    <row r="422">
      <c r="B422" s="275"/>
      <c r="C422" s="275"/>
      <c r="D422" s="275"/>
      <c r="E422" s="275"/>
      <c r="F422" s="275"/>
      <c r="G422" s="275"/>
      <c r="H422" s="275"/>
      <c r="I422" s="275"/>
      <c r="J422" s="275"/>
      <c r="K422" s="275"/>
      <c r="L422" s="275"/>
      <c r="M422" s="275"/>
      <c r="N422" s="275"/>
    </row>
    <row r="423">
      <c r="B423" s="275"/>
      <c r="C423" s="275"/>
      <c r="D423" s="275"/>
      <c r="E423" s="275"/>
      <c r="F423" s="275"/>
      <c r="G423" s="275"/>
      <c r="H423" s="275"/>
      <c r="I423" s="275"/>
      <c r="J423" s="275"/>
      <c r="K423" s="275"/>
      <c r="L423" s="275"/>
      <c r="M423" s="275"/>
      <c r="N423" s="275"/>
    </row>
    <row r="424">
      <c r="B424" s="275"/>
      <c r="C424" s="275"/>
      <c r="D424" s="275"/>
      <c r="E424" s="275"/>
      <c r="F424" s="275"/>
      <c r="G424" s="275"/>
      <c r="H424" s="275"/>
      <c r="I424" s="275"/>
      <c r="J424" s="275"/>
      <c r="K424" s="275"/>
      <c r="L424" s="275"/>
      <c r="M424" s="275"/>
      <c r="N424" s="275"/>
    </row>
    <row r="425">
      <c r="B425" s="275"/>
      <c r="C425" s="275"/>
      <c r="D425" s="275"/>
      <c r="E425" s="275"/>
      <c r="F425" s="275"/>
      <c r="G425" s="275"/>
      <c r="H425" s="275"/>
      <c r="I425" s="275"/>
      <c r="J425" s="275"/>
      <c r="K425" s="275"/>
      <c r="L425" s="275"/>
      <c r="M425" s="275"/>
      <c r="N425" s="275"/>
    </row>
    <row r="426">
      <c r="B426" s="275"/>
      <c r="C426" s="275"/>
      <c r="D426" s="275"/>
      <c r="E426" s="275"/>
      <c r="F426" s="275"/>
      <c r="G426" s="275"/>
      <c r="H426" s="275"/>
      <c r="I426" s="275"/>
      <c r="J426" s="275"/>
      <c r="K426" s="275"/>
      <c r="L426" s="275"/>
      <c r="M426" s="275"/>
      <c r="N426" s="275"/>
    </row>
    <row r="427">
      <c r="B427" s="275"/>
      <c r="C427" s="275"/>
      <c r="D427" s="275"/>
      <c r="E427" s="275"/>
      <c r="F427" s="275"/>
      <c r="G427" s="275"/>
      <c r="H427" s="275"/>
      <c r="I427" s="275"/>
      <c r="J427" s="275"/>
      <c r="K427" s="275"/>
      <c r="L427" s="275"/>
      <c r="M427" s="275"/>
      <c r="N427" s="275"/>
    </row>
    <row r="428">
      <c r="B428" s="275"/>
      <c r="C428" s="275"/>
      <c r="D428" s="275"/>
      <c r="E428" s="275"/>
      <c r="F428" s="275"/>
      <c r="G428" s="275"/>
      <c r="H428" s="275"/>
      <c r="I428" s="275"/>
      <c r="J428" s="275"/>
      <c r="K428" s="275"/>
      <c r="L428" s="275"/>
      <c r="M428" s="275"/>
      <c r="N428" s="275"/>
    </row>
    <row r="429">
      <c r="B429" s="275"/>
      <c r="C429" s="275"/>
      <c r="D429" s="275"/>
      <c r="E429" s="275"/>
      <c r="F429" s="275"/>
      <c r="G429" s="275"/>
      <c r="H429" s="275"/>
      <c r="I429" s="275"/>
      <c r="J429" s="275"/>
      <c r="K429" s="275"/>
      <c r="L429" s="275"/>
      <c r="M429" s="275"/>
      <c r="N429" s="275"/>
    </row>
    <row r="430">
      <c r="B430" s="275"/>
      <c r="C430" s="275"/>
      <c r="D430" s="275"/>
      <c r="E430" s="275"/>
      <c r="F430" s="275"/>
      <c r="G430" s="275"/>
      <c r="H430" s="275"/>
      <c r="I430" s="275"/>
      <c r="J430" s="275"/>
      <c r="K430" s="275"/>
      <c r="L430" s="275"/>
      <c r="M430" s="275"/>
      <c r="N430" s="275"/>
    </row>
    <row r="431">
      <c r="B431" s="275"/>
      <c r="C431" s="275"/>
      <c r="D431" s="275"/>
      <c r="E431" s="275"/>
      <c r="F431" s="275"/>
      <c r="G431" s="275"/>
      <c r="H431" s="275"/>
      <c r="I431" s="275"/>
      <c r="J431" s="275"/>
      <c r="K431" s="275"/>
      <c r="L431" s="275"/>
      <c r="M431" s="275"/>
      <c r="N431" s="275"/>
    </row>
    <row r="432">
      <c r="B432" s="275"/>
      <c r="C432" s="275"/>
      <c r="D432" s="275"/>
      <c r="E432" s="275"/>
      <c r="F432" s="275"/>
      <c r="G432" s="275"/>
      <c r="H432" s="275"/>
      <c r="I432" s="275"/>
      <c r="J432" s="275"/>
      <c r="K432" s="275"/>
      <c r="L432" s="275"/>
      <c r="M432" s="275"/>
      <c r="N432" s="275"/>
    </row>
    <row r="433">
      <c r="B433" s="275"/>
      <c r="C433" s="275"/>
      <c r="D433" s="275"/>
      <c r="E433" s="275"/>
      <c r="F433" s="275"/>
      <c r="G433" s="275"/>
      <c r="H433" s="275"/>
      <c r="I433" s="275"/>
      <c r="J433" s="275"/>
      <c r="K433" s="275"/>
      <c r="L433" s="275"/>
      <c r="M433" s="275"/>
      <c r="N433" s="275"/>
    </row>
    <row r="434">
      <c r="B434" s="275"/>
      <c r="C434" s="275"/>
      <c r="D434" s="275"/>
      <c r="E434" s="275"/>
      <c r="F434" s="275"/>
      <c r="G434" s="275"/>
      <c r="H434" s="275"/>
      <c r="I434" s="275"/>
      <c r="J434" s="275"/>
      <c r="K434" s="275"/>
      <c r="L434" s="275"/>
      <c r="M434" s="275"/>
      <c r="N434" s="275"/>
    </row>
    <row r="435">
      <c r="B435" s="275"/>
      <c r="C435" s="275"/>
      <c r="D435" s="275"/>
      <c r="E435" s="275"/>
      <c r="F435" s="275"/>
      <c r="G435" s="275"/>
      <c r="H435" s="275"/>
      <c r="I435" s="275"/>
      <c r="J435" s="275"/>
      <c r="K435" s="275"/>
      <c r="L435" s="275"/>
      <c r="M435" s="275"/>
      <c r="N435" s="275"/>
    </row>
    <row r="436">
      <c r="B436" s="275"/>
      <c r="C436" s="275"/>
      <c r="D436" s="275"/>
      <c r="E436" s="275"/>
      <c r="F436" s="275"/>
      <c r="G436" s="275"/>
      <c r="H436" s="275"/>
      <c r="I436" s="275"/>
      <c r="J436" s="275"/>
      <c r="K436" s="275"/>
      <c r="L436" s="275"/>
      <c r="M436" s="275"/>
      <c r="N436" s="275"/>
    </row>
    <row r="437">
      <c r="B437" s="275"/>
      <c r="C437" s="275"/>
      <c r="D437" s="275"/>
      <c r="E437" s="275"/>
      <c r="F437" s="275"/>
      <c r="G437" s="275"/>
      <c r="H437" s="275"/>
      <c r="I437" s="275"/>
      <c r="J437" s="275"/>
      <c r="K437" s="275"/>
      <c r="L437" s="275"/>
      <c r="M437" s="275"/>
      <c r="N437" s="275"/>
    </row>
    <row r="438">
      <c r="B438" s="275"/>
      <c r="C438" s="275"/>
      <c r="D438" s="275"/>
      <c r="E438" s="275"/>
      <c r="F438" s="275"/>
      <c r="G438" s="275"/>
      <c r="H438" s="275"/>
      <c r="I438" s="275"/>
      <c r="J438" s="275"/>
      <c r="K438" s="275"/>
      <c r="L438" s="275"/>
      <c r="M438" s="275"/>
      <c r="N438" s="275"/>
    </row>
    <row r="439">
      <c r="B439" s="275"/>
      <c r="C439" s="275"/>
      <c r="D439" s="275"/>
      <c r="E439" s="275"/>
      <c r="F439" s="275"/>
      <c r="G439" s="275"/>
      <c r="H439" s="275"/>
      <c r="I439" s="275"/>
      <c r="J439" s="275"/>
      <c r="K439" s="275"/>
      <c r="L439" s="275"/>
      <c r="M439" s="275"/>
      <c r="N439" s="275"/>
    </row>
    <row r="440">
      <c r="B440" s="275"/>
      <c r="C440" s="275"/>
      <c r="D440" s="275"/>
      <c r="E440" s="275"/>
      <c r="F440" s="275"/>
      <c r="G440" s="275"/>
      <c r="H440" s="275"/>
      <c r="I440" s="275"/>
      <c r="J440" s="275"/>
      <c r="K440" s="275"/>
      <c r="L440" s="275"/>
      <c r="M440" s="275"/>
      <c r="N440" s="275"/>
    </row>
    <row r="441">
      <c r="B441" s="275"/>
      <c r="C441" s="275"/>
      <c r="D441" s="275"/>
      <c r="E441" s="275"/>
      <c r="F441" s="275"/>
      <c r="G441" s="275"/>
      <c r="H441" s="275"/>
      <c r="I441" s="275"/>
      <c r="J441" s="275"/>
      <c r="K441" s="275"/>
      <c r="L441" s="275"/>
      <c r="M441" s="275"/>
      <c r="N441" s="275"/>
    </row>
    <row r="442">
      <c r="B442" s="275"/>
      <c r="C442" s="275"/>
      <c r="D442" s="275"/>
      <c r="E442" s="275"/>
      <c r="F442" s="275"/>
      <c r="G442" s="275"/>
      <c r="H442" s="275"/>
      <c r="I442" s="275"/>
      <c r="J442" s="275"/>
      <c r="K442" s="275"/>
      <c r="L442" s="275"/>
      <c r="M442" s="275"/>
      <c r="N442" s="275"/>
    </row>
    <row r="443">
      <c r="B443" s="275"/>
      <c r="C443" s="275"/>
      <c r="D443" s="275"/>
      <c r="E443" s="275"/>
      <c r="F443" s="275"/>
      <c r="G443" s="275"/>
      <c r="H443" s="275"/>
      <c r="I443" s="275"/>
      <c r="J443" s="275"/>
      <c r="K443" s="275"/>
      <c r="L443" s="275"/>
      <c r="M443" s="275"/>
      <c r="N443" s="275"/>
    </row>
    <row r="444">
      <c r="B444" s="275"/>
      <c r="C444" s="275"/>
      <c r="D444" s="275"/>
      <c r="E444" s="275"/>
      <c r="F444" s="275"/>
      <c r="G444" s="275"/>
      <c r="H444" s="275"/>
      <c r="I444" s="275"/>
      <c r="J444" s="275"/>
      <c r="K444" s="275"/>
      <c r="L444" s="275"/>
      <c r="M444" s="275"/>
      <c r="N444" s="275"/>
    </row>
    <row r="445">
      <c r="B445" s="275"/>
      <c r="C445" s="275"/>
      <c r="D445" s="275"/>
      <c r="E445" s="275"/>
      <c r="F445" s="275"/>
      <c r="G445" s="275"/>
      <c r="H445" s="275"/>
      <c r="I445" s="275"/>
      <c r="J445" s="275"/>
      <c r="K445" s="275"/>
      <c r="L445" s="275"/>
      <c r="M445" s="275"/>
      <c r="N445" s="275"/>
    </row>
    <row r="446">
      <c r="B446" s="275"/>
      <c r="C446" s="275"/>
      <c r="D446" s="275"/>
      <c r="E446" s="275"/>
      <c r="F446" s="275"/>
      <c r="G446" s="275"/>
      <c r="H446" s="275"/>
      <c r="I446" s="275"/>
      <c r="J446" s="275"/>
      <c r="K446" s="275"/>
      <c r="L446" s="275"/>
      <c r="M446" s="275"/>
      <c r="N446" s="275"/>
    </row>
    <row r="447">
      <c r="B447" s="275"/>
      <c r="C447" s="275"/>
      <c r="D447" s="275"/>
      <c r="E447" s="275"/>
      <c r="F447" s="275"/>
      <c r="G447" s="275"/>
      <c r="H447" s="275"/>
      <c r="I447" s="275"/>
      <c r="J447" s="275"/>
      <c r="K447" s="275"/>
      <c r="L447" s="275"/>
      <c r="M447" s="275"/>
      <c r="N447" s="275"/>
    </row>
    <row r="448">
      <c r="B448" s="275"/>
      <c r="C448" s="275"/>
      <c r="D448" s="275"/>
      <c r="E448" s="275"/>
      <c r="F448" s="275"/>
      <c r="G448" s="275"/>
      <c r="H448" s="275"/>
      <c r="I448" s="275"/>
      <c r="J448" s="275"/>
      <c r="K448" s="275"/>
      <c r="L448" s="275"/>
      <c r="M448" s="275"/>
      <c r="N448" s="275"/>
    </row>
    <row r="449">
      <c r="B449" s="275"/>
      <c r="C449" s="275"/>
      <c r="D449" s="275"/>
      <c r="E449" s="275"/>
      <c r="F449" s="275"/>
      <c r="G449" s="275"/>
      <c r="H449" s="275"/>
      <c r="I449" s="275"/>
      <c r="J449" s="275"/>
      <c r="K449" s="275"/>
      <c r="L449" s="275"/>
      <c r="M449" s="275"/>
      <c r="N449" s="275"/>
    </row>
    <row r="450">
      <c r="B450" s="275"/>
      <c r="C450" s="275"/>
      <c r="D450" s="275"/>
      <c r="E450" s="275"/>
      <c r="F450" s="275"/>
      <c r="G450" s="275"/>
      <c r="H450" s="275"/>
      <c r="I450" s="275"/>
      <c r="J450" s="275"/>
      <c r="K450" s="275"/>
      <c r="L450" s="275"/>
      <c r="M450" s="275"/>
      <c r="N450" s="275"/>
    </row>
    <row r="451">
      <c r="B451" s="275"/>
      <c r="C451" s="275"/>
      <c r="D451" s="275"/>
      <c r="E451" s="275"/>
      <c r="F451" s="275"/>
      <c r="G451" s="275"/>
      <c r="H451" s="275"/>
      <c r="I451" s="275"/>
      <c r="J451" s="275"/>
      <c r="K451" s="275"/>
      <c r="L451" s="275"/>
      <c r="M451" s="275"/>
      <c r="N451" s="275"/>
    </row>
    <row r="452">
      <c r="B452" s="275"/>
      <c r="C452" s="275"/>
      <c r="D452" s="275"/>
      <c r="E452" s="275"/>
      <c r="F452" s="275"/>
      <c r="G452" s="275"/>
      <c r="H452" s="275"/>
      <c r="I452" s="275"/>
      <c r="J452" s="275"/>
      <c r="K452" s="275"/>
      <c r="L452" s="275"/>
      <c r="M452" s="275"/>
      <c r="N452" s="275"/>
    </row>
    <row r="453">
      <c r="B453" s="275"/>
      <c r="C453" s="275"/>
      <c r="D453" s="275"/>
      <c r="E453" s="275"/>
      <c r="F453" s="275"/>
      <c r="G453" s="275"/>
      <c r="H453" s="275"/>
      <c r="I453" s="275"/>
      <c r="J453" s="275"/>
      <c r="K453" s="275"/>
      <c r="L453" s="275"/>
      <c r="M453" s="275"/>
      <c r="N453" s="275"/>
    </row>
    <row r="454">
      <c r="B454" s="275"/>
      <c r="C454" s="275"/>
      <c r="D454" s="275"/>
      <c r="E454" s="275"/>
      <c r="F454" s="275"/>
      <c r="G454" s="275"/>
      <c r="H454" s="275"/>
      <c r="I454" s="275"/>
      <c r="J454" s="275"/>
      <c r="K454" s="275"/>
      <c r="L454" s="275"/>
      <c r="M454" s="275"/>
      <c r="N454" s="275"/>
    </row>
    <row r="455">
      <c r="B455" s="275"/>
      <c r="C455" s="275"/>
      <c r="D455" s="275"/>
      <c r="E455" s="275"/>
      <c r="F455" s="275"/>
      <c r="G455" s="275"/>
      <c r="H455" s="275"/>
      <c r="I455" s="275"/>
      <c r="J455" s="275"/>
      <c r="K455" s="275"/>
      <c r="L455" s="275"/>
      <c r="M455" s="275"/>
      <c r="N455" s="275"/>
    </row>
    <row r="456">
      <c r="B456" s="275"/>
      <c r="C456" s="275"/>
      <c r="D456" s="275"/>
      <c r="E456" s="275"/>
      <c r="F456" s="275"/>
      <c r="G456" s="275"/>
      <c r="H456" s="275"/>
      <c r="I456" s="275"/>
      <c r="J456" s="275"/>
      <c r="K456" s="275"/>
      <c r="L456" s="275"/>
      <c r="M456" s="275"/>
      <c r="N456" s="275"/>
    </row>
    <row r="457">
      <c r="B457" s="275"/>
      <c r="C457" s="275"/>
      <c r="D457" s="275"/>
      <c r="E457" s="275"/>
      <c r="F457" s="275"/>
      <c r="G457" s="275"/>
      <c r="H457" s="275"/>
      <c r="I457" s="275"/>
      <c r="J457" s="275"/>
      <c r="K457" s="275"/>
      <c r="L457" s="275"/>
      <c r="M457" s="275"/>
      <c r="N457" s="275"/>
    </row>
    <row r="458">
      <c r="B458" s="275"/>
      <c r="C458" s="275"/>
      <c r="D458" s="275"/>
      <c r="E458" s="275"/>
      <c r="F458" s="275"/>
      <c r="G458" s="275"/>
      <c r="H458" s="275"/>
      <c r="I458" s="275"/>
      <c r="J458" s="275"/>
      <c r="K458" s="275"/>
      <c r="L458" s="275"/>
      <c r="M458" s="275"/>
      <c r="N458" s="275"/>
    </row>
    <row r="459">
      <c r="B459" s="275"/>
      <c r="C459" s="275"/>
      <c r="D459" s="275"/>
      <c r="E459" s="275"/>
      <c r="F459" s="275"/>
      <c r="G459" s="275"/>
      <c r="H459" s="275"/>
      <c r="I459" s="275"/>
      <c r="J459" s="275"/>
      <c r="K459" s="275"/>
      <c r="L459" s="275"/>
      <c r="M459" s="275"/>
      <c r="N459" s="275"/>
    </row>
    <row r="460">
      <c r="B460" s="275"/>
      <c r="C460" s="275"/>
      <c r="D460" s="275"/>
      <c r="E460" s="275"/>
      <c r="F460" s="275"/>
      <c r="G460" s="275"/>
      <c r="H460" s="275"/>
      <c r="I460" s="275"/>
      <c r="J460" s="275"/>
      <c r="K460" s="275"/>
      <c r="L460" s="275"/>
      <c r="M460" s="275"/>
      <c r="N460" s="275"/>
    </row>
    <row r="461">
      <c r="B461" s="275"/>
      <c r="C461" s="275"/>
      <c r="D461" s="275"/>
      <c r="E461" s="275"/>
      <c r="F461" s="275"/>
      <c r="G461" s="275"/>
      <c r="H461" s="275"/>
      <c r="I461" s="275"/>
      <c r="J461" s="275"/>
      <c r="K461" s="275"/>
      <c r="L461" s="275"/>
      <c r="M461" s="275"/>
      <c r="N461" s="275"/>
    </row>
    <row r="462">
      <c r="B462" s="275"/>
      <c r="C462" s="275"/>
      <c r="D462" s="275"/>
      <c r="E462" s="275"/>
      <c r="F462" s="275"/>
      <c r="G462" s="275"/>
      <c r="H462" s="275"/>
      <c r="I462" s="275"/>
      <c r="J462" s="275"/>
      <c r="K462" s="275"/>
      <c r="L462" s="275"/>
      <c r="M462" s="275"/>
      <c r="N462" s="275"/>
    </row>
    <row r="463">
      <c r="B463" s="275"/>
      <c r="C463" s="275"/>
      <c r="D463" s="275"/>
      <c r="E463" s="275"/>
      <c r="F463" s="275"/>
      <c r="G463" s="275"/>
      <c r="H463" s="275"/>
      <c r="I463" s="275"/>
      <c r="J463" s="275"/>
      <c r="K463" s="275"/>
      <c r="L463" s="275"/>
      <c r="M463" s="275"/>
      <c r="N463" s="275"/>
    </row>
    <row r="464">
      <c r="B464" s="275"/>
      <c r="C464" s="275"/>
      <c r="D464" s="275"/>
      <c r="E464" s="275"/>
      <c r="F464" s="275"/>
      <c r="G464" s="275"/>
      <c r="H464" s="275"/>
      <c r="I464" s="275"/>
      <c r="J464" s="275"/>
      <c r="K464" s="275"/>
      <c r="L464" s="275"/>
      <c r="M464" s="275"/>
      <c r="N464" s="275"/>
    </row>
    <row r="465">
      <c r="B465" s="275"/>
      <c r="C465" s="275"/>
      <c r="D465" s="275"/>
      <c r="E465" s="275"/>
      <c r="F465" s="275"/>
      <c r="G465" s="275"/>
      <c r="H465" s="275"/>
      <c r="I465" s="275"/>
      <c r="J465" s="275"/>
      <c r="K465" s="275"/>
      <c r="L465" s="275"/>
      <c r="M465" s="275"/>
      <c r="N465" s="275"/>
    </row>
    <row r="466">
      <c r="B466" s="275"/>
      <c r="C466" s="275"/>
      <c r="D466" s="275"/>
      <c r="E466" s="275"/>
      <c r="F466" s="275"/>
      <c r="G466" s="275"/>
      <c r="H466" s="275"/>
      <c r="I466" s="275"/>
      <c r="J466" s="275"/>
      <c r="K466" s="275"/>
      <c r="L466" s="275"/>
      <c r="M466" s="275"/>
      <c r="N466" s="275"/>
    </row>
    <row r="467">
      <c r="B467" s="275"/>
      <c r="C467" s="275"/>
      <c r="D467" s="275"/>
      <c r="E467" s="275"/>
      <c r="F467" s="275"/>
      <c r="G467" s="275"/>
      <c r="H467" s="275"/>
      <c r="I467" s="275"/>
      <c r="J467" s="275"/>
      <c r="K467" s="275"/>
      <c r="L467" s="275"/>
      <c r="M467" s="275"/>
      <c r="N467" s="275"/>
    </row>
    <row r="468">
      <c r="B468" s="275"/>
      <c r="C468" s="275"/>
      <c r="D468" s="275"/>
      <c r="E468" s="275"/>
      <c r="F468" s="275"/>
      <c r="G468" s="275"/>
      <c r="H468" s="275"/>
      <c r="I468" s="275"/>
      <c r="J468" s="275"/>
      <c r="K468" s="275"/>
      <c r="L468" s="275"/>
      <c r="M468" s="275"/>
      <c r="N468" s="275"/>
    </row>
    <row r="469">
      <c r="B469" s="275"/>
      <c r="C469" s="275"/>
      <c r="D469" s="275"/>
      <c r="E469" s="275"/>
      <c r="F469" s="275"/>
      <c r="G469" s="275"/>
      <c r="H469" s="275"/>
      <c r="I469" s="275"/>
      <c r="J469" s="275"/>
      <c r="K469" s="275"/>
      <c r="L469" s="275"/>
      <c r="M469" s="275"/>
      <c r="N469" s="275"/>
    </row>
    <row r="470">
      <c r="B470" s="275"/>
      <c r="C470" s="275"/>
      <c r="D470" s="275"/>
      <c r="E470" s="275"/>
      <c r="F470" s="275"/>
      <c r="G470" s="275"/>
      <c r="H470" s="275"/>
      <c r="I470" s="275"/>
      <c r="J470" s="275"/>
      <c r="K470" s="275"/>
      <c r="L470" s="275"/>
      <c r="M470" s="275"/>
      <c r="N470" s="275"/>
    </row>
    <row r="471">
      <c r="B471" s="275"/>
      <c r="C471" s="275"/>
      <c r="D471" s="275"/>
      <c r="E471" s="275"/>
      <c r="F471" s="275"/>
      <c r="G471" s="275"/>
      <c r="H471" s="275"/>
      <c r="I471" s="275"/>
      <c r="J471" s="275"/>
      <c r="K471" s="275"/>
      <c r="L471" s="275"/>
      <c r="M471" s="275"/>
      <c r="N471" s="275"/>
    </row>
    <row r="472">
      <c r="B472" s="275"/>
      <c r="C472" s="275"/>
      <c r="D472" s="275"/>
      <c r="E472" s="275"/>
      <c r="F472" s="275"/>
      <c r="G472" s="275"/>
      <c r="H472" s="275"/>
      <c r="I472" s="275"/>
      <c r="J472" s="275"/>
      <c r="K472" s="275"/>
      <c r="L472" s="275"/>
      <c r="M472" s="275"/>
      <c r="N472" s="275"/>
    </row>
    <row r="473">
      <c r="B473" s="275"/>
      <c r="C473" s="275"/>
      <c r="D473" s="275"/>
      <c r="E473" s="275"/>
      <c r="F473" s="275"/>
      <c r="G473" s="275"/>
      <c r="H473" s="275"/>
      <c r="I473" s="275"/>
      <c r="J473" s="275"/>
      <c r="K473" s="275"/>
      <c r="L473" s="275"/>
      <c r="M473" s="275"/>
      <c r="N473" s="275"/>
    </row>
    <row r="474">
      <c r="B474" s="275"/>
      <c r="C474" s="275"/>
      <c r="D474" s="275"/>
      <c r="E474" s="275"/>
      <c r="F474" s="275"/>
      <c r="G474" s="275"/>
      <c r="H474" s="275"/>
      <c r="I474" s="275"/>
      <c r="J474" s="275"/>
      <c r="K474" s="275"/>
      <c r="L474" s="275"/>
      <c r="M474" s="275"/>
      <c r="N474" s="275"/>
    </row>
    <row r="475">
      <c r="B475" s="275"/>
      <c r="C475" s="275"/>
      <c r="D475" s="275"/>
      <c r="E475" s="275"/>
      <c r="F475" s="275"/>
      <c r="G475" s="275"/>
      <c r="H475" s="275"/>
      <c r="I475" s="275"/>
      <c r="J475" s="275"/>
      <c r="K475" s="275"/>
      <c r="L475" s="275"/>
      <c r="M475" s="275"/>
      <c r="N475" s="275"/>
    </row>
    <row r="476">
      <c r="B476" s="275"/>
      <c r="C476" s="275"/>
      <c r="D476" s="275"/>
      <c r="E476" s="275"/>
      <c r="F476" s="275"/>
      <c r="G476" s="275"/>
      <c r="H476" s="275"/>
      <c r="I476" s="275"/>
      <c r="J476" s="275"/>
      <c r="K476" s="275"/>
      <c r="L476" s="275"/>
      <c r="M476" s="275"/>
      <c r="N476" s="275"/>
    </row>
    <row r="477">
      <c r="B477" s="275"/>
      <c r="C477" s="275"/>
      <c r="D477" s="275"/>
      <c r="E477" s="275"/>
      <c r="F477" s="275"/>
      <c r="G477" s="275"/>
      <c r="H477" s="275"/>
      <c r="I477" s="275"/>
      <c r="J477" s="275"/>
      <c r="K477" s="275"/>
      <c r="L477" s="275"/>
      <c r="M477" s="275"/>
      <c r="N477" s="275"/>
    </row>
    <row r="478">
      <c r="B478" s="275"/>
      <c r="C478" s="275"/>
      <c r="D478" s="275"/>
      <c r="E478" s="275"/>
      <c r="F478" s="275"/>
      <c r="G478" s="275"/>
      <c r="H478" s="275"/>
      <c r="I478" s="275"/>
      <c r="J478" s="275"/>
      <c r="K478" s="275"/>
      <c r="L478" s="275"/>
      <c r="M478" s="275"/>
      <c r="N478" s="275"/>
    </row>
    <row r="479">
      <c r="B479" s="275"/>
      <c r="C479" s="275"/>
      <c r="D479" s="275"/>
      <c r="E479" s="275"/>
      <c r="F479" s="275"/>
      <c r="G479" s="275"/>
      <c r="H479" s="275"/>
      <c r="I479" s="275"/>
      <c r="J479" s="275"/>
      <c r="K479" s="275"/>
      <c r="L479" s="275"/>
      <c r="M479" s="275"/>
      <c r="N479" s="275"/>
    </row>
    <row r="480">
      <c r="B480" s="275"/>
      <c r="C480" s="275"/>
      <c r="D480" s="275"/>
      <c r="E480" s="275"/>
      <c r="F480" s="275"/>
      <c r="G480" s="275"/>
      <c r="H480" s="275"/>
      <c r="I480" s="275"/>
      <c r="J480" s="275"/>
      <c r="K480" s="275"/>
      <c r="L480" s="275"/>
      <c r="M480" s="275"/>
      <c r="N480" s="275"/>
    </row>
    <row r="481">
      <c r="B481" s="275"/>
      <c r="C481" s="275"/>
      <c r="D481" s="275"/>
      <c r="E481" s="275"/>
      <c r="F481" s="275"/>
      <c r="G481" s="275"/>
      <c r="H481" s="275"/>
      <c r="I481" s="275"/>
      <c r="J481" s="275"/>
      <c r="K481" s="275"/>
      <c r="L481" s="275"/>
      <c r="M481" s="275"/>
      <c r="N481" s="275"/>
    </row>
    <row r="482">
      <c r="B482" s="275"/>
      <c r="C482" s="275"/>
      <c r="D482" s="275"/>
      <c r="E482" s="275"/>
      <c r="F482" s="275"/>
      <c r="G482" s="275"/>
      <c r="H482" s="275"/>
      <c r="I482" s="275"/>
      <c r="J482" s="275"/>
      <c r="K482" s="275"/>
      <c r="L482" s="275"/>
      <c r="M482" s="275"/>
      <c r="N482" s="275"/>
    </row>
    <row r="483">
      <c r="B483" s="275"/>
      <c r="C483" s="275"/>
      <c r="D483" s="275"/>
      <c r="E483" s="275"/>
      <c r="F483" s="275"/>
      <c r="G483" s="275"/>
      <c r="H483" s="275"/>
      <c r="I483" s="275"/>
      <c r="J483" s="275"/>
      <c r="K483" s="275"/>
      <c r="L483" s="275"/>
      <c r="M483" s="275"/>
      <c r="N483" s="275"/>
    </row>
    <row r="484">
      <c r="B484" s="275"/>
      <c r="C484" s="275"/>
      <c r="D484" s="275"/>
      <c r="E484" s="275"/>
      <c r="F484" s="275"/>
      <c r="G484" s="275"/>
      <c r="H484" s="275"/>
      <c r="I484" s="275"/>
      <c r="J484" s="275"/>
      <c r="K484" s="275"/>
      <c r="L484" s="275"/>
      <c r="M484" s="275"/>
      <c r="N484" s="275"/>
    </row>
    <row r="485">
      <c r="B485" s="275"/>
      <c r="C485" s="275"/>
      <c r="D485" s="275"/>
      <c r="E485" s="275"/>
      <c r="F485" s="275"/>
      <c r="G485" s="275"/>
      <c r="H485" s="275"/>
      <c r="I485" s="275"/>
      <c r="J485" s="275"/>
      <c r="K485" s="275"/>
      <c r="L485" s="275"/>
      <c r="M485" s="275"/>
      <c r="N485" s="275"/>
    </row>
    <row r="486">
      <c r="B486" s="275"/>
      <c r="C486" s="275"/>
      <c r="D486" s="275"/>
      <c r="E486" s="275"/>
      <c r="F486" s="275"/>
      <c r="G486" s="275"/>
      <c r="H486" s="275"/>
      <c r="I486" s="275"/>
      <c r="J486" s="275"/>
      <c r="K486" s="275"/>
      <c r="L486" s="275"/>
      <c r="M486" s="275"/>
      <c r="N486" s="275"/>
    </row>
    <row r="487">
      <c r="B487" s="275"/>
      <c r="C487" s="275"/>
      <c r="D487" s="275"/>
      <c r="E487" s="275"/>
      <c r="F487" s="275"/>
      <c r="G487" s="275"/>
      <c r="H487" s="275"/>
      <c r="I487" s="275"/>
      <c r="J487" s="275"/>
      <c r="K487" s="275"/>
      <c r="L487" s="275"/>
      <c r="M487" s="275"/>
      <c r="N487" s="275"/>
    </row>
    <row r="488">
      <c r="B488" s="275"/>
      <c r="C488" s="275"/>
      <c r="D488" s="275"/>
      <c r="E488" s="275"/>
      <c r="F488" s="275"/>
      <c r="G488" s="275"/>
      <c r="H488" s="275"/>
      <c r="I488" s="275"/>
      <c r="J488" s="275"/>
      <c r="K488" s="275"/>
      <c r="L488" s="275"/>
      <c r="M488" s="275"/>
      <c r="N488" s="275"/>
    </row>
    <row r="489">
      <c r="B489" s="275"/>
      <c r="C489" s="275"/>
      <c r="D489" s="275"/>
      <c r="E489" s="275"/>
      <c r="F489" s="275"/>
      <c r="G489" s="275"/>
      <c r="H489" s="275"/>
      <c r="I489" s="275"/>
      <c r="J489" s="275"/>
      <c r="K489" s="275"/>
      <c r="L489" s="275"/>
      <c r="M489" s="275"/>
      <c r="N489" s="275"/>
    </row>
    <row r="490">
      <c r="B490" s="275"/>
      <c r="C490" s="275"/>
      <c r="D490" s="275"/>
      <c r="E490" s="275"/>
      <c r="F490" s="275"/>
      <c r="G490" s="275"/>
      <c r="H490" s="275"/>
      <c r="I490" s="275"/>
      <c r="J490" s="275"/>
      <c r="K490" s="275"/>
      <c r="L490" s="275"/>
      <c r="M490" s="275"/>
      <c r="N490" s="275"/>
    </row>
    <row r="491">
      <c r="B491" s="275"/>
      <c r="C491" s="275"/>
      <c r="D491" s="275"/>
      <c r="E491" s="275"/>
      <c r="F491" s="275"/>
      <c r="G491" s="275"/>
      <c r="H491" s="275"/>
      <c r="I491" s="275"/>
      <c r="J491" s="275"/>
      <c r="K491" s="275"/>
      <c r="L491" s="275"/>
      <c r="M491" s="275"/>
      <c r="N491" s="275"/>
    </row>
    <row r="492">
      <c r="B492" s="275"/>
      <c r="C492" s="275"/>
      <c r="D492" s="275"/>
      <c r="E492" s="275"/>
      <c r="F492" s="275"/>
      <c r="G492" s="275"/>
      <c r="H492" s="275"/>
      <c r="I492" s="275"/>
      <c r="J492" s="275"/>
      <c r="K492" s="275"/>
      <c r="L492" s="275"/>
      <c r="M492" s="275"/>
      <c r="N492" s="275"/>
    </row>
    <row r="493">
      <c r="B493" s="275"/>
      <c r="C493" s="275"/>
      <c r="D493" s="275"/>
      <c r="E493" s="275"/>
      <c r="F493" s="275"/>
      <c r="G493" s="275"/>
      <c r="H493" s="275"/>
      <c r="I493" s="275"/>
      <c r="J493" s="275"/>
      <c r="K493" s="275"/>
      <c r="L493" s="275"/>
      <c r="M493" s="275"/>
      <c r="N493" s="275"/>
    </row>
    <row r="494">
      <c r="B494" s="275"/>
      <c r="C494" s="275"/>
      <c r="D494" s="275"/>
      <c r="E494" s="275"/>
      <c r="F494" s="275"/>
      <c r="G494" s="275"/>
      <c r="H494" s="275"/>
      <c r="I494" s="275"/>
      <c r="J494" s="275"/>
      <c r="K494" s="275"/>
      <c r="L494" s="275"/>
      <c r="M494" s="275"/>
      <c r="N494" s="275"/>
    </row>
    <row r="495">
      <c r="B495" s="275"/>
      <c r="C495" s="275"/>
      <c r="D495" s="275"/>
      <c r="E495" s="275"/>
      <c r="F495" s="275"/>
      <c r="G495" s="275"/>
      <c r="H495" s="275"/>
      <c r="I495" s="275"/>
      <c r="J495" s="275"/>
      <c r="K495" s="275"/>
      <c r="L495" s="275"/>
      <c r="M495" s="275"/>
      <c r="N495" s="275"/>
    </row>
    <row r="496">
      <c r="B496" s="275"/>
      <c r="C496" s="275"/>
      <c r="D496" s="275"/>
      <c r="E496" s="275"/>
      <c r="F496" s="275"/>
      <c r="G496" s="275"/>
      <c r="H496" s="275"/>
      <c r="I496" s="275"/>
      <c r="J496" s="275"/>
      <c r="K496" s="275"/>
      <c r="L496" s="275"/>
      <c r="M496" s="275"/>
      <c r="N496" s="275"/>
    </row>
    <row r="497">
      <c r="B497" s="275"/>
      <c r="C497" s="275"/>
      <c r="D497" s="275"/>
      <c r="E497" s="275"/>
      <c r="F497" s="275"/>
      <c r="G497" s="275"/>
      <c r="H497" s="275"/>
      <c r="I497" s="275"/>
      <c r="J497" s="275"/>
      <c r="K497" s="275"/>
      <c r="L497" s="275"/>
      <c r="M497" s="275"/>
      <c r="N497" s="275"/>
    </row>
    <row r="498">
      <c r="B498" s="275"/>
      <c r="C498" s="275"/>
      <c r="D498" s="275"/>
      <c r="E498" s="275"/>
      <c r="F498" s="275"/>
      <c r="G498" s="275"/>
      <c r="H498" s="275"/>
      <c r="I498" s="275"/>
      <c r="J498" s="275"/>
      <c r="K498" s="275"/>
      <c r="L498" s="275"/>
      <c r="M498" s="275"/>
      <c r="N498" s="275"/>
    </row>
    <row r="499">
      <c r="B499" s="275"/>
      <c r="C499" s="275"/>
      <c r="D499" s="275"/>
      <c r="E499" s="275"/>
      <c r="F499" s="275"/>
      <c r="G499" s="275"/>
      <c r="H499" s="275"/>
      <c r="I499" s="275"/>
      <c r="J499" s="275"/>
      <c r="K499" s="275"/>
      <c r="L499" s="275"/>
      <c r="M499" s="275"/>
      <c r="N499" s="275"/>
    </row>
    <row r="500">
      <c r="B500" s="275"/>
      <c r="C500" s="275"/>
      <c r="D500" s="275"/>
      <c r="E500" s="275"/>
      <c r="F500" s="275"/>
      <c r="G500" s="275"/>
      <c r="H500" s="275"/>
      <c r="I500" s="275"/>
      <c r="J500" s="275"/>
      <c r="K500" s="275"/>
      <c r="L500" s="275"/>
      <c r="M500" s="275"/>
      <c r="N500" s="275"/>
    </row>
    <row r="501">
      <c r="B501" s="275"/>
      <c r="C501" s="275"/>
      <c r="D501" s="275"/>
      <c r="E501" s="275"/>
      <c r="F501" s="275"/>
      <c r="G501" s="275"/>
      <c r="H501" s="275"/>
      <c r="I501" s="275"/>
      <c r="J501" s="275"/>
      <c r="K501" s="275"/>
      <c r="L501" s="275"/>
      <c r="M501" s="275"/>
      <c r="N501" s="275"/>
    </row>
    <row r="502">
      <c r="B502" s="275"/>
      <c r="C502" s="275"/>
      <c r="D502" s="275"/>
      <c r="E502" s="275"/>
      <c r="F502" s="275"/>
      <c r="G502" s="275"/>
      <c r="H502" s="275"/>
      <c r="I502" s="275"/>
      <c r="J502" s="275"/>
      <c r="K502" s="275"/>
      <c r="L502" s="275"/>
      <c r="M502" s="275"/>
      <c r="N502" s="275"/>
    </row>
    <row r="503">
      <c r="B503" s="275"/>
      <c r="C503" s="275"/>
      <c r="D503" s="275"/>
      <c r="E503" s="275"/>
      <c r="F503" s="275"/>
      <c r="G503" s="275"/>
      <c r="H503" s="275"/>
      <c r="I503" s="275"/>
      <c r="J503" s="275"/>
      <c r="K503" s="275"/>
      <c r="L503" s="275"/>
      <c r="M503" s="275"/>
      <c r="N503" s="275"/>
    </row>
    <row r="504">
      <c r="B504" s="275"/>
      <c r="C504" s="275"/>
      <c r="D504" s="275"/>
      <c r="E504" s="275"/>
      <c r="F504" s="275"/>
      <c r="G504" s="275"/>
      <c r="H504" s="275"/>
      <c r="I504" s="275"/>
      <c r="J504" s="275"/>
      <c r="K504" s="275"/>
      <c r="L504" s="275"/>
      <c r="M504" s="275"/>
      <c r="N504" s="275"/>
    </row>
    <row r="505">
      <c r="B505" s="275"/>
      <c r="C505" s="275"/>
      <c r="D505" s="275"/>
      <c r="E505" s="275"/>
      <c r="F505" s="275"/>
      <c r="G505" s="275"/>
      <c r="H505" s="275"/>
      <c r="I505" s="275"/>
      <c r="J505" s="275"/>
      <c r="K505" s="275"/>
      <c r="L505" s="275"/>
      <c r="M505" s="275"/>
      <c r="N505" s="275"/>
    </row>
    <row r="506">
      <c r="B506" s="275"/>
      <c r="C506" s="275"/>
      <c r="D506" s="275"/>
      <c r="E506" s="275"/>
      <c r="F506" s="275"/>
      <c r="G506" s="275"/>
      <c r="H506" s="275"/>
      <c r="I506" s="275"/>
      <c r="J506" s="275"/>
      <c r="K506" s="275"/>
      <c r="L506" s="275"/>
      <c r="M506" s="275"/>
      <c r="N506" s="275"/>
    </row>
    <row r="507">
      <c r="B507" s="275"/>
      <c r="C507" s="275"/>
      <c r="D507" s="275"/>
      <c r="E507" s="275"/>
      <c r="F507" s="275"/>
      <c r="G507" s="275"/>
      <c r="H507" s="275"/>
      <c r="I507" s="275"/>
      <c r="J507" s="275"/>
      <c r="K507" s="275"/>
      <c r="L507" s="275"/>
      <c r="M507" s="275"/>
      <c r="N507" s="275"/>
    </row>
    <row r="508">
      <c r="B508" s="275"/>
      <c r="C508" s="275"/>
      <c r="D508" s="275"/>
      <c r="E508" s="275"/>
      <c r="F508" s="275"/>
      <c r="G508" s="275"/>
      <c r="H508" s="275"/>
      <c r="I508" s="275"/>
      <c r="J508" s="275"/>
      <c r="K508" s="275"/>
      <c r="L508" s="275"/>
      <c r="M508" s="275"/>
      <c r="N508" s="275"/>
    </row>
    <row r="509">
      <c r="B509" s="275"/>
      <c r="C509" s="275"/>
      <c r="D509" s="275"/>
      <c r="E509" s="275"/>
      <c r="F509" s="275"/>
      <c r="G509" s="275"/>
      <c r="H509" s="275"/>
      <c r="I509" s="275"/>
      <c r="J509" s="275"/>
      <c r="K509" s="275"/>
      <c r="L509" s="275"/>
      <c r="M509" s="275"/>
      <c r="N509" s="275"/>
    </row>
    <row r="510">
      <c r="B510" s="275"/>
      <c r="C510" s="275"/>
      <c r="D510" s="275"/>
      <c r="E510" s="275"/>
      <c r="F510" s="275"/>
      <c r="G510" s="275"/>
      <c r="H510" s="275"/>
      <c r="I510" s="275"/>
      <c r="J510" s="275"/>
      <c r="K510" s="275"/>
      <c r="L510" s="275"/>
      <c r="M510" s="275"/>
      <c r="N510" s="275"/>
    </row>
    <row r="511">
      <c r="B511" s="275"/>
      <c r="C511" s="275"/>
      <c r="D511" s="275"/>
      <c r="E511" s="275"/>
      <c r="F511" s="275"/>
      <c r="G511" s="275"/>
      <c r="H511" s="275"/>
      <c r="I511" s="275"/>
      <c r="J511" s="275"/>
      <c r="K511" s="275"/>
      <c r="L511" s="275"/>
      <c r="M511" s="275"/>
      <c r="N511" s="275"/>
    </row>
    <row r="512">
      <c r="B512" s="275"/>
      <c r="C512" s="275"/>
      <c r="D512" s="275"/>
      <c r="E512" s="275"/>
      <c r="F512" s="275"/>
      <c r="G512" s="275"/>
      <c r="H512" s="275"/>
      <c r="I512" s="275"/>
      <c r="J512" s="275"/>
      <c r="K512" s="275"/>
      <c r="L512" s="275"/>
      <c r="M512" s="275"/>
      <c r="N512" s="275"/>
    </row>
    <row r="513">
      <c r="B513" s="275"/>
      <c r="C513" s="275"/>
      <c r="D513" s="275"/>
      <c r="E513" s="275"/>
      <c r="F513" s="275"/>
      <c r="G513" s="275"/>
      <c r="H513" s="275"/>
      <c r="I513" s="275"/>
      <c r="J513" s="275"/>
      <c r="K513" s="275"/>
      <c r="L513" s="275"/>
      <c r="M513" s="275"/>
      <c r="N513" s="275"/>
    </row>
    <row r="514">
      <c r="B514" s="275"/>
      <c r="C514" s="275"/>
      <c r="D514" s="275"/>
      <c r="E514" s="275"/>
      <c r="F514" s="275"/>
      <c r="G514" s="275"/>
      <c r="H514" s="275"/>
      <c r="I514" s="275"/>
      <c r="J514" s="275"/>
      <c r="K514" s="275"/>
      <c r="L514" s="275"/>
      <c r="M514" s="275"/>
      <c r="N514" s="275"/>
    </row>
    <row r="515">
      <c r="B515" s="275"/>
      <c r="C515" s="275"/>
      <c r="D515" s="275"/>
      <c r="E515" s="275"/>
      <c r="F515" s="275"/>
      <c r="G515" s="275"/>
      <c r="H515" s="275"/>
      <c r="I515" s="275"/>
      <c r="J515" s="275"/>
      <c r="K515" s="275"/>
      <c r="L515" s="275"/>
      <c r="M515" s="275"/>
      <c r="N515" s="275"/>
    </row>
    <row r="516">
      <c r="B516" s="275"/>
      <c r="C516" s="275"/>
      <c r="D516" s="275"/>
      <c r="E516" s="275"/>
      <c r="F516" s="275"/>
      <c r="G516" s="275"/>
      <c r="H516" s="275"/>
      <c r="I516" s="275"/>
      <c r="J516" s="275"/>
      <c r="K516" s="275"/>
      <c r="L516" s="275"/>
      <c r="M516" s="275"/>
      <c r="N516" s="275"/>
    </row>
    <row r="517">
      <c r="B517" s="275"/>
      <c r="C517" s="275"/>
      <c r="D517" s="275"/>
      <c r="E517" s="275"/>
      <c r="F517" s="275"/>
      <c r="G517" s="275"/>
      <c r="H517" s="275"/>
      <c r="I517" s="275"/>
      <c r="J517" s="275"/>
      <c r="K517" s="275"/>
      <c r="L517" s="275"/>
      <c r="M517" s="275"/>
      <c r="N517" s="275"/>
    </row>
    <row r="518">
      <c r="B518" s="275"/>
      <c r="C518" s="275"/>
      <c r="D518" s="275"/>
      <c r="E518" s="275"/>
      <c r="F518" s="275"/>
      <c r="G518" s="275"/>
      <c r="H518" s="275"/>
      <c r="I518" s="275"/>
      <c r="J518" s="275"/>
      <c r="K518" s="275"/>
      <c r="L518" s="275"/>
      <c r="M518" s="275"/>
      <c r="N518" s="275"/>
    </row>
    <row r="519">
      <c r="B519" s="275"/>
      <c r="C519" s="275"/>
      <c r="D519" s="275"/>
      <c r="E519" s="275"/>
      <c r="F519" s="275"/>
      <c r="G519" s="275"/>
      <c r="H519" s="275"/>
      <c r="I519" s="275"/>
      <c r="J519" s="275"/>
      <c r="K519" s="275"/>
      <c r="L519" s="275"/>
      <c r="M519" s="275"/>
      <c r="N519" s="275"/>
    </row>
    <row r="520">
      <c r="B520" s="275"/>
      <c r="C520" s="275"/>
      <c r="D520" s="275"/>
      <c r="E520" s="275"/>
      <c r="F520" s="275"/>
      <c r="G520" s="275"/>
      <c r="H520" s="275"/>
      <c r="I520" s="275"/>
      <c r="J520" s="275"/>
      <c r="K520" s="275"/>
      <c r="L520" s="275"/>
      <c r="M520" s="275"/>
      <c r="N520" s="275"/>
    </row>
    <row r="521">
      <c r="B521" s="275"/>
      <c r="C521" s="275"/>
      <c r="D521" s="275"/>
      <c r="E521" s="275"/>
      <c r="F521" s="275"/>
      <c r="G521" s="275"/>
      <c r="H521" s="275"/>
      <c r="I521" s="275"/>
      <c r="J521" s="275"/>
      <c r="K521" s="275"/>
      <c r="L521" s="275"/>
      <c r="M521" s="275"/>
      <c r="N521" s="275"/>
    </row>
    <row r="522">
      <c r="B522" s="275"/>
      <c r="C522" s="275"/>
      <c r="D522" s="275"/>
      <c r="E522" s="275"/>
      <c r="F522" s="275"/>
      <c r="G522" s="275"/>
      <c r="H522" s="275"/>
      <c r="I522" s="275"/>
      <c r="J522" s="275"/>
      <c r="K522" s="275"/>
      <c r="L522" s="275"/>
      <c r="M522" s="275"/>
      <c r="N522" s="275"/>
    </row>
    <row r="523">
      <c r="B523" s="275"/>
      <c r="C523" s="275"/>
      <c r="D523" s="275"/>
      <c r="E523" s="275"/>
      <c r="F523" s="275"/>
      <c r="G523" s="275"/>
      <c r="H523" s="275"/>
      <c r="I523" s="275"/>
      <c r="J523" s="275"/>
      <c r="K523" s="275"/>
      <c r="L523" s="275"/>
      <c r="M523" s="275"/>
      <c r="N523" s="275"/>
    </row>
    <row r="524">
      <c r="B524" s="275"/>
      <c r="C524" s="275"/>
      <c r="D524" s="275"/>
      <c r="E524" s="275"/>
      <c r="F524" s="275"/>
      <c r="G524" s="275"/>
      <c r="H524" s="275"/>
      <c r="I524" s="275"/>
      <c r="J524" s="275"/>
      <c r="K524" s="275"/>
      <c r="L524" s="275"/>
      <c r="M524" s="275"/>
      <c r="N524" s="275"/>
    </row>
    <row r="525">
      <c r="B525" s="275"/>
      <c r="C525" s="275"/>
      <c r="D525" s="275"/>
      <c r="E525" s="275"/>
      <c r="F525" s="275"/>
      <c r="G525" s="275"/>
      <c r="H525" s="275"/>
      <c r="I525" s="275"/>
      <c r="J525" s="275"/>
      <c r="K525" s="275"/>
      <c r="L525" s="275"/>
      <c r="M525" s="275"/>
      <c r="N525" s="275"/>
    </row>
    <row r="526">
      <c r="B526" s="275"/>
      <c r="C526" s="275"/>
      <c r="D526" s="275"/>
      <c r="E526" s="275"/>
      <c r="F526" s="275"/>
      <c r="G526" s="275"/>
      <c r="H526" s="275"/>
      <c r="I526" s="275"/>
      <c r="J526" s="275"/>
      <c r="K526" s="275"/>
      <c r="L526" s="275"/>
      <c r="M526" s="275"/>
      <c r="N526" s="275"/>
    </row>
    <row r="527">
      <c r="B527" s="275"/>
      <c r="C527" s="275"/>
      <c r="D527" s="275"/>
      <c r="E527" s="275"/>
      <c r="F527" s="275"/>
      <c r="G527" s="275"/>
      <c r="H527" s="275"/>
      <c r="I527" s="275"/>
      <c r="J527" s="275"/>
      <c r="K527" s="275"/>
      <c r="L527" s="275"/>
      <c r="M527" s="275"/>
      <c r="N527" s="275"/>
    </row>
    <row r="528">
      <c r="B528" s="275"/>
      <c r="C528" s="275"/>
      <c r="D528" s="275"/>
      <c r="E528" s="275"/>
      <c r="F528" s="275"/>
      <c r="G528" s="275"/>
      <c r="H528" s="275"/>
      <c r="I528" s="275"/>
      <c r="J528" s="275"/>
      <c r="K528" s="275"/>
      <c r="L528" s="275"/>
      <c r="M528" s="275"/>
      <c r="N528" s="275"/>
    </row>
    <row r="529">
      <c r="B529" s="275"/>
      <c r="C529" s="275"/>
      <c r="D529" s="275"/>
      <c r="E529" s="275"/>
      <c r="F529" s="275"/>
      <c r="G529" s="275"/>
      <c r="H529" s="275"/>
      <c r="I529" s="275"/>
      <c r="J529" s="275"/>
      <c r="K529" s="275"/>
      <c r="L529" s="275"/>
      <c r="M529" s="275"/>
      <c r="N529" s="275"/>
    </row>
    <row r="530">
      <c r="B530" s="275"/>
      <c r="C530" s="275"/>
      <c r="D530" s="275"/>
      <c r="E530" s="275"/>
      <c r="F530" s="275"/>
      <c r="G530" s="275"/>
      <c r="H530" s="275"/>
      <c r="I530" s="275"/>
      <c r="J530" s="275"/>
      <c r="K530" s="275"/>
      <c r="L530" s="275"/>
      <c r="M530" s="275"/>
      <c r="N530" s="275"/>
    </row>
    <row r="531">
      <c r="B531" s="275"/>
      <c r="C531" s="275"/>
      <c r="D531" s="275"/>
      <c r="E531" s="275"/>
      <c r="F531" s="275"/>
      <c r="G531" s="275"/>
      <c r="H531" s="275"/>
      <c r="I531" s="275"/>
      <c r="J531" s="275"/>
      <c r="K531" s="275"/>
      <c r="L531" s="275"/>
      <c r="M531" s="275"/>
      <c r="N531" s="275"/>
    </row>
    <row r="532">
      <c r="B532" s="275"/>
      <c r="C532" s="275"/>
      <c r="D532" s="275"/>
      <c r="E532" s="275"/>
      <c r="F532" s="275"/>
      <c r="G532" s="275"/>
      <c r="H532" s="275"/>
      <c r="I532" s="275"/>
      <c r="J532" s="275"/>
      <c r="K532" s="275"/>
      <c r="L532" s="275"/>
      <c r="M532" s="275"/>
      <c r="N532" s="275"/>
    </row>
    <row r="533">
      <c r="B533" s="275"/>
      <c r="C533" s="275"/>
      <c r="D533" s="275"/>
      <c r="E533" s="275"/>
      <c r="F533" s="275"/>
      <c r="G533" s="275"/>
      <c r="H533" s="275"/>
      <c r="I533" s="275"/>
      <c r="J533" s="275"/>
      <c r="K533" s="275"/>
      <c r="L533" s="275"/>
      <c r="M533" s="275"/>
      <c r="N533" s="275"/>
    </row>
    <row r="534">
      <c r="B534" s="275"/>
      <c r="C534" s="275"/>
      <c r="D534" s="275"/>
      <c r="E534" s="275"/>
      <c r="F534" s="275"/>
      <c r="G534" s="275"/>
      <c r="H534" s="275"/>
      <c r="I534" s="275"/>
      <c r="J534" s="275"/>
      <c r="K534" s="275"/>
      <c r="L534" s="275"/>
      <c r="M534" s="275"/>
      <c r="N534" s="275"/>
    </row>
    <row r="535">
      <c r="B535" s="275"/>
      <c r="C535" s="275"/>
      <c r="D535" s="275"/>
      <c r="E535" s="275"/>
      <c r="F535" s="275"/>
      <c r="G535" s="275"/>
      <c r="H535" s="275"/>
      <c r="I535" s="275"/>
      <c r="J535" s="275"/>
      <c r="K535" s="275"/>
      <c r="L535" s="275"/>
      <c r="M535" s="275"/>
      <c r="N535" s="275"/>
    </row>
    <row r="536">
      <c r="B536" s="275"/>
      <c r="C536" s="275"/>
      <c r="D536" s="275"/>
      <c r="E536" s="275"/>
      <c r="F536" s="275"/>
      <c r="G536" s="275"/>
      <c r="H536" s="275"/>
      <c r="I536" s="275"/>
      <c r="J536" s="275"/>
      <c r="K536" s="275"/>
      <c r="L536" s="275"/>
      <c r="M536" s="275"/>
      <c r="N536" s="275"/>
    </row>
    <row r="537">
      <c r="B537" s="275"/>
      <c r="C537" s="275"/>
      <c r="D537" s="275"/>
      <c r="E537" s="275"/>
      <c r="F537" s="275"/>
      <c r="G537" s="275"/>
      <c r="H537" s="275"/>
      <c r="I537" s="275"/>
      <c r="J537" s="275"/>
      <c r="K537" s="275"/>
      <c r="L537" s="275"/>
      <c r="M537" s="275"/>
      <c r="N537" s="275"/>
    </row>
    <row r="538">
      <c r="B538" s="275"/>
      <c r="C538" s="275"/>
      <c r="D538" s="275"/>
      <c r="E538" s="275"/>
      <c r="F538" s="275"/>
      <c r="G538" s="275"/>
      <c r="H538" s="275"/>
      <c r="I538" s="275"/>
      <c r="J538" s="275"/>
      <c r="K538" s="275"/>
      <c r="L538" s="275"/>
      <c r="M538" s="275"/>
      <c r="N538" s="275"/>
    </row>
    <row r="539">
      <c r="B539" s="275"/>
      <c r="C539" s="275"/>
      <c r="D539" s="275"/>
      <c r="E539" s="275"/>
      <c r="F539" s="275"/>
      <c r="G539" s="275"/>
      <c r="H539" s="275"/>
      <c r="I539" s="275"/>
      <c r="J539" s="275"/>
      <c r="K539" s="275"/>
      <c r="L539" s="275"/>
      <c r="M539" s="275"/>
      <c r="N539" s="275"/>
    </row>
    <row r="540">
      <c r="B540" s="275"/>
      <c r="C540" s="275"/>
      <c r="D540" s="275"/>
      <c r="E540" s="275"/>
      <c r="F540" s="275"/>
      <c r="G540" s="275"/>
      <c r="H540" s="275"/>
      <c r="I540" s="275"/>
      <c r="J540" s="275"/>
      <c r="K540" s="275"/>
      <c r="L540" s="275"/>
      <c r="M540" s="275"/>
      <c r="N540" s="275"/>
    </row>
    <row r="541">
      <c r="B541" s="275"/>
      <c r="C541" s="275"/>
      <c r="D541" s="275"/>
      <c r="E541" s="275"/>
      <c r="F541" s="275"/>
      <c r="G541" s="275"/>
      <c r="H541" s="275"/>
      <c r="I541" s="275"/>
      <c r="J541" s="275"/>
      <c r="K541" s="275"/>
      <c r="L541" s="275"/>
      <c r="M541" s="275"/>
      <c r="N541" s="275"/>
    </row>
    <row r="542">
      <c r="B542" s="275"/>
      <c r="C542" s="275"/>
      <c r="D542" s="275"/>
      <c r="E542" s="275"/>
      <c r="F542" s="275"/>
      <c r="G542" s="275"/>
      <c r="H542" s="275"/>
      <c r="I542" s="275"/>
      <c r="J542" s="275"/>
      <c r="K542" s="275"/>
      <c r="L542" s="275"/>
      <c r="M542" s="275"/>
      <c r="N542" s="275"/>
    </row>
    <row r="543">
      <c r="B543" s="275"/>
      <c r="C543" s="275"/>
      <c r="D543" s="275"/>
      <c r="E543" s="275"/>
      <c r="F543" s="275"/>
      <c r="G543" s="275"/>
      <c r="H543" s="275"/>
      <c r="I543" s="275"/>
      <c r="J543" s="275"/>
      <c r="K543" s="275"/>
      <c r="L543" s="275"/>
      <c r="M543" s="275"/>
      <c r="N543" s="275"/>
    </row>
    <row r="544">
      <c r="B544" s="275"/>
      <c r="C544" s="275"/>
      <c r="D544" s="275"/>
      <c r="E544" s="275"/>
      <c r="F544" s="275"/>
      <c r="G544" s="275"/>
      <c r="H544" s="275"/>
      <c r="I544" s="275"/>
      <c r="J544" s="275"/>
      <c r="K544" s="275"/>
      <c r="L544" s="275"/>
      <c r="M544" s="275"/>
      <c r="N544" s="275"/>
    </row>
    <row r="545">
      <c r="B545" s="275"/>
      <c r="C545" s="275"/>
      <c r="D545" s="275"/>
      <c r="E545" s="275"/>
      <c r="F545" s="275"/>
      <c r="G545" s="275"/>
      <c r="H545" s="275"/>
      <c r="I545" s="275"/>
      <c r="J545" s="275"/>
      <c r="K545" s="275"/>
      <c r="L545" s="275"/>
      <c r="M545" s="275"/>
      <c r="N545" s="275"/>
    </row>
    <row r="546">
      <c r="B546" s="275"/>
      <c r="C546" s="275"/>
      <c r="D546" s="275"/>
      <c r="E546" s="275"/>
      <c r="F546" s="275"/>
      <c r="G546" s="275"/>
      <c r="H546" s="275"/>
      <c r="I546" s="275"/>
      <c r="J546" s="275"/>
      <c r="K546" s="275"/>
      <c r="L546" s="275"/>
      <c r="M546" s="275"/>
      <c r="N546" s="275"/>
    </row>
    <row r="547">
      <c r="B547" s="275"/>
      <c r="C547" s="275"/>
      <c r="D547" s="275"/>
      <c r="E547" s="275"/>
      <c r="F547" s="275"/>
      <c r="G547" s="275"/>
      <c r="H547" s="275"/>
      <c r="I547" s="275"/>
      <c r="J547" s="275"/>
      <c r="K547" s="275"/>
      <c r="L547" s="275"/>
      <c r="M547" s="275"/>
      <c r="N547" s="275"/>
    </row>
    <row r="548">
      <c r="B548" s="275"/>
      <c r="C548" s="275"/>
      <c r="D548" s="275"/>
      <c r="E548" s="275"/>
      <c r="F548" s="275"/>
      <c r="G548" s="275"/>
      <c r="H548" s="275"/>
      <c r="I548" s="275"/>
      <c r="J548" s="275"/>
      <c r="K548" s="275"/>
      <c r="L548" s="275"/>
      <c r="M548" s="275"/>
      <c r="N548" s="275"/>
    </row>
    <row r="549">
      <c r="B549" s="275"/>
      <c r="C549" s="275"/>
      <c r="D549" s="275"/>
      <c r="E549" s="275"/>
      <c r="F549" s="275"/>
      <c r="G549" s="275"/>
      <c r="H549" s="275"/>
      <c r="I549" s="275"/>
      <c r="J549" s="275"/>
      <c r="K549" s="275"/>
      <c r="L549" s="275"/>
      <c r="M549" s="275"/>
      <c r="N549" s="275"/>
    </row>
    <row r="550">
      <c r="B550" s="275"/>
      <c r="C550" s="275"/>
      <c r="D550" s="275"/>
      <c r="E550" s="275"/>
      <c r="F550" s="275"/>
      <c r="G550" s="275"/>
      <c r="H550" s="275"/>
      <c r="I550" s="275"/>
      <c r="J550" s="275"/>
      <c r="K550" s="275"/>
      <c r="L550" s="275"/>
      <c r="M550" s="275"/>
      <c r="N550" s="275"/>
    </row>
    <row r="551">
      <c r="B551" s="275"/>
      <c r="C551" s="275"/>
      <c r="D551" s="275"/>
      <c r="E551" s="275"/>
      <c r="F551" s="275"/>
      <c r="G551" s="275"/>
      <c r="H551" s="275"/>
      <c r="I551" s="275"/>
      <c r="J551" s="275"/>
      <c r="K551" s="275"/>
      <c r="L551" s="275"/>
      <c r="M551" s="275"/>
      <c r="N551" s="275"/>
    </row>
    <row r="552">
      <c r="B552" s="275"/>
      <c r="C552" s="275"/>
      <c r="D552" s="275"/>
      <c r="E552" s="275"/>
      <c r="F552" s="275"/>
      <c r="G552" s="275"/>
      <c r="H552" s="275"/>
      <c r="I552" s="275"/>
      <c r="J552" s="275"/>
      <c r="K552" s="275"/>
      <c r="L552" s="275"/>
      <c r="M552" s="275"/>
      <c r="N552" s="275"/>
    </row>
    <row r="553">
      <c r="B553" s="275"/>
      <c r="C553" s="275"/>
      <c r="D553" s="275"/>
      <c r="E553" s="275"/>
      <c r="F553" s="275"/>
      <c r="G553" s="275"/>
      <c r="H553" s="275"/>
      <c r="I553" s="275"/>
      <c r="J553" s="275"/>
      <c r="K553" s="275"/>
      <c r="L553" s="275"/>
      <c r="M553" s="275"/>
      <c r="N553" s="275"/>
    </row>
    <row r="554">
      <c r="B554" s="275"/>
      <c r="C554" s="275"/>
      <c r="D554" s="275"/>
      <c r="E554" s="275"/>
      <c r="F554" s="275"/>
      <c r="G554" s="275"/>
      <c r="H554" s="275"/>
      <c r="I554" s="275"/>
      <c r="J554" s="275"/>
      <c r="K554" s="275"/>
      <c r="L554" s="275"/>
      <c r="M554" s="275"/>
      <c r="N554" s="275"/>
    </row>
    <row r="555">
      <c r="B555" s="275"/>
      <c r="C555" s="275"/>
      <c r="D555" s="275"/>
      <c r="E555" s="275"/>
      <c r="F555" s="275"/>
      <c r="G555" s="275"/>
      <c r="H555" s="275"/>
      <c r="I555" s="275"/>
      <c r="J555" s="275"/>
      <c r="K555" s="275"/>
      <c r="L555" s="275"/>
      <c r="M555" s="275"/>
      <c r="N555" s="275"/>
    </row>
    <row r="556">
      <c r="B556" s="275"/>
      <c r="C556" s="275"/>
      <c r="D556" s="275"/>
      <c r="E556" s="275"/>
      <c r="F556" s="275"/>
      <c r="G556" s="275"/>
      <c r="H556" s="275"/>
      <c r="I556" s="275"/>
      <c r="J556" s="275"/>
      <c r="K556" s="275"/>
      <c r="L556" s="275"/>
      <c r="M556" s="275"/>
      <c r="N556" s="275"/>
    </row>
    <row r="557">
      <c r="B557" s="275"/>
      <c r="C557" s="275"/>
      <c r="D557" s="275"/>
      <c r="E557" s="275"/>
      <c r="F557" s="275"/>
      <c r="G557" s="275"/>
      <c r="H557" s="275"/>
      <c r="I557" s="275"/>
      <c r="J557" s="275"/>
      <c r="K557" s="275"/>
      <c r="L557" s="275"/>
      <c r="M557" s="275"/>
      <c r="N557" s="275"/>
    </row>
    <row r="558">
      <c r="B558" s="275"/>
      <c r="C558" s="275"/>
      <c r="D558" s="275"/>
      <c r="E558" s="275"/>
      <c r="F558" s="275"/>
      <c r="G558" s="275"/>
      <c r="H558" s="275"/>
      <c r="I558" s="275"/>
      <c r="J558" s="275"/>
      <c r="K558" s="275"/>
      <c r="L558" s="275"/>
      <c r="M558" s="275"/>
      <c r="N558" s="275"/>
    </row>
    <row r="559">
      <c r="B559" s="275"/>
      <c r="C559" s="275"/>
      <c r="D559" s="275"/>
      <c r="E559" s="275"/>
      <c r="F559" s="275"/>
      <c r="G559" s="275"/>
      <c r="H559" s="275"/>
      <c r="I559" s="275"/>
      <c r="J559" s="275"/>
      <c r="K559" s="275"/>
      <c r="L559" s="275"/>
      <c r="M559" s="275"/>
      <c r="N559" s="275"/>
    </row>
    <row r="560">
      <c r="B560" s="275"/>
      <c r="C560" s="275"/>
      <c r="D560" s="275"/>
      <c r="E560" s="275"/>
      <c r="F560" s="275"/>
      <c r="G560" s="275"/>
      <c r="H560" s="275"/>
      <c r="I560" s="275"/>
      <c r="J560" s="275"/>
      <c r="K560" s="275"/>
      <c r="L560" s="275"/>
      <c r="M560" s="275"/>
      <c r="N560" s="275"/>
    </row>
    <row r="561">
      <c r="B561" s="275"/>
      <c r="C561" s="275"/>
      <c r="D561" s="275"/>
      <c r="E561" s="275"/>
      <c r="F561" s="275"/>
      <c r="G561" s="275"/>
      <c r="H561" s="275"/>
      <c r="I561" s="275"/>
      <c r="J561" s="275"/>
      <c r="K561" s="275"/>
      <c r="L561" s="275"/>
      <c r="M561" s="275"/>
      <c r="N561" s="275"/>
    </row>
    <row r="562">
      <c r="B562" s="275"/>
      <c r="C562" s="275"/>
      <c r="D562" s="275"/>
      <c r="E562" s="275"/>
      <c r="F562" s="275"/>
      <c r="G562" s="275"/>
      <c r="H562" s="275"/>
      <c r="I562" s="275"/>
      <c r="J562" s="275"/>
      <c r="K562" s="275"/>
      <c r="L562" s="275"/>
      <c r="M562" s="275"/>
      <c r="N562" s="275"/>
    </row>
    <row r="563">
      <c r="B563" s="275"/>
      <c r="C563" s="275"/>
      <c r="D563" s="275"/>
      <c r="E563" s="275"/>
      <c r="F563" s="275"/>
      <c r="G563" s="275"/>
      <c r="H563" s="275"/>
      <c r="I563" s="275"/>
      <c r="J563" s="275"/>
      <c r="K563" s="275"/>
      <c r="L563" s="275"/>
      <c r="M563" s="275"/>
      <c r="N563" s="275"/>
    </row>
    <row r="564">
      <c r="B564" s="275"/>
      <c r="C564" s="275"/>
      <c r="D564" s="275"/>
      <c r="E564" s="275"/>
      <c r="F564" s="275"/>
      <c r="G564" s="275"/>
      <c r="H564" s="275"/>
      <c r="I564" s="275"/>
      <c r="J564" s="275"/>
      <c r="K564" s="275"/>
      <c r="L564" s="275"/>
      <c r="M564" s="275"/>
      <c r="N564" s="275"/>
    </row>
    <row r="565">
      <c r="B565" s="275"/>
      <c r="C565" s="275"/>
      <c r="D565" s="275"/>
      <c r="E565" s="275"/>
      <c r="F565" s="275"/>
      <c r="G565" s="275"/>
      <c r="H565" s="275"/>
      <c r="I565" s="275"/>
      <c r="J565" s="275"/>
      <c r="K565" s="275"/>
      <c r="L565" s="275"/>
      <c r="M565" s="275"/>
      <c r="N565" s="275"/>
    </row>
    <row r="566">
      <c r="B566" s="275"/>
      <c r="C566" s="275"/>
      <c r="D566" s="275"/>
      <c r="E566" s="275"/>
      <c r="F566" s="275"/>
      <c r="G566" s="275"/>
      <c r="H566" s="275"/>
      <c r="I566" s="275"/>
      <c r="J566" s="275"/>
      <c r="K566" s="275"/>
      <c r="L566" s="275"/>
      <c r="M566" s="275"/>
      <c r="N566" s="275"/>
    </row>
    <row r="567">
      <c r="B567" s="275"/>
      <c r="C567" s="275"/>
      <c r="D567" s="275"/>
      <c r="E567" s="275"/>
      <c r="F567" s="275"/>
      <c r="G567" s="275"/>
      <c r="H567" s="275"/>
      <c r="I567" s="275"/>
      <c r="J567" s="275"/>
      <c r="K567" s="275"/>
      <c r="L567" s="275"/>
      <c r="M567" s="275"/>
      <c r="N567" s="275"/>
    </row>
    <row r="568">
      <c r="B568" s="275"/>
      <c r="C568" s="275"/>
      <c r="D568" s="275"/>
      <c r="E568" s="275"/>
      <c r="F568" s="275"/>
      <c r="G568" s="275"/>
      <c r="H568" s="275"/>
      <c r="I568" s="275"/>
      <c r="J568" s="275"/>
      <c r="K568" s="275"/>
      <c r="L568" s="275"/>
      <c r="M568" s="275"/>
      <c r="N568" s="275"/>
    </row>
    <row r="569">
      <c r="B569" s="275"/>
      <c r="C569" s="275"/>
      <c r="D569" s="275"/>
      <c r="E569" s="275"/>
      <c r="F569" s="275"/>
      <c r="G569" s="275"/>
      <c r="H569" s="275"/>
      <c r="I569" s="275"/>
      <c r="J569" s="275"/>
      <c r="K569" s="275"/>
      <c r="L569" s="275"/>
      <c r="M569" s="275"/>
      <c r="N569" s="275"/>
    </row>
    <row r="570">
      <c r="B570" s="275"/>
      <c r="C570" s="275"/>
      <c r="D570" s="275"/>
      <c r="E570" s="275"/>
      <c r="F570" s="275"/>
      <c r="G570" s="275"/>
      <c r="H570" s="275"/>
      <c r="I570" s="275"/>
      <c r="J570" s="275"/>
      <c r="K570" s="275"/>
      <c r="L570" s="275"/>
      <c r="M570" s="275"/>
      <c r="N570" s="275"/>
    </row>
    <row r="571">
      <c r="B571" s="275"/>
      <c r="C571" s="275"/>
      <c r="D571" s="275"/>
      <c r="E571" s="275"/>
      <c r="F571" s="275"/>
      <c r="G571" s="275"/>
      <c r="H571" s="275"/>
      <c r="I571" s="275"/>
      <c r="J571" s="275"/>
      <c r="K571" s="275"/>
      <c r="L571" s="275"/>
      <c r="M571" s="275"/>
      <c r="N571" s="275"/>
    </row>
    <row r="572">
      <c r="B572" s="275"/>
      <c r="C572" s="275"/>
      <c r="D572" s="275"/>
      <c r="E572" s="275"/>
      <c r="F572" s="275"/>
      <c r="G572" s="275"/>
      <c r="H572" s="275"/>
      <c r="I572" s="275"/>
      <c r="J572" s="275"/>
      <c r="K572" s="275"/>
      <c r="L572" s="275"/>
      <c r="M572" s="275"/>
      <c r="N572" s="275"/>
    </row>
    <row r="573">
      <c r="B573" s="275"/>
      <c r="C573" s="275"/>
      <c r="D573" s="275"/>
      <c r="E573" s="275"/>
      <c r="F573" s="275"/>
      <c r="G573" s="275"/>
      <c r="H573" s="275"/>
      <c r="I573" s="275"/>
      <c r="J573" s="275"/>
      <c r="K573" s="275"/>
      <c r="L573" s="275"/>
      <c r="M573" s="275"/>
      <c r="N573" s="275"/>
    </row>
    <row r="574">
      <c r="B574" s="275"/>
      <c r="C574" s="275"/>
      <c r="D574" s="275"/>
      <c r="E574" s="275"/>
      <c r="F574" s="275"/>
      <c r="G574" s="275"/>
      <c r="H574" s="275"/>
      <c r="I574" s="275"/>
      <c r="J574" s="275"/>
      <c r="K574" s="275"/>
      <c r="L574" s="275"/>
      <c r="M574" s="275"/>
      <c r="N574" s="275"/>
    </row>
    <row r="575">
      <c r="B575" s="275"/>
      <c r="C575" s="275"/>
      <c r="D575" s="275"/>
      <c r="E575" s="275"/>
      <c r="F575" s="275"/>
      <c r="G575" s="275"/>
      <c r="H575" s="275"/>
      <c r="I575" s="275"/>
      <c r="J575" s="275"/>
      <c r="K575" s="275"/>
      <c r="L575" s="275"/>
      <c r="M575" s="275"/>
      <c r="N575" s="275"/>
    </row>
    <row r="576">
      <c r="B576" s="275"/>
      <c r="C576" s="275"/>
      <c r="D576" s="275"/>
      <c r="E576" s="275"/>
      <c r="F576" s="275"/>
      <c r="G576" s="275"/>
      <c r="H576" s="275"/>
      <c r="I576" s="275"/>
      <c r="J576" s="275"/>
      <c r="K576" s="275"/>
      <c r="L576" s="275"/>
      <c r="M576" s="275"/>
      <c r="N576" s="275"/>
    </row>
    <row r="577">
      <c r="B577" s="275"/>
      <c r="C577" s="275"/>
      <c r="D577" s="275"/>
      <c r="E577" s="275"/>
      <c r="F577" s="275"/>
      <c r="G577" s="275"/>
      <c r="H577" s="275"/>
      <c r="I577" s="275"/>
      <c r="J577" s="275"/>
      <c r="K577" s="275"/>
      <c r="L577" s="275"/>
      <c r="M577" s="275"/>
      <c r="N577" s="275"/>
    </row>
    <row r="578">
      <c r="B578" s="275"/>
      <c r="C578" s="275"/>
      <c r="D578" s="275"/>
      <c r="E578" s="275"/>
      <c r="F578" s="275"/>
      <c r="G578" s="275"/>
      <c r="H578" s="275"/>
      <c r="I578" s="275"/>
      <c r="J578" s="275"/>
      <c r="K578" s="275"/>
      <c r="L578" s="275"/>
      <c r="M578" s="275"/>
      <c r="N578" s="275"/>
    </row>
    <row r="579">
      <c r="B579" s="275"/>
      <c r="C579" s="275"/>
      <c r="D579" s="275"/>
      <c r="E579" s="275"/>
      <c r="F579" s="275"/>
      <c r="G579" s="275"/>
      <c r="H579" s="275"/>
      <c r="I579" s="275"/>
      <c r="J579" s="275"/>
      <c r="K579" s="275"/>
      <c r="L579" s="275"/>
      <c r="M579" s="275"/>
      <c r="N579" s="275"/>
    </row>
    <row r="580">
      <c r="B580" s="275"/>
      <c r="C580" s="275"/>
      <c r="D580" s="275"/>
      <c r="E580" s="275"/>
      <c r="F580" s="275"/>
      <c r="G580" s="275"/>
      <c r="H580" s="275"/>
      <c r="I580" s="275"/>
      <c r="J580" s="275"/>
      <c r="K580" s="275"/>
      <c r="L580" s="275"/>
      <c r="M580" s="275"/>
      <c r="N580" s="275"/>
    </row>
    <row r="581">
      <c r="B581" s="275"/>
      <c r="C581" s="275"/>
      <c r="D581" s="275"/>
      <c r="E581" s="275"/>
      <c r="F581" s="275"/>
      <c r="G581" s="275"/>
      <c r="H581" s="275"/>
      <c r="I581" s="275"/>
      <c r="J581" s="275"/>
      <c r="K581" s="275"/>
      <c r="L581" s="275"/>
      <c r="M581" s="275"/>
      <c r="N581" s="275"/>
    </row>
    <row r="582">
      <c r="B582" s="275"/>
      <c r="C582" s="275"/>
      <c r="D582" s="275"/>
      <c r="E582" s="275"/>
      <c r="F582" s="275"/>
      <c r="G582" s="275"/>
      <c r="H582" s="275"/>
      <c r="I582" s="275"/>
      <c r="J582" s="275"/>
      <c r="K582" s="275"/>
      <c r="L582" s="275"/>
      <c r="M582" s="275"/>
      <c r="N582" s="275"/>
    </row>
    <row r="583">
      <c r="B583" s="275"/>
      <c r="C583" s="275"/>
      <c r="D583" s="275"/>
      <c r="E583" s="275"/>
      <c r="F583" s="275"/>
      <c r="G583" s="275"/>
      <c r="H583" s="275"/>
      <c r="I583" s="275"/>
      <c r="J583" s="275"/>
      <c r="K583" s="275"/>
      <c r="L583" s="275"/>
      <c r="M583" s="275"/>
      <c r="N583" s="275"/>
    </row>
    <row r="584">
      <c r="B584" s="275"/>
      <c r="C584" s="275"/>
      <c r="D584" s="275"/>
      <c r="E584" s="275"/>
      <c r="F584" s="275"/>
      <c r="G584" s="275"/>
      <c r="H584" s="275"/>
      <c r="I584" s="275"/>
      <c r="J584" s="275"/>
      <c r="K584" s="275"/>
      <c r="L584" s="275"/>
      <c r="M584" s="275"/>
      <c r="N584" s="275"/>
    </row>
    <row r="585">
      <c r="B585" s="275"/>
      <c r="C585" s="275"/>
      <c r="D585" s="275"/>
      <c r="E585" s="275"/>
      <c r="F585" s="275"/>
      <c r="G585" s="275"/>
      <c r="H585" s="275"/>
      <c r="I585" s="275"/>
      <c r="J585" s="275"/>
      <c r="K585" s="275"/>
      <c r="L585" s="275"/>
      <c r="M585" s="275"/>
      <c r="N585" s="275"/>
    </row>
    <row r="586">
      <c r="B586" s="275"/>
      <c r="C586" s="275"/>
      <c r="D586" s="275"/>
      <c r="E586" s="275"/>
      <c r="F586" s="275"/>
      <c r="G586" s="275"/>
      <c r="H586" s="275"/>
      <c r="I586" s="275"/>
      <c r="J586" s="275"/>
      <c r="K586" s="275"/>
      <c r="L586" s="275"/>
      <c r="M586" s="275"/>
      <c r="N586" s="275"/>
    </row>
    <row r="587">
      <c r="B587" s="275"/>
      <c r="C587" s="275"/>
      <c r="D587" s="275"/>
      <c r="E587" s="275"/>
      <c r="F587" s="275"/>
      <c r="G587" s="275"/>
      <c r="H587" s="275"/>
      <c r="I587" s="275"/>
      <c r="J587" s="275"/>
      <c r="K587" s="275"/>
      <c r="L587" s="275"/>
      <c r="M587" s="275"/>
      <c r="N587" s="275"/>
    </row>
    <row r="588">
      <c r="B588" s="275"/>
      <c r="C588" s="275"/>
      <c r="D588" s="275"/>
      <c r="E588" s="275"/>
      <c r="F588" s="275"/>
      <c r="G588" s="275"/>
      <c r="H588" s="275"/>
      <c r="I588" s="275"/>
      <c r="J588" s="275"/>
      <c r="K588" s="275"/>
      <c r="L588" s="275"/>
      <c r="M588" s="275"/>
      <c r="N588" s="275"/>
    </row>
    <row r="589">
      <c r="B589" s="275"/>
      <c r="C589" s="275"/>
      <c r="D589" s="275"/>
      <c r="E589" s="275"/>
      <c r="F589" s="275"/>
      <c r="G589" s="275"/>
      <c r="H589" s="275"/>
      <c r="I589" s="275"/>
      <c r="J589" s="275"/>
      <c r="K589" s="275"/>
      <c r="L589" s="275"/>
      <c r="M589" s="275"/>
      <c r="N589" s="275"/>
    </row>
    <row r="590">
      <c r="B590" s="275"/>
      <c r="C590" s="275"/>
      <c r="D590" s="275"/>
      <c r="E590" s="275"/>
      <c r="F590" s="275"/>
      <c r="G590" s="275"/>
      <c r="H590" s="275"/>
      <c r="I590" s="275"/>
      <c r="J590" s="275"/>
      <c r="K590" s="275"/>
      <c r="L590" s="275"/>
      <c r="M590" s="275"/>
      <c r="N590" s="275"/>
    </row>
    <row r="591">
      <c r="B591" s="275"/>
      <c r="C591" s="275"/>
      <c r="D591" s="275"/>
      <c r="E591" s="275"/>
      <c r="F591" s="275"/>
      <c r="G591" s="275"/>
      <c r="H591" s="275"/>
      <c r="I591" s="275"/>
      <c r="J591" s="275"/>
      <c r="K591" s="275"/>
      <c r="L591" s="275"/>
      <c r="M591" s="275"/>
      <c r="N591" s="275"/>
    </row>
    <row r="592">
      <c r="B592" s="275"/>
      <c r="C592" s="275"/>
      <c r="D592" s="275"/>
      <c r="E592" s="275"/>
      <c r="F592" s="275"/>
      <c r="G592" s="275"/>
      <c r="H592" s="275"/>
      <c r="I592" s="275"/>
      <c r="J592" s="275"/>
      <c r="K592" s="275"/>
      <c r="L592" s="275"/>
      <c r="M592" s="275"/>
      <c r="N592" s="275"/>
    </row>
    <row r="593">
      <c r="B593" s="275"/>
      <c r="C593" s="275"/>
      <c r="D593" s="275"/>
      <c r="E593" s="275"/>
      <c r="F593" s="275"/>
      <c r="G593" s="275"/>
      <c r="H593" s="275"/>
      <c r="I593" s="275"/>
      <c r="J593" s="275"/>
      <c r="K593" s="275"/>
      <c r="L593" s="275"/>
      <c r="M593" s="275"/>
      <c r="N593" s="275"/>
    </row>
    <row r="594">
      <c r="B594" s="275"/>
      <c r="C594" s="275"/>
      <c r="D594" s="275"/>
      <c r="E594" s="275"/>
      <c r="F594" s="275"/>
      <c r="G594" s="275"/>
      <c r="H594" s="275"/>
      <c r="I594" s="275"/>
      <c r="J594" s="275"/>
      <c r="K594" s="275"/>
      <c r="L594" s="275"/>
      <c r="M594" s="275"/>
      <c r="N594" s="275"/>
    </row>
    <row r="595">
      <c r="B595" s="275"/>
      <c r="C595" s="275"/>
      <c r="D595" s="275"/>
      <c r="E595" s="275"/>
      <c r="F595" s="275"/>
      <c r="G595" s="275"/>
      <c r="H595" s="275"/>
      <c r="I595" s="275"/>
      <c r="J595" s="275"/>
      <c r="K595" s="275"/>
      <c r="L595" s="275"/>
      <c r="M595" s="275"/>
      <c r="N595" s="275"/>
    </row>
    <row r="596">
      <c r="B596" s="275"/>
      <c r="C596" s="275"/>
      <c r="D596" s="275"/>
      <c r="E596" s="275"/>
      <c r="F596" s="275"/>
      <c r="G596" s="275"/>
      <c r="H596" s="275"/>
      <c r="I596" s="275"/>
      <c r="J596" s="275"/>
      <c r="K596" s="275"/>
      <c r="L596" s="275"/>
      <c r="M596" s="275"/>
      <c r="N596" s="275"/>
    </row>
    <row r="597">
      <c r="B597" s="275"/>
      <c r="C597" s="275"/>
      <c r="D597" s="275"/>
      <c r="E597" s="275"/>
      <c r="F597" s="275"/>
      <c r="G597" s="275"/>
      <c r="H597" s="275"/>
      <c r="I597" s="275"/>
      <c r="J597" s="275"/>
      <c r="K597" s="275"/>
      <c r="L597" s="275"/>
      <c r="M597" s="275"/>
      <c r="N597" s="275"/>
    </row>
    <row r="598">
      <c r="B598" s="275"/>
      <c r="C598" s="275"/>
      <c r="D598" s="275"/>
      <c r="E598" s="275"/>
      <c r="F598" s="275"/>
      <c r="G598" s="275"/>
      <c r="H598" s="275"/>
      <c r="I598" s="275"/>
      <c r="J598" s="275"/>
      <c r="K598" s="275"/>
      <c r="L598" s="275"/>
      <c r="M598" s="275"/>
      <c r="N598" s="275"/>
    </row>
    <row r="599">
      <c r="B599" s="275"/>
      <c r="C599" s="275"/>
      <c r="D599" s="275"/>
      <c r="E599" s="275"/>
      <c r="F599" s="275"/>
      <c r="G599" s="275"/>
      <c r="H599" s="275"/>
      <c r="I599" s="275"/>
      <c r="J599" s="275"/>
      <c r="K599" s="275"/>
      <c r="L599" s="275"/>
      <c r="M599" s="275"/>
      <c r="N599" s="275"/>
    </row>
    <row r="600">
      <c r="B600" s="275"/>
      <c r="C600" s="275"/>
      <c r="D600" s="275"/>
      <c r="E600" s="275"/>
      <c r="F600" s="275"/>
      <c r="G600" s="275"/>
      <c r="H600" s="275"/>
      <c r="I600" s="275"/>
      <c r="J600" s="275"/>
      <c r="K600" s="275"/>
      <c r="L600" s="275"/>
      <c r="M600" s="275"/>
      <c r="N600" s="275"/>
    </row>
    <row r="601">
      <c r="B601" s="275"/>
      <c r="C601" s="275"/>
      <c r="D601" s="275"/>
      <c r="E601" s="275"/>
      <c r="F601" s="275"/>
      <c r="G601" s="275"/>
      <c r="H601" s="275"/>
      <c r="I601" s="275"/>
      <c r="J601" s="275"/>
      <c r="K601" s="275"/>
      <c r="L601" s="275"/>
      <c r="M601" s="275"/>
      <c r="N601" s="275"/>
    </row>
    <row r="602">
      <c r="B602" s="275"/>
      <c r="C602" s="275"/>
      <c r="D602" s="275"/>
      <c r="E602" s="275"/>
      <c r="F602" s="275"/>
      <c r="G602" s="275"/>
      <c r="H602" s="275"/>
      <c r="I602" s="275"/>
      <c r="J602" s="275"/>
      <c r="K602" s="275"/>
      <c r="L602" s="275"/>
      <c r="M602" s="275"/>
      <c r="N602" s="275"/>
    </row>
    <row r="603">
      <c r="B603" s="275"/>
      <c r="C603" s="275"/>
      <c r="D603" s="275"/>
      <c r="E603" s="275"/>
      <c r="F603" s="275"/>
      <c r="G603" s="275"/>
      <c r="H603" s="275"/>
      <c r="I603" s="275"/>
      <c r="J603" s="275"/>
      <c r="K603" s="275"/>
      <c r="L603" s="275"/>
      <c r="M603" s="275"/>
      <c r="N603" s="275"/>
    </row>
    <row r="604">
      <c r="B604" s="275"/>
      <c r="C604" s="275"/>
      <c r="D604" s="275"/>
      <c r="E604" s="275"/>
      <c r="F604" s="275"/>
      <c r="G604" s="275"/>
      <c r="H604" s="275"/>
      <c r="I604" s="275"/>
      <c r="J604" s="275"/>
      <c r="K604" s="275"/>
      <c r="L604" s="275"/>
      <c r="M604" s="275"/>
      <c r="N604" s="275"/>
    </row>
    <row r="605">
      <c r="B605" s="275"/>
      <c r="C605" s="275"/>
      <c r="D605" s="275"/>
      <c r="E605" s="275"/>
      <c r="F605" s="275"/>
      <c r="G605" s="275"/>
      <c r="H605" s="275"/>
      <c r="I605" s="275"/>
      <c r="J605" s="275"/>
      <c r="K605" s="275"/>
      <c r="L605" s="275"/>
      <c r="M605" s="275"/>
      <c r="N605" s="275"/>
    </row>
    <row r="606">
      <c r="B606" s="275"/>
      <c r="C606" s="275"/>
      <c r="D606" s="275"/>
      <c r="E606" s="275"/>
      <c r="F606" s="275"/>
      <c r="G606" s="275"/>
      <c r="H606" s="275"/>
      <c r="I606" s="275"/>
      <c r="J606" s="275"/>
      <c r="K606" s="275"/>
      <c r="L606" s="275"/>
      <c r="M606" s="275"/>
      <c r="N606" s="275"/>
    </row>
    <row r="607">
      <c r="B607" s="275"/>
      <c r="C607" s="275"/>
      <c r="D607" s="275"/>
      <c r="E607" s="275"/>
      <c r="F607" s="275"/>
      <c r="G607" s="275"/>
      <c r="H607" s="275"/>
      <c r="I607" s="275"/>
      <c r="J607" s="275"/>
      <c r="K607" s="275"/>
      <c r="L607" s="275"/>
      <c r="M607" s="275"/>
      <c r="N607" s="275"/>
    </row>
    <row r="608">
      <c r="B608" s="275"/>
      <c r="C608" s="275"/>
      <c r="D608" s="275"/>
      <c r="E608" s="275"/>
      <c r="F608" s="275"/>
      <c r="G608" s="275"/>
      <c r="H608" s="275"/>
      <c r="I608" s="275"/>
      <c r="J608" s="275"/>
      <c r="K608" s="275"/>
      <c r="L608" s="275"/>
      <c r="M608" s="275"/>
      <c r="N608" s="275"/>
    </row>
    <row r="609">
      <c r="B609" s="275"/>
      <c r="C609" s="275"/>
      <c r="D609" s="275"/>
      <c r="E609" s="275"/>
      <c r="F609" s="275"/>
      <c r="G609" s="275"/>
      <c r="H609" s="275"/>
      <c r="I609" s="275"/>
      <c r="J609" s="275"/>
      <c r="K609" s="275"/>
      <c r="L609" s="275"/>
      <c r="M609" s="275"/>
      <c r="N609" s="275"/>
    </row>
    <row r="610">
      <c r="B610" s="275"/>
      <c r="C610" s="275"/>
      <c r="D610" s="275"/>
      <c r="E610" s="275"/>
      <c r="F610" s="275"/>
      <c r="G610" s="275"/>
      <c r="H610" s="275"/>
      <c r="I610" s="275"/>
      <c r="J610" s="275"/>
      <c r="K610" s="275"/>
      <c r="L610" s="275"/>
      <c r="M610" s="275"/>
      <c r="N610" s="275"/>
    </row>
    <row r="611">
      <c r="B611" s="275"/>
      <c r="C611" s="275"/>
      <c r="D611" s="275"/>
      <c r="E611" s="275"/>
      <c r="F611" s="275"/>
      <c r="G611" s="275"/>
      <c r="H611" s="275"/>
      <c r="I611" s="275"/>
      <c r="J611" s="275"/>
      <c r="K611" s="275"/>
      <c r="L611" s="275"/>
      <c r="M611" s="275"/>
      <c r="N611" s="275"/>
    </row>
    <row r="612">
      <c r="B612" s="275"/>
      <c r="C612" s="275"/>
      <c r="D612" s="275"/>
      <c r="E612" s="275"/>
      <c r="F612" s="275"/>
      <c r="G612" s="275"/>
      <c r="H612" s="275"/>
      <c r="I612" s="275"/>
      <c r="J612" s="275"/>
      <c r="K612" s="275"/>
      <c r="L612" s="275"/>
      <c r="M612" s="275"/>
      <c r="N612" s="275"/>
    </row>
    <row r="613">
      <c r="B613" s="275"/>
      <c r="C613" s="275"/>
      <c r="D613" s="275"/>
      <c r="E613" s="275"/>
      <c r="F613" s="275"/>
      <c r="G613" s="275"/>
      <c r="H613" s="275"/>
      <c r="I613" s="275"/>
      <c r="J613" s="275"/>
      <c r="K613" s="275"/>
      <c r="L613" s="275"/>
      <c r="M613" s="275"/>
      <c r="N613" s="275"/>
    </row>
    <row r="614">
      <c r="B614" s="275"/>
      <c r="C614" s="275"/>
      <c r="D614" s="275"/>
      <c r="E614" s="275"/>
      <c r="F614" s="275"/>
      <c r="G614" s="275"/>
      <c r="H614" s="275"/>
      <c r="I614" s="275"/>
      <c r="J614" s="275"/>
      <c r="K614" s="275"/>
      <c r="L614" s="275"/>
      <c r="M614" s="275"/>
      <c r="N614" s="275"/>
    </row>
    <row r="615">
      <c r="B615" s="275"/>
      <c r="C615" s="275"/>
      <c r="D615" s="275"/>
      <c r="E615" s="275"/>
      <c r="F615" s="275"/>
      <c r="G615" s="275"/>
      <c r="H615" s="275"/>
      <c r="I615" s="275"/>
      <c r="J615" s="275"/>
      <c r="K615" s="275"/>
      <c r="L615" s="275"/>
      <c r="M615" s="275"/>
      <c r="N615" s="275"/>
    </row>
    <row r="616">
      <c r="B616" s="275"/>
      <c r="C616" s="275"/>
      <c r="D616" s="275"/>
      <c r="E616" s="275"/>
      <c r="F616" s="275"/>
      <c r="G616" s="275"/>
      <c r="H616" s="275"/>
      <c r="I616" s="275"/>
      <c r="J616" s="275"/>
      <c r="K616" s="275"/>
      <c r="L616" s="275"/>
      <c r="M616" s="275"/>
      <c r="N616" s="275"/>
    </row>
    <row r="617">
      <c r="B617" s="275"/>
      <c r="C617" s="275"/>
      <c r="D617" s="275"/>
      <c r="E617" s="275"/>
      <c r="F617" s="275"/>
      <c r="G617" s="275"/>
      <c r="H617" s="275"/>
      <c r="I617" s="275"/>
      <c r="J617" s="275"/>
      <c r="K617" s="275"/>
      <c r="L617" s="275"/>
      <c r="M617" s="275"/>
      <c r="N617" s="275"/>
    </row>
    <row r="618">
      <c r="B618" s="275"/>
      <c r="C618" s="275"/>
      <c r="D618" s="275"/>
      <c r="E618" s="275"/>
      <c r="F618" s="275"/>
      <c r="G618" s="275"/>
      <c r="H618" s="275"/>
      <c r="I618" s="275"/>
      <c r="J618" s="275"/>
      <c r="K618" s="275"/>
      <c r="L618" s="275"/>
      <c r="M618" s="275"/>
      <c r="N618" s="275"/>
    </row>
    <row r="619">
      <c r="B619" s="275"/>
      <c r="C619" s="275"/>
      <c r="D619" s="275"/>
      <c r="E619" s="275"/>
      <c r="F619" s="275"/>
      <c r="G619" s="275"/>
      <c r="H619" s="275"/>
      <c r="I619" s="275"/>
      <c r="J619" s="275"/>
      <c r="K619" s="275"/>
      <c r="L619" s="275"/>
      <c r="M619" s="275"/>
      <c r="N619" s="275"/>
    </row>
    <row r="620">
      <c r="B620" s="275"/>
      <c r="C620" s="275"/>
      <c r="D620" s="275"/>
      <c r="E620" s="275"/>
      <c r="F620" s="275"/>
      <c r="G620" s="275"/>
      <c r="H620" s="275"/>
      <c r="I620" s="275"/>
      <c r="J620" s="275"/>
      <c r="K620" s="275"/>
      <c r="L620" s="275"/>
      <c r="M620" s="275"/>
      <c r="N620" s="275"/>
    </row>
    <row r="621">
      <c r="B621" s="275"/>
      <c r="C621" s="275"/>
      <c r="D621" s="275"/>
      <c r="E621" s="275"/>
      <c r="F621" s="275"/>
      <c r="G621" s="275"/>
      <c r="H621" s="275"/>
      <c r="I621" s="275"/>
      <c r="J621" s="275"/>
      <c r="K621" s="275"/>
      <c r="L621" s="275"/>
      <c r="M621" s="275"/>
      <c r="N621" s="275"/>
    </row>
    <row r="622">
      <c r="B622" s="275"/>
      <c r="C622" s="275"/>
      <c r="D622" s="275"/>
      <c r="E622" s="275"/>
      <c r="F622" s="275"/>
      <c r="G622" s="275"/>
      <c r="H622" s="275"/>
      <c r="I622" s="275"/>
      <c r="J622" s="275"/>
      <c r="K622" s="275"/>
      <c r="L622" s="275"/>
      <c r="M622" s="275"/>
      <c r="N622" s="275"/>
    </row>
    <row r="623">
      <c r="B623" s="275"/>
      <c r="C623" s="275"/>
      <c r="D623" s="275"/>
      <c r="E623" s="275"/>
      <c r="F623" s="275"/>
      <c r="G623" s="275"/>
      <c r="H623" s="275"/>
      <c r="I623" s="275"/>
      <c r="J623" s="275"/>
      <c r="K623" s="275"/>
      <c r="L623" s="275"/>
      <c r="M623" s="275"/>
      <c r="N623" s="275"/>
    </row>
    <row r="624">
      <c r="B624" s="275"/>
      <c r="C624" s="275"/>
      <c r="D624" s="275"/>
      <c r="E624" s="275"/>
      <c r="F624" s="275"/>
      <c r="G624" s="275"/>
      <c r="H624" s="275"/>
      <c r="I624" s="275"/>
      <c r="J624" s="275"/>
      <c r="K624" s="275"/>
      <c r="L624" s="275"/>
      <c r="M624" s="275"/>
      <c r="N624" s="275"/>
    </row>
    <row r="625">
      <c r="B625" s="275"/>
      <c r="C625" s="275"/>
      <c r="D625" s="275"/>
      <c r="E625" s="275"/>
      <c r="F625" s="275"/>
      <c r="G625" s="275"/>
      <c r="H625" s="275"/>
      <c r="I625" s="275"/>
      <c r="J625" s="275"/>
      <c r="K625" s="275"/>
      <c r="L625" s="275"/>
      <c r="M625" s="275"/>
      <c r="N625" s="275"/>
    </row>
    <row r="626">
      <c r="B626" s="275"/>
      <c r="C626" s="275"/>
      <c r="D626" s="275"/>
      <c r="E626" s="275"/>
      <c r="F626" s="275"/>
      <c r="G626" s="275"/>
      <c r="H626" s="275"/>
      <c r="I626" s="275"/>
      <c r="J626" s="275"/>
      <c r="K626" s="275"/>
      <c r="L626" s="275"/>
      <c r="M626" s="275"/>
      <c r="N626" s="275"/>
    </row>
    <row r="627">
      <c r="B627" s="275"/>
      <c r="C627" s="275"/>
      <c r="D627" s="275"/>
      <c r="E627" s="275"/>
      <c r="F627" s="275"/>
      <c r="G627" s="275"/>
      <c r="H627" s="275"/>
      <c r="I627" s="275"/>
      <c r="J627" s="275"/>
      <c r="K627" s="275"/>
      <c r="L627" s="275"/>
      <c r="M627" s="275"/>
      <c r="N627" s="275"/>
    </row>
    <row r="628">
      <c r="B628" s="275"/>
      <c r="C628" s="275"/>
      <c r="D628" s="275"/>
      <c r="E628" s="275"/>
      <c r="F628" s="275"/>
      <c r="G628" s="275"/>
      <c r="H628" s="275"/>
      <c r="I628" s="275"/>
      <c r="J628" s="275"/>
      <c r="K628" s="275"/>
      <c r="L628" s="275"/>
      <c r="M628" s="275"/>
      <c r="N628" s="275"/>
    </row>
    <row r="629">
      <c r="B629" s="275"/>
      <c r="C629" s="275"/>
      <c r="D629" s="275"/>
      <c r="E629" s="275"/>
      <c r="F629" s="275"/>
      <c r="G629" s="275"/>
      <c r="H629" s="275"/>
      <c r="I629" s="275"/>
      <c r="J629" s="275"/>
      <c r="K629" s="275"/>
      <c r="L629" s="275"/>
      <c r="M629" s="275"/>
      <c r="N629" s="275"/>
    </row>
    <row r="630">
      <c r="B630" s="275"/>
      <c r="C630" s="275"/>
      <c r="D630" s="275"/>
      <c r="E630" s="275"/>
      <c r="F630" s="275"/>
      <c r="G630" s="275"/>
      <c r="H630" s="275"/>
      <c r="I630" s="275"/>
      <c r="J630" s="275"/>
      <c r="K630" s="275"/>
      <c r="L630" s="275"/>
      <c r="M630" s="275"/>
      <c r="N630" s="275"/>
    </row>
    <row r="631">
      <c r="B631" s="275"/>
      <c r="C631" s="275"/>
      <c r="D631" s="275"/>
      <c r="E631" s="275"/>
      <c r="F631" s="275"/>
      <c r="G631" s="275"/>
      <c r="H631" s="275"/>
      <c r="I631" s="275"/>
      <c r="J631" s="275"/>
      <c r="K631" s="275"/>
      <c r="L631" s="275"/>
      <c r="M631" s="275"/>
      <c r="N631" s="275"/>
    </row>
    <row r="632">
      <c r="B632" s="275"/>
      <c r="C632" s="275"/>
      <c r="D632" s="275"/>
      <c r="E632" s="275"/>
      <c r="F632" s="275"/>
      <c r="G632" s="275"/>
      <c r="H632" s="275"/>
      <c r="I632" s="275"/>
      <c r="J632" s="275"/>
      <c r="K632" s="275"/>
      <c r="L632" s="275"/>
      <c r="M632" s="275"/>
      <c r="N632" s="275"/>
    </row>
    <row r="633">
      <c r="B633" s="275"/>
      <c r="C633" s="275"/>
      <c r="D633" s="275"/>
      <c r="E633" s="275"/>
      <c r="F633" s="275"/>
      <c r="G633" s="275"/>
      <c r="H633" s="275"/>
      <c r="I633" s="275"/>
      <c r="J633" s="275"/>
      <c r="K633" s="275"/>
      <c r="L633" s="275"/>
      <c r="M633" s="275"/>
      <c r="N633" s="275"/>
    </row>
    <row r="634">
      <c r="B634" s="275"/>
      <c r="C634" s="275"/>
      <c r="D634" s="275"/>
      <c r="E634" s="275"/>
      <c r="F634" s="275"/>
      <c r="G634" s="275"/>
      <c r="H634" s="275"/>
      <c r="I634" s="275"/>
      <c r="J634" s="275"/>
      <c r="K634" s="275"/>
      <c r="L634" s="275"/>
      <c r="M634" s="275"/>
      <c r="N634" s="275"/>
    </row>
    <row r="635">
      <c r="B635" s="275"/>
      <c r="C635" s="275"/>
      <c r="D635" s="275"/>
      <c r="E635" s="275"/>
      <c r="F635" s="275"/>
      <c r="G635" s="275"/>
      <c r="H635" s="275"/>
      <c r="I635" s="275"/>
      <c r="J635" s="275"/>
      <c r="K635" s="275"/>
      <c r="L635" s="275"/>
      <c r="M635" s="275"/>
      <c r="N635" s="275"/>
    </row>
    <row r="636">
      <c r="B636" s="275"/>
      <c r="C636" s="275"/>
      <c r="D636" s="275"/>
      <c r="E636" s="275"/>
      <c r="F636" s="275"/>
      <c r="G636" s="275"/>
      <c r="H636" s="275"/>
      <c r="I636" s="275"/>
      <c r="J636" s="275"/>
      <c r="K636" s="275"/>
      <c r="L636" s="275"/>
      <c r="M636" s="275"/>
      <c r="N636" s="275"/>
    </row>
    <row r="637">
      <c r="B637" s="275"/>
      <c r="C637" s="275"/>
      <c r="D637" s="275"/>
      <c r="E637" s="275"/>
      <c r="F637" s="275"/>
      <c r="G637" s="275"/>
      <c r="H637" s="275"/>
      <c r="I637" s="275"/>
      <c r="J637" s="275"/>
      <c r="K637" s="275"/>
      <c r="L637" s="275"/>
      <c r="M637" s="275"/>
      <c r="N637" s="275"/>
    </row>
    <row r="638">
      <c r="B638" s="275"/>
      <c r="C638" s="275"/>
      <c r="D638" s="275"/>
      <c r="E638" s="275"/>
      <c r="F638" s="275"/>
      <c r="G638" s="275"/>
      <c r="H638" s="275"/>
      <c r="I638" s="275"/>
      <c r="J638" s="275"/>
      <c r="K638" s="275"/>
      <c r="L638" s="275"/>
      <c r="M638" s="275"/>
      <c r="N638" s="275"/>
    </row>
    <row r="639">
      <c r="B639" s="275"/>
      <c r="C639" s="275"/>
      <c r="D639" s="275"/>
      <c r="E639" s="275"/>
      <c r="F639" s="275"/>
      <c r="G639" s="275"/>
      <c r="H639" s="275"/>
      <c r="I639" s="275"/>
      <c r="J639" s="275"/>
      <c r="K639" s="275"/>
      <c r="L639" s="275"/>
      <c r="M639" s="275"/>
      <c r="N639" s="275"/>
    </row>
    <row r="640">
      <c r="B640" s="275"/>
      <c r="C640" s="275"/>
      <c r="D640" s="275"/>
      <c r="E640" s="275"/>
      <c r="F640" s="275"/>
      <c r="G640" s="275"/>
      <c r="H640" s="275"/>
      <c r="I640" s="275"/>
      <c r="J640" s="275"/>
      <c r="K640" s="275"/>
      <c r="L640" s="275"/>
      <c r="M640" s="275"/>
      <c r="N640" s="275"/>
    </row>
    <row r="641">
      <c r="B641" s="275"/>
      <c r="C641" s="275"/>
      <c r="D641" s="275"/>
      <c r="E641" s="275"/>
      <c r="F641" s="275"/>
      <c r="G641" s="275"/>
      <c r="H641" s="275"/>
      <c r="I641" s="275"/>
      <c r="J641" s="275"/>
      <c r="K641" s="275"/>
      <c r="L641" s="275"/>
      <c r="M641" s="275"/>
      <c r="N641" s="275"/>
    </row>
    <row r="642">
      <c r="B642" s="275"/>
      <c r="C642" s="275"/>
      <c r="D642" s="275"/>
      <c r="E642" s="275"/>
      <c r="F642" s="275"/>
      <c r="G642" s="275"/>
      <c r="H642" s="275"/>
      <c r="I642" s="275"/>
      <c r="J642" s="275"/>
      <c r="K642" s="275"/>
      <c r="L642" s="275"/>
      <c r="M642" s="275"/>
      <c r="N642" s="275"/>
    </row>
    <row r="643">
      <c r="B643" s="275"/>
      <c r="C643" s="275"/>
      <c r="D643" s="275"/>
      <c r="E643" s="275"/>
      <c r="F643" s="275"/>
      <c r="G643" s="275"/>
      <c r="H643" s="275"/>
      <c r="I643" s="275"/>
      <c r="J643" s="275"/>
      <c r="K643" s="275"/>
      <c r="L643" s="275"/>
      <c r="M643" s="275"/>
      <c r="N643" s="275"/>
    </row>
    <row r="644">
      <c r="B644" s="275"/>
      <c r="C644" s="275"/>
      <c r="D644" s="275"/>
      <c r="E644" s="275"/>
      <c r="F644" s="275"/>
      <c r="G644" s="275"/>
      <c r="H644" s="275"/>
      <c r="I644" s="275"/>
      <c r="J644" s="275"/>
      <c r="K644" s="275"/>
      <c r="L644" s="275"/>
      <c r="M644" s="275"/>
      <c r="N644" s="275"/>
    </row>
    <row r="645">
      <c r="B645" s="275"/>
      <c r="C645" s="275"/>
      <c r="D645" s="275"/>
      <c r="E645" s="275"/>
      <c r="F645" s="275"/>
      <c r="G645" s="275"/>
      <c r="H645" s="275"/>
      <c r="I645" s="275"/>
      <c r="J645" s="275"/>
      <c r="K645" s="275"/>
      <c r="L645" s="275"/>
      <c r="M645" s="275"/>
      <c r="N645" s="275"/>
    </row>
    <row r="646">
      <c r="B646" s="275"/>
      <c r="C646" s="275"/>
      <c r="D646" s="275"/>
      <c r="E646" s="275"/>
      <c r="F646" s="275"/>
      <c r="G646" s="275"/>
      <c r="H646" s="275"/>
      <c r="I646" s="275"/>
      <c r="J646" s="275"/>
      <c r="K646" s="275"/>
      <c r="L646" s="275"/>
      <c r="M646" s="275"/>
      <c r="N646" s="275"/>
    </row>
    <row r="647">
      <c r="B647" s="275"/>
      <c r="C647" s="275"/>
      <c r="D647" s="275"/>
      <c r="E647" s="275"/>
      <c r="F647" s="275"/>
      <c r="G647" s="275"/>
      <c r="H647" s="275"/>
      <c r="I647" s="275"/>
      <c r="J647" s="275"/>
      <c r="K647" s="275"/>
      <c r="L647" s="275"/>
      <c r="M647" s="275"/>
      <c r="N647" s="275"/>
    </row>
    <row r="648">
      <c r="B648" s="275"/>
      <c r="C648" s="275"/>
      <c r="D648" s="275"/>
      <c r="E648" s="275"/>
      <c r="F648" s="275"/>
      <c r="G648" s="275"/>
      <c r="H648" s="275"/>
      <c r="I648" s="275"/>
      <c r="J648" s="275"/>
      <c r="K648" s="275"/>
      <c r="L648" s="275"/>
      <c r="M648" s="275"/>
      <c r="N648" s="275"/>
    </row>
    <row r="649">
      <c r="B649" s="275"/>
      <c r="C649" s="275"/>
      <c r="D649" s="275"/>
      <c r="E649" s="275"/>
      <c r="F649" s="275"/>
      <c r="G649" s="275"/>
      <c r="H649" s="275"/>
      <c r="I649" s="275"/>
      <c r="J649" s="275"/>
      <c r="K649" s="275"/>
      <c r="L649" s="275"/>
      <c r="M649" s="275"/>
      <c r="N649" s="275"/>
    </row>
    <row r="650">
      <c r="B650" s="275"/>
      <c r="C650" s="275"/>
      <c r="D650" s="275"/>
      <c r="E650" s="275"/>
      <c r="F650" s="275"/>
      <c r="G650" s="275"/>
      <c r="H650" s="275"/>
      <c r="I650" s="275"/>
      <c r="J650" s="275"/>
      <c r="K650" s="275"/>
      <c r="L650" s="275"/>
      <c r="M650" s="275"/>
      <c r="N650" s="275"/>
    </row>
    <row r="651">
      <c r="B651" s="275"/>
      <c r="C651" s="275"/>
      <c r="D651" s="275"/>
      <c r="E651" s="275"/>
      <c r="F651" s="275"/>
      <c r="G651" s="275"/>
      <c r="H651" s="275"/>
      <c r="I651" s="275"/>
      <c r="J651" s="275"/>
      <c r="K651" s="275"/>
      <c r="L651" s="275"/>
      <c r="M651" s="275"/>
      <c r="N651" s="275"/>
    </row>
    <row r="652">
      <c r="B652" s="275"/>
      <c r="C652" s="275"/>
      <c r="D652" s="275"/>
      <c r="E652" s="275"/>
      <c r="F652" s="275"/>
      <c r="G652" s="275"/>
      <c r="H652" s="275"/>
      <c r="I652" s="275"/>
      <c r="J652" s="275"/>
      <c r="K652" s="275"/>
      <c r="L652" s="275"/>
      <c r="M652" s="275"/>
      <c r="N652" s="275"/>
    </row>
    <row r="653">
      <c r="B653" s="275"/>
      <c r="C653" s="275"/>
      <c r="D653" s="275"/>
      <c r="E653" s="275"/>
      <c r="F653" s="275"/>
      <c r="G653" s="275"/>
      <c r="H653" s="275"/>
      <c r="I653" s="275"/>
      <c r="J653" s="275"/>
      <c r="K653" s="275"/>
      <c r="L653" s="275"/>
      <c r="M653" s="275"/>
      <c r="N653" s="275"/>
    </row>
    <row r="654">
      <c r="B654" s="275"/>
      <c r="C654" s="275"/>
      <c r="D654" s="275"/>
      <c r="E654" s="275"/>
      <c r="F654" s="275"/>
      <c r="G654" s="275"/>
      <c r="H654" s="275"/>
      <c r="I654" s="275"/>
      <c r="J654" s="275"/>
      <c r="K654" s="275"/>
      <c r="L654" s="275"/>
      <c r="M654" s="275"/>
      <c r="N654" s="275"/>
    </row>
    <row r="655">
      <c r="B655" s="275"/>
      <c r="C655" s="275"/>
      <c r="D655" s="275"/>
      <c r="E655" s="275"/>
      <c r="F655" s="275"/>
      <c r="G655" s="275"/>
      <c r="H655" s="275"/>
      <c r="I655" s="275"/>
      <c r="J655" s="275"/>
      <c r="K655" s="275"/>
      <c r="L655" s="275"/>
      <c r="M655" s="275"/>
      <c r="N655" s="275"/>
    </row>
    <row r="656">
      <c r="B656" s="275"/>
      <c r="C656" s="275"/>
      <c r="D656" s="275"/>
      <c r="E656" s="275"/>
      <c r="F656" s="275"/>
      <c r="G656" s="275"/>
      <c r="H656" s="275"/>
      <c r="I656" s="275"/>
      <c r="J656" s="275"/>
      <c r="K656" s="275"/>
      <c r="L656" s="275"/>
      <c r="M656" s="275"/>
      <c r="N656" s="275"/>
    </row>
    <row r="657">
      <c r="B657" s="275"/>
      <c r="C657" s="275"/>
      <c r="D657" s="275"/>
      <c r="E657" s="275"/>
      <c r="F657" s="275"/>
      <c r="G657" s="275"/>
      <c r="H657" s="275"/>
      <c r="I657" s="275"/>
      <c r="J657" s="275"/>
      <c r="K657" s="275"/>
      <c r="L657" s="275"/>
      <c r="M657" s="275"/>
      <c r="N657" s="275"/>
    </row>
    <row r="658">
      <c r="B658" s="275"/>
      <c r="C658" s="275"/>
      <c r="D658" s="275"/>
      <c r="E658" s="275"/>
      <c r="F658" s="275"/>
      <c r="G658" s="275"/>
      <c r="H658" s="275"/>
      <c r="I658" s="275"/>
      <c r="J658" s="275"/>
      <c r="K658" s="275"/>
      <c r="L658" s="275"/>
      <c r="M658" s="275"/>
      <c r="N658" s="275"/>
    </row>
    <row r="659">
      <c r="B659" s="275"/>
      <c r="C659" s="275"/>
      <c r="D659" s="275"/>
      <c r="E659" s="275"/>
      <c r="F659" s="275"/>
      <c r="G659" s="275"/>
      <c r="H659" s="275"/>
      <c r="I659" s="275"/>
      <c r="J659" s="275"/>
      <c r="K659" s="275"/>
      <c r="L659" s="275"/>
      <c r="M659" s="275"/>
      <c r="N659" s="275"/>
    </row>
    <row r="660">
      <c r="B660" s="275"/>
      <c r="C660" s="275"/>
      <c r="D660" s="275"/>
      <c r="E660" s="275"/>
      <c r="F660" s="275"/>
      <c r="G660" s="275"/>
      <c r="H660" s="275"/>
      <c r="I660" s="275"/>
      <c r="J660" s="275"/>
      <c r="K660" s="275"/>
      <c r="L660" s="275"/>
      <c r="M660" s="275"/>
      <c r="N660" s="275"/>
    </row>
    <row r="661">
      <c r="B661" s="275"/>
      <c r="C661" s="275"/>
      <c r="D661" s="275"/>
      <c r="E661" s="275"/>
      <c r="F661" s="275"/>
      <c r="G661" s="275"/>
      <c r="H661" s="275"/>
      <c r="I661" s="275"/>
      <c r="J661" s="275"/>
      <c r="K661" s="275"/>
      <c r="L661" s="275"/>
      <c r="M661" s="275"/>
      <c r="N661" s="275"/>
    </row>
    <row r="662">
      <c r="B662" s="275"/>
      <c r="C662" s="275"/>
      <c r="D662" s="275"/>
      <c r="E662" s="275"/>
      <c r="F662" s="275"/>
      <c r="G662" s="275"/>
      <c r="H662" s="275"/>
      <c r="I662" s="275"/>
      <c r="J662" s="275"/>
      <c r="K662" s="275"/>
      <c r="L662" s="275"/>
      <c r="M662" s="275"/>
      <c r="N662" s="275"/>
    </row>
    <row r="663">
      <c r="B663" s="275"/>
      <c r="C663" s="275"/>
      <c r="D663" s="275"/>
      <c r="E663" s="275"/>
      <c r="F663" s="275"/>
      <c r="G663" s="275"/>
      <c r="H663" s="275"/>
      <c r="I663" s="275"/>
      <c r="J663" s="275"/>
      <c r="K663" s="275"/>
      <c r="L663" s="275"/>
      <c r="M663" s="275"/>
      <c r="N663" s="275"/>
    </row>
    <row r="664">
      <c r="B664" s="275"/>
      <c r="C664" s="275"/>
      <c r="D664" s="275"/>
      <c r="E664" s="275"/>
      <c r="F664" s="275"/>
      <c r="G664" s="275"/>
      <c r="H664" s="275"/>
      <c r="I664" s="275"/>
      <c r="J664" s="275"/>
      <c r="K664" s="275"/>
      <c r="L664" s="275"/>
      <c r="M664" s="275"/>
      <c r="N664" s="275"/>
    </row>
    <row r="665">
      <c r="B665" s="275"/>
      <c r="C665" s="275"/>
      <c r="D665" s="275"/>
      <c r="E665" s="275"/>
      <c r="F665" s="275"/>
      <c r="G665" s="275"/>
      <c r="H665" s="275"/>
      <c r="I665" s="275"/>
      <c r="J665" s="275"/>
      <c r="K665" s="275"/>
      <c r="L665" s="275"/>
      <c r="M665" s="275"/>
      <c r="N665" s="275"/>
    </row>
    <row r="666">
      <c r="B666" s="275"/>
      <c r="C666" s="275"/>
      <c r="D666" s="275"/>
      <c r="E666" s="275"/>
      <c r="F666" s="275"/>
      <c r="G666" s="275"/>
      <c r="H666" s="275"/>
      <c r="I666" s="275"/>
      <c r="J666" s="275"/>
      <c r="K666" s="275"/>
      <c r="L666" s="275"/>
      <c r="M666" s="275"/>
      <c r="N666" s="275"/>
    </row>
    <row r="667">
      <c r="B667" s="275"/>
      <c r="C667" s="275"/>
      <c r="D667" s="275"/>
      <c r="E667" s="275"/>
      <c r="F667" s="275"/>
      <c r="G667" s="275"/>
      <c r="H667" s="275"/>
      <c r="I667" s="275"/>
      <c r="J667" s="275"/>
      <c r="K667" s="275"/>
      <c r="L667" s="275"/>
      <c r="M667" s="275"/>
      <c r="N667" s="275"/>
    </row>
    <row r="668">
      <c r="B668" s="275"/>
      <c r="C668" s="275"/>
      <c r="D668" s="275"/>
      <c r="E668" s="275"/>
      <c r="F668" s="275"/>
      <c r="G668" s="275"/>
      <c r="H668" s="275"/>
      <c r="I668" s="275"/>
      <c r="J668" s="275"/>
      <c r="K668" s="275"/>
      <c r="L668" s="275"/>
      <c r="M668" s="275"/>
      <c r="N668" s="275"/>
    </row>
    <row r="669">
      <c r="B669" s="275"/>
      <c r="C669" s="275"/>
      <c r="D669" s="275"/>
      <c r="E669" s="275"/>
      <c r="F669" s="275"/>
      <c r="G669" s="275"/>
      <c r="H669" s="275"/>
      <c r="I669" s="275"/>
      <c r="J669" s="275"/>
      <c r="K669" s="275"/>
      <c r="L669" s="275"/>
      <c r="M669" s="275"/>
      <c r="N669" s="275"/>
    </row>
    <row r="670">
      <c r="B670" s="275"/>
      <c r="C670" s="275"/>
      <c r="D670" s="275"/>
      <c r="E670" s="275"/>
      <c r="F670" s="275"/>
      <c r="G670" s="275"/>
      <c r="H670" s="275"/>
      <c r="I670" s="275"/>
      <c r="J670" s="275"/>
      <c r="K670" s="275"/>
      <c r="L670" s="275"/>
      <c r="M670" s="275"/>
      <c r="N670" s="275"/>
    </row>
    <row r="671">
      <c r="B671" s="275"/>
      <c r="C671" s="275"/>
      <c r="D671" s="275"/>
      <c r="E671" s="275"/>
      <c r="F671" s="275"/>
      <c r="G671" s="275"/>
      <c r="H671" s="275"/>
      <c r="I671" s="275"/>
      <c r="J671" s="275"/>
      <c r="K671" s="275"/>
      <c r="L671" s="275"/>
      <c r="M671" s="275"/>
      <c r="N671" s="275"/>
    </row>
    <row r="672">
      <c r="B672" s="275"/>
      <c r="C672" s="275"/>
      <c r="D672" s="275"/>
      <c r="E672" s="275"/>
      <c r="F672" s="275"/>
      <c r="G672" s="275"/>
      <c r="H672" s="275"/>
      <c r="I672" s="275"/>
      <c r="J672" s="275"/>
      <c r="K672" s="275"/>
      <c r="L672" s="275"/>
      <c r="M672" s="275"/>
      <c r="N672" s="275"/>
    </row>
    <row r="673">
      <c r="B673" s="275"/>
      <c r="C673" s="275"/>
      <c r="D673" s="275"/>
      <c r="E673" s="275"/>
      <c r="F673" s="275"/>
      <c r="G673" s="275"/>
      <c r="H673" s="275"/>
      <c r="I673" s="275"/>
      <c r="J673" s="275"/>
      <c r="K673" s="275"/>
      <c r="L673" s="275"/>
      <c r="M673" s="275"/>
      <c r="N673" s="275"/>
    </row>
    <row r="674">
      <c r="B674" s="275"/>
      <c r="C674" s="275"/>
      <c r="D674" s="275"/>
      <c r="E674" s="275"/>
      <c r="F674" s="275"/>
      <c r="G674" s="275"/>
      <c r="H674" s="275"/>
      <c r="I674" s="275"/>
      <c r="J674" s="275"/>
      <c r="K674" s="275"/>
      <c r="L674" s="275"/>
      <c r="M674" s="275"/>
      <c r="N674" s="275"/>
    </row>
    <row r="675">
      <c r="B675" s="275"/>
      <c r="C675" s="275"/>
      <c r="D675" s="275"/>
      <c r="E675" s="275"/>
      <c r="F675" s="275"/>
      <c r="G675" s="275"/>
      <c r="H675" s="275"/>
      <c r="I675" s="275"/>
      <c r="J675" s="275"/>
      <c r="K675" s="275"/>
      <c r="L675" s="275"/>
      <c r="M675" s="275"/>
      <c r="N675" s="275"/>
    </row>
    <row r="676">
      <c r="B676" s="275"/>
      <c r="C676" s="275"/>
      <c r="D676" s="275"/>
      <c r="E676" s="275"/>
      <c r="F676" s="275"/>
      <c r="G676" s="275"/>
      <c r="H676" s="275"/>
      <c r="I676" s="275"/>
      <c r="J676" s="275"/>
      <c r="K676" s="275"/>
      <c r="L676" s="275"/>
      <c r="M676" s="275"/>
      <c r="N676" s="275"/>
    </row>
    <row r="677">
      <c r="B677" s="275"/>
      <c r="C677" s="275"/>
      <c r="D677" s="275"/>
      <c r="E677" s="275"/>
      <c r="F677" s="275"/>
      <c r="G677" s="275"/>
      <c r="H677" s="275"/>
      <c r="I677" s="275"/>
      <c r="J677" s="275"/>
      <c r="K677" s="275"/>
      <c r="L677" s="275"/>
      <c r="M677" s="275"/>
      <c r="N677" s="275"/>
    </row>
    <row r="678">
      <c r="B678" s="275"/>
      <c r="C678" s="275"/>
      <c r="D678" s="275"/>
      <c r="E678" s="275"/>
      <c r="F678" s="275"/>
      <c r="G678" s="275"/>
      <c r="H678" s="275"/>
      <c r="I678" s="275"/>
      <c r="J678" s="275"/>
      <c r="K678" s="275"/>
      <c r="L678" s="275"/>
      <c r="M678" s="275"/>
      <c r="N678" s="275"/>
    </row>
    <row r="679">
      <c r="B679" s="275"/>
      <c r="C679" s="275"/>
      <c r="D679" s="275"/>
      <c r="E679" s="275"/>
      <c r="F679" s="275"/>
      <c r="G679" s="275"/>
      <c r="H679" s="275"/>
      <c r="I679" s="275"/>
      <c r="J679" s="275"/>
      <c r="K679" s="275"/>
      <c r="L679" s="275"/>
      <c r="M679" s="275"/>
      <c r="N679" s="275"/>
    </row>
    <row r="680">
      <c r="B680" s="275"/>
      <c r="C680" s="275"/>
      <c r="D680" s="275"/>
      <c r="E680" s="275"/>
      <c r="F680" s="275"/>
      <c r="G680" s="275"/>
      <c r="H680" s="275"/>
      <c r="I680" s="275"/>
      <c r="J680" s="275"/>
      <c r="K680" s="275"/>
      <c r="L680" s="275"/>
      <c r="M680" s="275"/>
      <c r="N680" s="275"/>
    </row>
    <row r="681">
      <c r="B681" s="275"/>
      <c r="C681" s="275"/>
      <c r="D681" s="275"/>
      <c r="E681" s="275"/>
      <c r="F681" s="275"/>
      <c r="G681" s="275"/>
      <c r="H681" s="275"/>
      <c r="I681" s="275"/>
      <c r="J681" s="275"/>
      <c r="K681" s="275"/>
      <c r="L681" s="275"/>
      <c r="M681" s="275"/>
      <c r="N681" s="275"/>
    </row>
    <row r="682">
      <c r="B682" s="275"/>
      <c r="C682" s="275"/>
      <c r="D682" s="275"/>
      <c r="E682" s="275"/>
      <c r="F682" s="275"/>
      <c r="G682" s="275"/>
      <c r="H682" s="275"/>
      <c r="I682" s="275"/>
      <c r="J682" s="275"/>
      <c r="K682" s="275"/>
      <c r="L682" s="275"/>
      <c r="M682" s="275"/>
      <c r="N682" s="275"/>
    </row>
    <row r="683">
      <c r="B683" s="275"/>
      <c r="C683" s="275"/>
      <c r="D683" s="275"/>
      <c r="E683" s="275"/>
      <c r="F683" s="275"/>
      <c r="G683" s="275"/>
      <c r="H683" s="275"/>
      <c r="I683" s="275"/>
      <c r="J683" s="275"/>
      <c r="K683" s="275"/>
      <c r="L683" s="275"/>
      <c r="M683" s="275"/>
      <c r="N683" s="275"/>
    </row>
    <row r="684">
      <c r="B684" s="275"/>
      <c r="C684" s="275"/>
      <c r="D684" s="275"/>
      <c r="E684" s="275"/>
      <c r="F684" s="275"/>
      <c r="G684" s="275"/>
      <c r="H684" s="275"/>
      <c r="I684" s="275"/>
      <c r="J684" s="275"/>
      <c r="K684" s="275"/>
      <c r="L684" s="275"/>
      <c r="M684" s="275"/>
      <c r="N684" s="275"/>
    </row>
    <row r="685">
      <c r="B685" s="275"/>
      <c r="C685" s="275"/>
      <c r="D685" s="275"/>
      <c r="E685" s="275"/>
      <c r="F685" s="275"/>
      <c r="G685" s="275"/>
      <c r="H685" s="275"/>
      <c r="I685" s="275"/>
      <c r="J685" s="275"/>
      <c r="K685" s="275"/>
      <c r="L685" s="275"/>
      <c r="M685" s="275"/>
      <c r="N685" s="275"/>
    </row>
    <row r="686">
      <c r="B686" s="275"/>
      <c r="C686" s="275"/>
      <c r="D686" s="275"/>
      <c r="E686" s="275"/>
      <c r="F686" s="275"/>
      <c r="G686" s="275"/>
      <c r="H686" s="275"/>
      <c r="I686" s="275"/>
      <c r="J686" s="275"/>
      <c r="K686" s="275"/>
      <c r="L686" s="275"/>
      <c r="M686" s="275"/>
      <c r="N686" s="275"/>
    </row>
    <row r="687">
      <c r="B687" s="275"/>
      <c r="C687" s="275"/>
      <c r="D687" s="275"/>
      <c r="E687" s="275"/>
      <c r="F687" s="275"/>
      <c r="G687" s="275"/>
      <c r="H687" s="275"/>
      <c r="I687" s="275"/>
      <c r="J687" s="275"/>
      <c r="K687" s="275"/>
      <c r="L687" s="275"/>
      <c r="M687" s="275"/>
      <c r="N687" s="275"/>
    </row>
    <row r="688">
      <c r="B688" s="275"/>
      <c r="C688" s="275"/>
      <c r="D688" s="275"/>
      <c r="E688" s="275"/>
      <c r="F688" s="275"/>
      <c r="G688" s="275"/>
      <c r="H688" s="275"/>
      <c r="I688" s="275"/>
      <c r="J688" s="275"/>
      <c r="K688" s="275"/>
      <c r="L688" s="275"/>
      <c r="M688" s="275"/>
      <c r="N688" s="275"/>
    </row>
    <row r="689">
      <c r="B689" s="275"/>
      <c r="C689" s="275"/>
      <c r="D689" s="275"/>
      <c r="E689" s="275"/>
      <c r="F689" s="275"/>
      <c r="G689" s="275"/>
      <c r="H689" s="275"/>
      <c r="I689" s="275"/>
      <c r="J689" s="275"/>
      <c r="K689" s="275"/>
      <c r="L689" s="275"/>
      <c r="M689" s="275"/>
      <c r="N689" s="275"/>
    </row>
    <row r="690">
      <c r="B690" s="275"/>
      <c r="C690" s="275"/>
      <c r="D690" s="275"/>
      <c r="E690" s="275"/>
      <c r="F690" s="275"/>
      <c r="G690" s="275"/>
      <c r="H690" s="275"/>
      <c r="I690" s="275"/>
      <c r="J690" s="275"/>
      <c r="K690" s="275"/>
      <c r="L690" s="275"/>
      <c r="M690" s="275"/>
      <c r="N690" s="275"/>
    </row>
    <row r="691">
      <c r="B691" s="275"/>
      <c r="C691" s="275"/>
      <c r="D691" s="275"/>
      <c r="E691" s="275"/>
      <c r="F691" s="275"/>
      <c r="G691" s="275"/>
      <c r="H691" s="275"/>
      <c r="I691" s="275"/>
      <c r="J691" s="275"/>
      <c r="K691" s="275"/>
      <c r="L691" s="275"/>
      <c r="M691" s="275"/>
      <c r="N691" s="275"/>
    </row>
    <row r="692">
      <c r="B692" s="275"/>
      <c r="C692" s="275"/>
      <c r="D692" s="275"/>
      <c r="E692" s="275"/>
      <c r="F692" s="275"/>
      <c r="G692" s="275"/>
      <c r="H692" s="275"/>
      <c r="I692" s="275"/>
      <c r="J692" s="275"/>
      <c r="K692" s="275"/>
      <c r="L692" s="275"/>
      <c r="M692" s="275"/>
      <c r="N692" s="275"/>
    </row>
    <row r="693">
      <c r="B693" s="275"/>
      <c r="C693" s="275"/>
      <c r="D693" s="275"/>
      <c r="E693" s="275"/>
      <c r="F693" s="275"/>
      <c r="G693" s="275"/>
      <c r="H693" s="275"/>
      <c r="I693" s="275"/>
      <c r="J693" s="275"/>
      <c r="K693" s="275"/>
      <c r="L693" s="275"/>
      <c r="M693" s="275"/>
      <c r="N693" s="275"/>
    </row>
    <row r="694">
      <c r="B694" s="275"/>
      <c r="C694" s="275"/>
      <c r="D694" s="275"/>
      <c r="E694" s="275"/>
      <c r="F694" s="275"/>
      <c r="G694" s="275"/>
      <c r="H694" s="275"/>
      <c r="I694" s="275"/>
      <c r="J694" s="275"/>
      <c r="K694" s="275"/>
      <c r="L694" s="275"/>
      <c r="M694" s="275"/>
      <c r="N694" s="275"/>
    </row>
    <row r="695">
      <c r="B695" s="275"/>
      <c r="C695" s="275"/>
      <c r="D695" s="275"/>
      <c r="E695" s="275"/>
      <c r="F695" s="275"/>
      <c r="G695" s="275"/>
      <c r="H695" s="275"/>
      <c r="I695" s="275"/>
      <c r="J695" s="275"/>
      <c r="K695" s="275"/>
      <c r="L695" s="275"/>
      <c r="M695" s="275"/>
      <c r="N695" s="275"/>
    </row>
    <row r="696">
      <c r="B696" s="275"/>
      <c r="C696" s="275"/>
      <c r="D696" s="275"/>
      <c r="E696" s="275"/>
      <c r="F696" s="275"/>
      <c r="G696" s="275"/>
      <c r="H696" s="275"/>
      <c r="I696" s="275"/>
      <c r="J696" s="275"/>
      <c r="K696" s="275"/>
      <c r="L696" s="275"/>
      <c r="M696" s="275"/>
      <c r="N696" s="275"/>
    </row>
    <row r="697">
      <c r="B697" s="275"/>
      <c r="C697" s="275"/>
      <c r="D697" s="275"/>
      <c r="E697" s="275"/>
      <c r="F697" s="275"/>
      <c r="G697" s="275"/>
      <c r="H697" s="275"/>
      <c r="I697" s="275"/>
      <c r="J697" s="275"/>
      <c r="K697" s="275"/>
      <c r="L697" s="275"/>
      <c r="M697" s="275"/>
      <c r="N697" s="275"/>
    </row>
    <row r="698">
      <c r="B698" s="275"/>
      <c r="C698" s="275"/>
      <c r="D698" s="275"/>
      <c r="E698" s="275"/>
      <c r="F698" s="275"/>
      <c r="G698" s="275"/>
      <c r="H698" s="275"/>
      <c r="I698" s="275"/>
      <c r="J698" s="275"/>
      <c r="K698" s="275"/>
      <c r="L698" s="275"/>
      <c r="M698" s="275"/>
      <c r="N698" s="275"/>
    </row>
    <row r="699">
      <c r="B699" s="275"/>
      <c r="C699" s="275"/>
      <c r="D699" s="275"/>
      <c r="E699" s="275"/>
      <c r="F699" s="275"/>
      <c r="G699" s="275"/>
      <c r="H699" s="275"/>
      <c r="I699" s="275"/>
      <c r="J699" s="275"/>
      <c r="K699" s="275"/>
      <c r="L699" s="275"/>
      <c r="M699" s="275"/>
      <c r="N699" s="275"/>
    </row>
    <row r="700">
      <c r="B700" s="275"/>
      <c r="C700" s="275"/>
      <c r="D700" s="275"/>
      <c r="E700" s="275"/>
      <c r="F700" s="275"/>
      <c r="G700" s="275"/>
      <c r="H700" s="275"/>
      <c r="I700" s="275"/>
      <c r="J700" s="275"/>
      <c r="K700" s="275"/>
      <c r="L700" s="275"/>
      <c r="M700" s="275"/>
      <c r="N700" s="275"/>
    </row>
    <row r="701">
      <c r="B701" s="275"/>
      <c r="C701" s="275"/>
      <c r="D701" s="275"/>
      <c r="E701" s="275"/>
      <c r="F701" s="275"/>
      <c r="G701" s="275"/>
      <c r="H701" s="275"/>
      <c r="I701" s="275"/>
      <c r="J701" s="275"/>
      <c r="K701" s="275"/>
      <c r="L701" s="275"/>
      <c r="M701" s="275"/>
      <c r="N701" s="275"/>
    </row>
    <row r="702">
      <c r="B702" s="275"/>
      <c r="C702" s="275"/>
      <c r="D702" s="275"/>
      <c r="E702" s="275"/>
      <c r="F702" s="275"/>
      <c r="G702" s="275"/>
      <c r="H702" s="275"/>
      <c r="I702" s="275"/>
      <c r="J702" s="275"/>
      <c r="K702" s="275"/>
      <c r="L702" s="275"/>
      <c r="M702" s="275"/>
      <c r="N702" s="275"/>
    </row>
    <row r="703">
      <c r="B703" s="275"/>
      <c r="C703" s="275"/>
      <c r="D703" s="275"/>
      <c r="E703" s="275"/>
      <c r="F703" s="275"/>
      <c r="G703" s="275"/>
      <c r="H703" s="275"/>
      <c r="I703" s="275"/>
      <c r="J703" s="275"/>
      <c r="K703" s="275"/>
      <c r="L703" s="275"/>
      <c r="M703" s="275"/>
      <c r="N703" s="275"/>
    </row>
    <row r="704">
      <c r="B704" s="275"/>
      <c r="C704" s="275"/>
      <c r="D704" s="275"/>
      <c r="E704" s="275"/>
      <c r="F704" s="275"/>
      <c r="G704" s="275"/>
      <c r="H704" s="275"/>
      <c r="I704" s="275"/>
      <c r="J704" s="275"/>
      <c r="K704" s="275"/>
      <c r="L704" s="275"/>
      <c r="M704" s="275"/>
      <c r="N704" s="275"/>
    </row>
    <row r="705">
      <c r="B705" s="275"/>
      <c r="C705" s="275"/>
      <c r="D705" s="275"/>
      <c r="E705" s="275"/>
      <c r="F705" s="275"/>
      <c r="G705" s="275"/>
      <c r="H705" s="275"/>
      <c r="I705" s="275"/>
      <c r="J705" s="275"/>
      <c r="K705" s="275"/>
      <c r="L705" s="275"/>
      <c r="M705" s="275"/>
      <c r="N705" s="275"/>
    </row>
    <row r="706">
      <c r="B706" s="275"/>
      <c r="C706" s="275"/>
      <c r="D706" s="275"/>
      <c r="E706" s="275"/>
      <c r="F706" s="275"/>
      <c r="G706" s="275"/>
      <c r="H706" s="275"/>
      <c r="I706" s="275"/>
      <c r="J706" s="275"/>
      <c r="K706" s="275"/>
      <c r="L706" s="275"/>
      <c r="M706" s="275"/>
      <c r="N706" s="275"/>
    </row>
    <row r="707">
      <c r="B707" s="275"/>
      <c r="C707" s="275"/>
      <c r="D707" s="275"/>
      <c r="E707" s="275"/>
      <c r="F707" s="275"/>
      <c r="G707" s="275"/>
      <c r="H707" s="275"/>
      <c r="I707" s="275"/>
      <c r="J707" s="275"/>
      <c r="K707" s="275"/>
      <c r="L707" s="275"/>
      <c r="M707" s="275"/>
      <c r="N707" s="275"/>
    </row>
    <row r="708">
      <c r="B708" s="275"/>
      <c r="C708" s="275"/>
      <c r="D708" s="275"/>
      <c r="E708" s="275"/>
      <c r="F708" s="275"/>
      <c r="G708" s="275"/>
      <c r="H708" s="275"/>
      <c r="I708" s="275"/>
      <c r="J708" s="275"/>
      <c r="K708" s="275"/>
      <c r="L708" s="275"/>
      <c r="M708" s="275"/>
      <c r="N708" s="275"/>
    </row>
    <row r="709">
      <c r="B709" s="275"/>
      <c r="C709" s="275"/>
      <c r="D709" s="275"/>
      <c r="E709" s="275"/>
      <c r="F709" s="275"/>
      <c r="G709" s="275"/>
      <c r="H709" s="275"/>
      <c r="I709" s="275"/>
      <c r="J709" s="275"/>
      <c r="K709" s="275"/>
      <c r="L709" s="275"/>
      <c r="M709" s="275"/>
      <c r="N709" s="275"/>
    </row>
    <row r="710">
      <c r="B710" s="275"/>
      <c r="C710" s="275"/>
      <c r="D710" s="275"/>
      <c r="E710" s="275"/>
      <c r="F710" s="275"/>
      <c r="G710" s="275"/>
      <c r="H710" s="275"/>
      <c r="I710" s="275"/>
      <c r="J710" s="275"/>
      <c r="K710" s="275"/>
      <c r="L710" s="275"/>
      <c r="M710" s="275"/>
      <c r="N710" s="275"/>
    </row>
    <row r="711">
      <c r="B711" s="275"/>
      <c r="C711" s="275"/>
      <c r="D711" s="275"/>
      <c r="E711" s="275"/>
      <c r="F711" s="275"/>
      <c r="G711" s="275"/>
      <c r="H711" s="275"/>
      <c r="I711" s="275"/>
      <c r="J711" s="275"/>
      <c r="K711" s="275"/>
      <c r="L711" s="275"/>
      <c r="M711" s="275"/>
      <c r="N711" s="275"/>
    </row>
    <row r="712">
      <c r="B712" s="275"/>
      <c r="C712" s="275"/>
      <c r="D712" s="275"/>
      <c r="E712" s="275"/>
      <c r="F712" s="275"/>
      <c r="G712" s="275"/>
      <c r="H712" s="275"/>
      <c r="I712" s="275"/>
      <c r="J712" s="275"/>
      <c r="K712" s="275"/>
      <c r="L712" s="275"/>
      <c r="M712" s="275"/>
      <c r="N712" s="275"/>
    </row>
    <row r="713">
      <c r="B713" s="275"/>
      <c r="C713" s="275"/>
      <c r="D713" s="275"/>
      <c r="E713" s="275"/>
      <c r="F713" s="275"/>
      <c r="G713" s="275"/>
      <c r="H713" s="275"/>
      <c r="I713" s="275"/>
      <c r="J713" s="275"/>
      <c r="K713" s="275"/>
      <c r="L713" s="275"/>
      <c r="M713" s="275"/>
      <c r="N713" s="275"/>
    </row>
    <row r="714">
      <c r="B714" s="275"/>
      <c r="C714" s="275"/>
      <c r="D714" s="275"/>
      <c r="E714" s="275"/>
      <c r="F714" s="275"/>
      <c r="G714" s="275"/>
      <c r="H714" s="275"/>
      <c r="I714" s="275"/>
      <c r="J714" s="275"/>
      <c r="K714" s="275"/>
      <c r="L714" s="275"/>
      <c r="M714" s="275"/>
      <c r="N714" s="275"/>
    </row>
    <row r="715">
      <c r="B715" s="275"/>
      <c r="C715" s="275"/>
      <c r="D715" s="275"/>
      <c r="E715" s="275"/>
      <c r="F715" s="275"/>
      <c r="G715" s="275"/>
      <c r="H715" s="275"/>
      <c r="I715" s="275"/>
      <c r="J715" s="275"/>
      <c r="K715" s="275"/>
      <c r="L715" s="275"/>
      <c r="M715" s="275"/>
      <c r="N715" s="275"/>
    </row>
    <row r="716">
      <c r="B716" s="275"/>
      <c r="C716" s="275"/>
      <c r="D716" s="275"/>
      <c r="E716" s="275"/>
      <c r="F716" s="275"/>
      <c r="G716" s="275"/>
      <c r="H716" s="275"/>
      <c r="I716" s="275"/>
      <c r="J716" s="275"/>
      <c r="K716" s="275"/>
      <c r="L716" s="275"/>
      <c r="M716" s="275"/>
      <c r="N716" s="275"/>
    </row>
    <row r="717">
      <c r="B717" s="275"/>
      <c r="C717" s="275"/>
      <c r="D717" s="275"/>
      <c r="E717" s="275"/>
      <c r="F717" s="275"/>
      <c r="G717" s="275"/>
      <c r="H717" s="275"/>
      <c r="I717" s="275"/>
      <c r="J717" s="275"/>
      <c r="K717" s="275"/>
      <c r="L717" s="275"/>
      <c r="M717" s="275"/>
      <c r="N717" s="275"/>
    </row>
    <row r="718">
      <c r="B718" s="275"/>
      <c r="C718" s="275"/>
      <c r="D718" s="275"/>
      <c r="E718" s="275"/>
      <c r="F718" s="275"/>
      <c r="G718" s="275"/>
      <c r="H718" s="275"/>
      <c r="I718" s="275"/>
      <c r="J718" s="275"/>
      <c r="K718" s="275"/>
      <c r="L718" s="275"/>
      <c r="M718" s="275"/>
      <c r="N718" s="275"/>
    </row>
    <row r="719">
      <c r="B719" s="275"/>
      <c r="C719" s="275"/>
      <c r="D719" s="275"/>
      <c r="E719" s="275"/>
      <c r="F719" s="275"/>
      <c r="G719" s="275"/>
      <c r="H719" s="275"/>
      <c r="I719" s="275"/>
      <c r="J719" s="275"/>
      <c r="K719" s="275"/>
      <c r="L719" s="275"/>
      <c r="M719" s="275"/>
      <c r="N719" s="275"/>
    </row>
    <row r="720">
      <c r="B720" s="275"/>
      <c r="C720" s="275"/>
      <c r="D720" s="275"/>
      <c r="E720" s="275"/>
      <c r="F720" s="275"/>
      <c r="G720" s="275"/>
      <c r="H720" s="275"/>
      <c r="I720" s="275"/>
      <c r="J720" s="275"/>
      <c r="K720" s="275"/>
      <c r="L720" s="275"/>
      <c r="M720" s="275"/>
      <c r="N720" s="275"/>
    </row>
    <row r="721">
      <c r="B721" s="275"/>
      <c r="C721" s="275"/>
      <c r="D721" s="275"/>
      <c r="E721" s="275"/>
      <c r="F721" s="275"/>
      <c r="G721" s="275"/>
      <c r="H721" s="275"/>
      <c r="I721" s="275"/>
      <c r="J721" s="275"/>
      <c r="K721" s="275"/>
      <c r="L721" s="275"/>
      <c r="M721" s="275"/>
      <c r="N721" s="275"/>
    </row>
    <row r="722">
      <c r="B722" s="275"/>
      <c r="C722" s="275"/>
      <c r="D722" s="275"/>
      <c r="E722" s="275"/>
      <c r="F722" s="275"/>
      <c r="G722" s="275"/>
      <c r="H722" s="275"/>
      <c r="I722" s="275"/>
      <c r="J722" s="275"/>
      <c r="K722" s="275"/>
      <c r="L722" s="275"/>
      <c r="M722" s="275"/>
      <c r="N722" s="275"/>
    </row>
    <row r="723">
      <c r="B723" s="275"/>
      <c r="C723" s="275"/>
      <c r="D723" s="275"/>
      <c r="E723" s="275"/>
      <c r="F723" s="275"/>
      <c r="G723" s="275"/>
      <c r="H723" s="275"/>
      <c r="I723" s="275"/>
      <c r="J723" s="275"/>
      <c r="K723" s="275"/>
      <c r="L723" s="275"/>
      <c r="M723" s="275"/>
      <c r="N723" s="275"/>
    </row>
    <row r="724">
      <c r="B724" s="275"/>
      <c r="C724" s="275"/>
      <c r="D724" s="275"/>
      <c r="E724" s="275"/>
      <c r="F724" s="275"/>
      <c r="G724" s="275"/>
      <c r="H724" s="275"/>
      <c r="I724" s="275"/>
      <c r="J724" s="275"/>
      <c r="K724" s="275"/>
      <c r="L724" s="275"/>
      <c r="M724" s="275"/>
      <c r="N724" s="275"/>
    </row>
    <row r="725">
      <c r="B725" s="275"/>
      <c r="C725" s="275"/>
      <c r="D725" s="275"/>
      <c r="E725" s="275"/>
      <c r="F725" s="275"/>
      <c r="G725" s="275"/>
      <c r="H725" s="275"/>
      <c r="I725" s="275"/>
      <c r="J725" s="275"/>
      <c r="K725" s="275"/>
      <c r="L725" s="275"/>
      <c r="M725" s="275"/>
      <c r="N725" s="275"/>
    </row>
    <row r="726">
      <c r="B726" s="275"/>
      <c r="C726" s="275"/>
      <c r="D726" s="275"/>
      <c r="E726" s="275"/>
      <c r="F726" s="275"/>
      <c r="G726" s="275"/>
      <c r="H726" s="275"/>
      <c r="I726" s="275"/>
      <c r="J726" s="275"/>
      <c r="K726" s="275"/>
      <c r="L726" s="275"/>
      <c r="M726" s="275"/>
      <c r="N726" s="275"/>
    </row>
    <row r="727">
      <c r="B727" s="275"/>
      <c r="C727" s="275"/>
      <c r="D727" s="275"/>
      <c r="E727" s="275"/>
      <c r="F727" s="275"/>
      <c r="G727" s="275"/>
      <c r="H727" s="275"/>
      <c r="I727" s="275"/>
      <c r="J727" s="275"/>
      <c r="K727" s="275"/>
      <c r="L727" s="275"/>
      <c r="M727" s="275"/>
      <c r="N727" s="275"/>
    </row>
    <row r="728">
      <c r="B728" s="275"/>
      <c r="C728" s="275"/>
      <c r="D728" s="275"/>
      <c r="E728" s="275"/>
      <c r="F728" s="275"/>
      <c r="G728" s="275"/>
      <c r="H728" s="275"/>
      <c r="I728" s="275"/>
      <c r="J728" s="275"/>
      <c r="K728" s="275"/>
      <c r="L728" s="275"/>
      <c r="M728" s="275"/>
      <c r="N728" s="275"/>
    </row>
    <row r="729">
      <c r="B729" s="275"/>
      <c r="C729" s="275"/>
      <c r="D729" s="275"/>
      <c r="E729" s="275"/>
      <c r="F729" s="275"/>
      <c r="G729" s="275"/>
      <c r="H729" s="275"/>
      <c r="I729" s="275"/>
      <c r="J729" s="275"/>
      <c r="K729" s="275"/>
      <c r="L729" s="275"/>
      <c r="M729" s="275"/>
      <c r="N729" s="275"/>
    </row>
    <row r="730">
      <c r="B730" s="275"/>
      <c r="C730" s="275"/>
      <c r="D730" s="275"/>
      <c r="E730" s="275"/>
      <c r="F730" s="275"/>
      <c r="G730" s="275"/>
      <c r="H730" s="275"/>
      <c r="I730" s="275"/>
      <c r="J730" s="275"/>
      <c r="K730" s="275"/>
      <c r="L730" s="275"/>
      <c r="M730" s="275"/>
      <c r="N730" s="275"/>
    </row>
    <row r="731">
      <c r="B731" s="275"/>
      <c r="C731" s="275"/>
      <c r="D731" s="275"/>
      <c r="E731" s="275"/>
      <c r="F731" s="275"/>
      <c r="G731" s="275"/>
      <c r="H731" s="275"/>
      <c r="I731" s="275"/>
      <c r="J731" s="275"/>
      <c r="K731" s="275"/>
      <c r="L731" s="275"/>
      <c r="M731" s="275"/>
      <c r="N731" s="275"/>
    </row>
    <row r="732">
      <c r="B732" s="275"/>
      <c r="C732" s="275"/>
      <c r="D732" s="275"/>
      <c r="E732" s="275"/>
      <c r="F732" s="275"/>
      <c r="G732" s="275"/>
      <c r="H732" s="275"/>
      <c r="I732" s="275"/>
      <c r="J732" s="275"/>
      <c r="K732" s="275"/>
      <c r="L732" s="275"/>
      <c r="M732" s="275"/>
      <c r="N732" s="275"/>
    </row>
    <row r="733">
      <c r="B733" s="275"/>
      <c r="C733" s="275"/>
      <c r="D733" s="275"/>
      <c r="E733" s="275"/>
      <c r="F733" s="275"/>
      <c r="G733" s="275"/>
      <c r="H733" s="275"/>
      <c r="I733" s="275"/>
      <c r="J733" s="275"/>
      <c r="K733" s="275"/>
      <c r="L733" s="275"/>
      <c r="M733" s="275"/>
      <c r="N733" s="275"/>
    </row>
    <row r="734">
      <c r="B734" s="275"/>
      <c r="C734" s="275"/>
      <c r="D734" s="275"/>
      <c r="E734" s="275"/>
      <c r="F734" s="275"/>
      <c r="G734" s="275"/>
      <c r="H734" s="275"/>
      <c r="I734" s="275"/>
      <c r="J734" s="275"/>
      <c r="K734" s="275"/>
      <c r="L734" s="275"/>
      <c r="M734" s="275"/>
      <c r="N734" s="275"/>
    </row>
    <row r="735">
      <c r="B735" s="275"/>
      <c r="C735" s="275"/>
      <c r="D735" s="275"/>
      <c r="E735" s="275"/>
      <c r="F735" s="275"/>
      <c r="G735" s="275"/>
      <c r="H735" s="275"/>
      <c r="I735" s="275"/>
      <c r="J735" s="275"/>
      <c r="K735" s="275"/>
      <c r="L735" s="275"/>
      <c r="M735" s="275"/>
      <c r="N735" s="275"/>
    </row>
    <row r="736">
      <c r="B736" s="275"/>
      <c r="C736" s="275"/>
      <c r="D736" s="275"/>
      <c r="E736" s="275"/>
      <c r="F736" s="275"/>
      <c r="G736" s="275"/>
      <c r="H736" s="275"/>
      <c r="I736" s="275"/>
      <c r="J736" s="275"/>
      <c r="K736" s="275"/>
      <c r="L736" s="275"/>
      <c r="M736" s="275"/>
      <c r="N736" s="275"/>
    </row>
    <row r="737">
      <c r="B737" s="275"/>
      <c r="C737" s="275"/>
      <c r="D737" s="275"/>
      <c r="E737" s="275"/>
      <c r="F737" s="275"/>
      <c r="G737" s="275"/>
      <c r="H737" s="275"/>
      <c r="I737" s="275"/>
      <c r="J737" s="275"/>
      <c r="K737" s="275"/>
      <c r="L737" s="275"/>
      <c r="M737" s="275"/>
      <c r="N737" s="275"/>
    </row>
    <row r="738">
      <c r="B738" s="275"/>
      <c r="C738" s="275"/>
      <c r="D738" s="275"/>
      <c r="E738" s="275"/>
      <c r="F738" s="275"/>
      <c r="G738" s="275"/>
      <c r="H738" s="275"/>
      <c r="I738" s="275"/>
      <c r="J738" s="275"/>
      <c r="K738" s="275"/>
      <c r="L738" s="275"/>
      <c r="M738" s="275"/>
      <c r="N738" s="275"/>
    </row>
    <row r="739">
      <c r="B739" s="275"/>
      <c r="C739" s="275"/>
      <c r="D739" s="275"/>
      <c r="E739" s="275"/>
      <c r="F739" s="275"/>
      <c r="G739" s="275"/>
      <c r="H739" s="275"/>
      <c r="I739" s="275"/>
      <c r="J739" s="275"/>
      <c r="K739" s="275"/>
      <c r="L739" s="275"/>
      <c r="M739" s="275"/>
      <c r="N739" s="275"/>
    </row>
    <row r="740">
      <c r="B740" s="275"/>
      <c r="C740" s="275"/>
      <c r="D740" s="275"/>
      <c r="E740" s="275"/>
      <c r="F740" s="275"/>
      <c r="G740" s="275"/>
      <c r="H740" s="275"/>
      <c r="I740" s="275"/>
      <c r="J740" s="275"/>
      <c r="K740" s="275"/>
      <c r="L740" s="275"/>
      <c r="M740" s="275"/>
      <c r="N740" s="275"/>
    </row>
    <row r="741">
      <c r="B741" s="275"/>
      <c r="C741" s="275"/>
      <c r="D741" s="275"/>
      <c r="E741" s="275"/>
      <c r="F741" s="275"/>
      <c r="G741" s="275"/>
      <c r="H741" s="275"/>
      <c r="I741" s="275"/>
      <c r="J741" s="275"/>
      <c r="K741" s="275"/>
      <c r="L741" s="275"/>
      <c r="M741" s="275"/>
      <c r="N741" s="275"/>
    </row>
    <row r="742">
      <c r="B742" s="275"/>
      <c r="C742" s="275"/>
      <c r="D742" s="275"/>
      <c r="E742" s="275"/>
      <c r="F742" s="275"/>
      <c r="G742" s="275"/>
      <c r="H742" s="275"/>
      <c r="I742" s="275"/>
      <c r="J742" s="275"/>
      <c r="K742" s="275"/>
      <c r="L742" s="275"/>
      <c r="M742" s="275"/>
      <c r="N742" s="275"/>
    </row>
    <row r="743">
      <c r="B743" s="275"/>
      <c r="C743" s="275"/>
      <c r="D743" s="275"/>
      <c r="E743" s="275"/>
      <c r="F743" s="275"/>
      <c r="G743" s="275"/>
      <c r="H743" s="275"/>
      <c r="I743" s="275"/>
      <c r="J743" s="275"/>
      <c r="K743" s="275"/>
      <c r="L743" s="275"/>
      <c r="M743" s="275"/>
      <c r="N743" s="275"/>
    </row>
    <row r="744">
      <c r="B744" s="275"/>
      <c r="C744" s="275"/>
      <c r="D744" s="275"/>
      <c r="E744" s="275"/>
      <c r="F744" s="275"/>
      <c r="G744" s="275"/>
      <c r="H744" s="275"/>
      <c r="I744" s="275"/>
      <c r="J744" s="275"/>
      <c r="K744" s="275"/>
      <c r="L744" s="275"/>
      <c r="M744" s="275"/>
      <c r="N744" s="275"/>
    </row>
    <row r="745">
      <c r="B745" s="275"/>
      <c r="C745" s="275"/>
      <c r="D745" s="275"/>
      <c r="E745" s="275"/>
      <c r="F745" s="275"/>
      <c r="G745" s="275"/>
      <c r="H745" s="275"/>
      <c r="I745" s="275"/>
      <c r="J745" s="275"/>
      <c r="K745" s="275"/>
      <c r="L745" s="275"/>
      <c r="M745" s="275"/>
      <c r="N745" s="275"/>
    </row>
    <row r="746">
      <c r="B746" s="275"/>
      <c r="C746" s="275"/>
      <c r="D746" s="275"/>
      <c r="E746" s="275"/>
      <c r="F746" s="275"/>
      <c r="G746" s="275"/>
      <c r="H746" s="275"/>
      <c r="I746" s="275"/>
      <c r="J746" s="275"/>
      <c r="K746" s="275"/>
      <c r="L746" s="275"/>
      <c r="M746" s="275"/>
      <c r="N746" s="275"/>
    </row>
    <row r="747">
      <c r="B747" s="275"/>
      <c r="C747" s="275"/>
      <c r="D747" s="275"/>
      <c r="E747" s="275"/>
      <c r="F747" s="275"/>
      <c r="G747" s="275"/>
      <c r="H747" s="275"/>
      <c r="I747" s="275"/>
      <c r="J747" s="275"/>
      <c r="K747" s="275"/>
      <c r="L747" s="275"/>
      <c r="M747" s="275"/>
      <c r="N747" s="275"/>
    </row>
    <row r="748">
      <c r="B748" s="275"/>
      <c r="C748" s="275"/>
      <c r="D748" s="275"/>
      <c r="E748" s="275"/>
      <c r="F748" s="275"/>
      <c r="G748" s="275"/>
      <c r="H748" s="275"/>
      <c r="I748" s="275"/>
      <c r="J748" s="275"/>
      <c r="K748" s="275"/>
      <c r="L748" s="275"/>
      <c r="M748" s="275"/>
      <c r="N748" s="275"/>
    </row>
    <row r="749">
      <c r="B749" s="275"/>
      <c r="C749" s="275"/>
      <c r="D749" s="275"/>
      <c r="E749" s="275"/>
      <c r="F749" s="275"/>
      <c r="G749" s="275"/>
      <c r="H749" s="275"/>
      <c r="I749" s="275"/>
      <c r="J749" s="275"/>
      <c r="K749" s="275"/>
      <c r="L749" s="275"/>
      <c r="M749" s="275"/>
      <c r="N749" s="275"/>
    </row>
    <row r="750">
      <c r="B750" s="275"/>
      <c r="C750" s="275"/>
      <c r="D750" s="275"/>
      <c r="E750" s="275"/>
      <c r="F750" s="275"/>
      <c r="G750" s="275"/>
      <c r="H750" s="275"/>
      <c r="I750" s="275"/>
      <c r="J750" s="275"/>
      <c r="K750" s="275"/>
      <c r="L750" s="275"/>
      <c r="M750" s="275"/>
      <c r="N750" s="275"/>
    </row>
    <row r="751">
      <c r="B751" s="275"/>
      <c r="C751" s="275"/>
      <c r="D751" s="275"/>
      <c r="E751" s="275"/>
      <c r="F751" s="275"/>
      <c r="G751" s="275"/>
      <c r="H751" s="275"/>
      <c r="I751" s="275"/>
      <c r="J751" s="275"/>
      <c r="K751" s="275"/>
      <c r="L751" s="275"/>
      <c r="M751" s="275"/>
      <c r="N751" s="275"/>
    </row>
    <row r="752">
      <c r="B752" s="275"/>
      <c r="C752" s="275"/>
      <c r="D752" s="275"/>
      <c r="E752" s="275"/>
      <c r="F752" s="275"/>
      <c r="G752" s="275"/>
      <c r="H752" s="275"/>
      <c r="I752" s="275"/>
      <c r="J752" s="275"/>
      <c r="K752" s="275"/>
      <c r="L752" s="275"/>
      <c r="M752" s="275"/>
      <c r="N752" s="275"/>
    </row>
    <row r="753">
      <c r="B753" s="275"/>
      <c r="C753" s="275"/>
      <c r="D753" s="275"/>
      <c r="E753" s="275"/>
      <c r="F753" s="275"/>
      <c r="G753" s="275"/>
      <c r="H753" s="275"/>
      <c r="I753" s="275"/>
      <c r="J753" s="275"/>
      <c r="K753" s="275"/>
      <c r="L753" s="275"/>
      <c r="M753" s="275"/>
      <c r="N753" s="275"/>
    </row>
    <row r="754">
      <c r="B754" s="275"/>
      <c r="C754" s="275"/>
      <c r="D754" s="275"/>
      <c r="E754" s="275"/>
      <c r="F754" s="275"/>
      <c r="G754" s="275"/>
      <c r="H754" s="275"/>
      <c r="I754" s="275"/>
      <c r="J754" s="275"/>
      <c r="K754" s="275"/>
      <c r="L754" s="275"/>
      <c r="M754" s="275"/>
      <c r="N754" s="275"/>
    </row>
    <row r="755">
      <c r="B755" s="275"/>
      <c r="C755" s="275"/>
      <c r="D755" s="275"/>
      <c r="E755" s="275"/>
      <c r="F755" s="275"/>
      <c r="G755" s="275"/>
      <c r="H755" s="275"/>
      <c r="I755" s="275"/>
      <c r="J755" s="275"/>
      <c r="K755" s="275"/>
      <c r="L755" s="275"/>
      <c r="M755" s="275"/>
      <c r="N755" s="275"/>
    </row>
    <row r="756">
      <c r="B756" s="275"/>
      <c r="C756" s="275"/>
      <c r="D756" s="275"/>
      <c r="E756" s="275"/>
      <c r="F756" s="275"/>
      <c r="G756" s="275"/>
      <c r="H756" s="275"/>
      <c r="I756" s="275"/>
      <c r="J756" s="275"/>
      <c r="K756" s="275"/>
      <c r="L756" s="275"/>
      <c r="M756" s="275"/>
      <c r="N756" s="275"/>
    </row>
    <row r="757">
      <c r="B757" s="275"/>
      <c r="C757" s="275"/>
      <c r="D757" s="275"/>
      <c r="E757" s="275"/>
      <c r="F757" s="275"/>
      <c r="G757" s="275"/>
      <c r="H757" s="275"/>
      <c r="I757" s="275"/>
      <c r="J757" s="275"/>
      <c r="K757" s="275"/>
      <c r="L757" s="275"/>
      <c r="M757" s="275"/>
      <c r="N757" s="275"/>
    </row>
    <row r="758">
      <c r="B758" s="275"/>
      <c r="C758" s="275"/>
      <c r="D758" s="275"/>
      <c r="E758" s="275"/>
      <c r="F758" s="275"/>
      <c r="G758" s="275"/>
      <c r="H758" s="275"/>
      <c r="I758" s="275"/>
      <c r="J758" s="275"/>
      <c r="K758" s="275"/>
      <c r="L758" s="275"/>
      <c r="M758" s="275"/>
      <c r="N758" s="275"/>
    </row>
    <row r="759">
      <c r="B759" s="275"/>
      <c r="C759" s="275"/>
      <c r="D759" s="275"/>
      <c r="E759" s="275"/>
      <c r="F759" s="275"/>
      <c r="G759" s="275"/>
      <c r="H759" s="275"/>
      <c r="I759" s="275"/>
      <c r="J759" s="275"/>
      <c r="K759" s="275"/>
      <c r="L759" s="275"/>
      <c r="M759" s="275"/>
      <c r="N759" s="275"/>
    </row>
    <row r="760">
      <c r="B760" s="275"/>
      <c r="C760" s="275"/>
      <c r="D760" s="275"/>
      <c r="E760" s="275"/>
      <c r="F760" s="275"/>
      <c r="G760" s="275"/>
      <c r="H760" s="275"/>
      <c r="I760" s="275"/>
      <c r="J760" s="275"/>
      <c r="K760" s="275"/>
      <c r="L760" s="275"/>
      <c r="M760" s="275"/>
      <c r="N760" s="275"/>
    </row>
    <row r="761">
      <c r="B761" s="275"/>
      <c r="C761" s="275"/>
      <c r="D761" s="275"/>
      <c r="E761" s="275"/>
      <c r="F761" s="275"/>
      <c r="G761" s="275"/>
      <c r="H761" s="275"/>
      <c r="I761" s="275"/>
      <c r="J761" s="275"/>
      <c r="K761" s="275"/>
      <c r="L761" s="275"/>
      <c r="M761" s="275"/>
      <c r="N761" s="275"/>
    </row>
    <row r="762">
      <c r="B762" s="275"/>
      <c r="C762" s="275"/>
      <c r="D762" s="275"/>
      <c r="E762" s="275"/>
      <c r="F762" s="275"/>
      <c r="G762" s="275"/>
      <c r="H762" s="275"/>
      <c r="I762" s="275"/>
      <c r="J762" s="275"/>
      <c r="K762" s="275"/>
      <c r="L762" s="275"/>
      <c r="M762" s="275"/>
      <c r="N762" s="275"/>
    </row>
    <row r="763">
      <c r="B763" s="275"/>
      <c r="C763" s="275"/>
      <c r="D763" s="275"/>
      <c r="E763" s="275"/>
      <c r="F763" s="275"/>
      <c r="G763" s="275"/>
      <c r="H763" s="275"/>
      <c r="I763" s="275"/>
      <c r="J763" s="275"/>
      <c r="K763" s="275"/>
      <c r="L763" s="275"/>
      <c r="M763" s="275"/>
      <c r="N763" s="275"/>
    </row>
    <row r="764">
      <c r="B764" s="275"/>
      <c r="C764" s="275"/>
      <c r="D764" s="275"/>
      <c r="E764" s="275"/>
      <c r="F764" s="275"/>
      <c r="G764" s="275"/>
      <c r="H764" s="275"/>
      <c r="I764" s="275"/>
      <c r="J764" s="275"/>
      <c r="K764" s="275"/>
      <c r="L764" s="275"/>
      <c r="M764" s="275"/>
      <c r="N764" s="275"/>
    </row>
    <row r="765">
      <c r="B765" s="275"/>
      <c r="C765" s="275"/>
      <c r="D765" s="275"/>
      <c r="E765" s="275"/>
      <c r="F765" s="275"/>
      <c r="G765" s="275"/>
      <c r="H765" s="275"/>
      <c r="I765" s="275"/>
      <c r="J765" s="275"/>
      <c r="K765" s="275"/>
      <c r="L765" s="275"/>
      <c r="M765" s="275"/>
      <c r="N765" s="275"/>
    </row>
    <row r="766">
      <c r="B766" s="275"/>
      <c r="C766" s="275"/>
      <c r="D766" s="275"/>
      <c r="E766" s="275"/>
      <c r="F766" s="275"/>
      <c r="G766" s="275"/>
      <c r="H766" s="275"/>
      <c r="I766" s="275"/>
      <c r="J766" s="275"/>
      <c r="K766" s="275"/>
      <c r="L766" s="275"/>
      <c r="M766" s="275"/>
      <c r="N766" s="275"/>
    </row>
    <row r="767">
      <c r="B767" s="275"/>
      <c r="C767" s="275"/>
      <c r="D767" s="275"/>
      <c r="E767" s="275"/>
      <c r="F767" s="275"/>
      <c r="G767" s="275"/>
      <c r="H767" s="275"/>
      <c r="I767" s="275"/>
      <c r="J767" s="275"/>
      <c r="K767" s="275"/>
      <c r="L767" s="275"/>
      <c r="M767" s="275"/>
      <c r="N767" s="275"/>
    </row>
    <row r="768">
      <c r="B768" s="275"/>
      <c r="C768" s="275"/>
      <c r="D768" s="275"/>
      <c r="E768" s="275"/>
      <c r="F768" s="275"/>
      <c r="G768" s="275"/>
      <c r="H768" s="275"/>
      <c r="I768" s="275"/>
      <c r="J768" s="275"/>
      <c r="K768" s="275"/>
      <c r="L768" s="275"/>
      <c r="M768" s="275"/>
      <c r="N768" s="275"/>
    </row>
    <row r="769">
      <c r="B769" s="275"/>
      <c r="C769" s="275"/>
      <c r="D769" s="275"/>
      <c r="E769" s="275"/>
      <c r="F769" s="275"/>
      <c r="G769" s="275"/>
      <c r="H769" s="275"/>
      <c r="I769" s="275"/>
      <c r="J769" s="275"/>
      <c r="K769" s="275"/>
      <c r="L769" s="275"/>
      <c r="M769" s="275"/>
      <c r="N769" s="275"/>
    </row>
    <row r="770">
      <c r="B770" s="275"/>
      <c r="C770" s="275"/>
      <c r="D770" s="275"/>
      <c r="E770" s="275"/>
      <c r="F770" s="275"/>
      <c r="G770" s="275"/>
      <c r="H770" s="275"/>
      <c r="I770" s="275"/>
      <c r="J770" s="275"/>
      <c r="K770" s="275"/>
      <c r="L770" s="275"/>
      <c r="M770" s="275"/>
      <c r="N770" s="275"/>
    </row>
    <row r="771">
      <c r="B771" s="275"/>
      <c r="C771" s="275"/>
      <c r="D771" s="275"/>
      <c r="E771" s="275"/>
      <c r="F771" s="275"/>
      <c r="G771" s="275"/>
      <c r="H771" s="275"/>
      <c r="I771" s="275"/>
      <c r="J771" s="275"/>
      <c r="K771" s="275"/>
      <c r="L771" s="275"/>
      <c r="M771" s="275"/>
      <c r="N771" s="275"/>
    </row>
    <row r="772">
      <c r="B772" s="275"/>
      <c r="C772" s="275"/>
      <c r="D772" s="275"/>
      <c r="E772" s="275"/>
      <c r="F772" s="275"/>
      <c r="G772" s="275"/>
      <c r="H772" s="275"/>
      <c r="I772" s="275"/>
      <c r="J772" s="275"/>
      <c r="K772" s="275"/>
      <c r="L772" s="275"/>
      <c r="M772" s="275"/>
      <c r="N772" s="275"/>
    </row>
    <row r="773">
      <c r="B773" s="275"/>
      <c r="C773" s="275"/>
      <c r="D773" s="275"/>
      <c r="E773" s="275"/>
      <c r="F773" s="275"/>
      <c r="G773" s="275"/>
      <c r="H773" s="275"/>
      <c r="I773" s="275"/>
      <c r="J773" s="275"/>
      <c r="K773" s="275"/>
      <c r="L773" s="275"/>
      <c r="M773" s="275"/>
      <c r="N773" s="275"/>
    </row>
    <row r="774">
      <c r="B774" s="275"/>
      <c r="C774" s="275"/>
      <c r="D774" s="275"/>
      <c r="E774" s="275"/>
      <c r="F774" s="275"/>
      <c r="G774" s="275"/>
      <c r="H774" s="275"/>
      <c r="I774" s="275"/>
      <c r="J774" s="275"/>
      <c r="K774" s="275"/>
      <c r="L774" s="275"/>
      <c r="M774" s="275"/>
      <c r="N774" s="275"/>
    </row>
    <row r="775">
      <c r="B775" s="275"/>
      <c r="C775" s="275"/>
      <c r="D775" s="275"/>
      <c r="E775" s="275"/>
      <c r="F775" s="275"/>
      <c r="G775" s="275"/>
      <c r="H775" s="275"/>
      <c r="I775" s="275"/>
      <c r="J775" s="275"/>
      <c r="K775" s="275"/>
      <c r="L775" s="275"/>
      <c r="M775" s="275"/>
      <c r="N775" s="275"/>
    </row>
    <row r="776">
      <c r="B776" s="275"/>
      <c r="C776" s="275"/>
      <c r="D776" s="275"/>
      <c r="E776" s="275"/>
      <c r="F776" s="275"/>
      <c r="G776" s="275"/>
      <c r="H776" s="275"/>
      <c r="I776" s="275"/>
      <c r="J776" s="275"/>
      <c r="K776" s="275"/>
      <c r="L776" s="275"/>
      <c r="M776" s="275"/>
      <c r="N776" s="275"/>
    </row>
    <row r="777">
      <c r="B777" s="275"/>
      <c r="C777" s="275"/>
      <c r="D777" s="275"/>
      <c r="E777" s="275"/>
      <c r="F777" s="275"/>
      <c r="G777" s="275"/>
      <c r="H777" s="275"/>
      <c r="I777" s="275"/>
      <c r="J777" s="275"/>
      <c r="K777" s="275"/>
      <c r="L777" s="275"/>
      <c r="M777" s="275"/>
      <c r="N777" s="275"/>
    </row>
    <row r="778">
      <c r="B778" s="275"/>
      <c r="C778" s="275"/>
      <c r="D778" s="275"/>
      <c r="E778" s="275"/>
      <c r="F778" s="275"/>
      <c r="G778" s="275"/>
      <c r="H778" s="275"/>
      <c r="I778" s="275"/>
      <c r="J778" s="275"/>
      <c r="K778" s="275"/>
      <c r="L778" s="275"/>
      <c r="M778" s="275"/>
      <c r="N778" s="275"/>
    </row>
    <row r="779">
      <c r="B779" s="275"/>
      <c r="C779" s="275"/>
      <c r="D779" s="275"/>
      <c r="E779" s="275"/>
      <c r="F779" s="275"/>
      <c r="G779" s="275"/>
      <c r="H779" s="275"/>
      <c r="I779" s="275"/>
      <c r="J779" s="275"/>
      <c r="K779" s="275"/>
      <c r="L779" s="275"/>
      <c r="M779" s="275"/>
      <c r="N779" s="275"/>
    </row>
    <row r="780">
      <c r="B780" s="275"/>
      <c r="C780" s="275"/>
      <c r="D780" s="275"/>
      <c r="E780" s="275"/>
      <c r="F780" s="275"/>
      <c r="G780" s="275"/>
      <c r="H780" s="275"/>
      <c r="I780" s="275"/>
      <c r="J780" s="275"/>
      <c r="K780" s="275"/>
      <c r="L780" s="275"/>
      <c r="M780" s="275"/>
      <c r="N780" s="275"/>
    </row>
    <row r="781">
      <c r="B781" s="275"/>
      <c r="C781" s="275"/>
      <c r="D781" s="275"/>
      <c r="E781" s="275"/>
      <c r="F781" s="275"/>
      <c r="G781" s="275"/>
      <c r="H781" s="275"/>
      <c r="I781" s="275"/>
      <c r="J781" s="275"/>
      <c r="K781" s="275"/>
      <c r="L781" s="275"/>
      <c r="M781" s="275"/>
      <c r="N781" s="275"/>
    </row>
    <row r="782">
      <c r="B782" s="275"/>
      <c r="C782" s="275"/>
      <c r="D782" s="275"/>
      <c r="E782" s="275"/>
      <c r="F782" s="275"/>
      <c r="G782" s="275"/>
      <c r="H782" s="275"/>
      <c r="I782" s="275"/>
      <c r="J782" s="275"/>
      <c r="K782" s="275"/>
      <c r="L782" s="275"/>
      <c r="M782" s="275"/>
      <c r="N782" s="275"/>
    </row>
    <row r="783">
      <c r="B783" s="275"/>
      <c r="C783" s="275"/>
      <c r="D783" s="275"/>
      <c r="E783" s="275"/>
      <c r="F783" s="275"/>
      <c r="G783" s="275"/>
      <c r="H783" s="275"/>
      <c r="I783" s="275"/>
      <c r="J783" s="275"/>
      <c r="K783" s="275"/>
      <c r="L783" s="275"/>
      <c r="M783" s="275"/>
      <c r="N783" s="275"/>
    </row>
    <row r="784">
      <c r="B784" s="275"/>
      <c r="C784" s="275"/>
      <c r="D784" s="275"/>
      <c r="E784" s="275"/>
      <c r="F784" s="275"/>
      <c r="G784" s="275"/>
      <c r="H784" s="275"/>
      <c r="I784" s="275"/>
      <c r="J784" s="275"/>
      <c r="K784" s="275"/>
      <c r="L784" s="275"/>
      <c r="M784" s="275"/>
      <c r="N784" s="275"/>
    </row>
    <row r="785">
      <c r="B785" s="275"/>
      <c r="C785" s="275"/>
      <c r="D785" s="275"/>
      <c r="E785" s="275"/>
      <c r="F785" s="275"/>
      <c r="G785" s="275"/>
      <c r="H785" s="275"/>
      <c r="I785" s="275"/>
      <c r="J785" s="275"/>
      <c r="K785" s="275"/>
      <c r="L785" s="275"/>
      <c r="M785" s="275"/>
      <c r="N785" s="275"/>
    </row>
    <row r="786">
      <c r="B786" s="275"/>
      <c r="C786" s="275"/>
      <c r="D786" s="275"/>
      <c r="E786" s="275"/>
      <c r="F786" s="275"/>
      <c r="G786" s="275"/>
      <c r="H786" s="275"/>
      <c r="I786" s="275"/>
      <c r="J786" s="275"/>
      <c r="K786" s="275"/>
      <c r="L786" s="275"/>
      <c r="M786" s="275"/>
      <c r="N786" s="275"/>
    </row>
    <row r="787">
      <c r="B787" s="275"/>
      <c r="C787" s="275"/>
      <c r="D787" s="275"/>
      <c r="E787" s="275"/>
      <c r="F787" s="275"/>
      <c r="G787" s="275"/>
      <c r="H787" s="275"/>
      <c r="I787" s="275"/>
      <c r="J787" s="275"/>
      <c r="K787" s="275"/>
      <c r="L787" s="275"/>
      <c r="M787" s="275"/>
      <c r="N787" s="275"/>
    </row>
    <row r="788">
      <c r="B788" s="275"/>
      <c r="C788" s="275"/>
      <c r="D788" s="275"/>
      <c r="E788" s="275"/>
      <c r="F788" s="275"/>
      <c r="G788" s="275"/>
      <c r="H788" s="275"/>
      <c r="I788" s="275"/>
      <c r="J788" s="275"/>
      <c r="K788" s="275"/>
      <c r="L788" s="275"/>
      <c r="M788" s="275"/>
      <c r="N788" s="275"/>
    </row>
    <row r="789">
      <c r="B789" s="275"/>
      <c r="C789" s="275"/>
      <c r="D789" s="275"/>
      <c r="E789" s="275"/>
      <c r="F789" s="275"/>
      <c r="G789" s="275"/>
      <c r="H789" s="275"/>
      <c r="I789" s="275"/>
      <c r="J789" s="275"/>
      <c r="K789" s="275"/>
      <c r="L789" s="275"/>
      <c r="M789" s="275"/>
      <c r="N789" s="275"/>
    </row>
    <row r="790">
      <c r="B790" s="275"/>
      <c r="C790" s="275"/>
      <c r="D790" s="275"/>
      <c r="E790" s="275"/>
      <c r="F790" s="275"/>
      <c r="G790" s="275"/>
      <c r="H790" s="275"/>
      <c r="I790" s="275"/>
      <c r="J790" s="275"/>
      <c r="K790" s="275"/>
      <c r="L790" s="275"/>
      <c r="M790" s="275"/>
      <c r="N790" s="275"/>
    </row>
    <row r="791">
      <c r="B791" s="275"/>
      <c r="C791" s="275"/>
      <c r="D791" s="275"/>
      <c r="E791" s="275"/>
      <c r="F791" s="275"/>
      <c r="G791" s="275"/>
      <c r="H791" s="275"/>
      <c r="I791" s="275"/>
      <c r="J791" s="275"/>
      <c r="K791" s="275"/>
      <c r="L791" s="275"/>
      <c r="M791" s="275"/>
      <c r="N791" s="275"/>
    </row>
    <row r="792">
      <c r="B792" s="275"/>
      <c r="C792" s="275"/>
      <c r="D792" s="275"/>
      <c r="E792" s="275"/>
      <c r="F792" s="275"/>
      <c r="G792" s="275"/>
      <c r="H792" s="275"/>
      <c r="I792" s="275"/>
      <c r="J792" s="275"/>
      <c r="K792" s="275"/>
      <c r="L792" s="275"/>
      <c r="M792" s="275"/>
      <c r="N792" s="275"/>
    </row>
    <row r="793">
      <c r="B793" s="275"/>
      <c r="C793" s="275"/>
      <c r="D793" s="275"/>
      <c r="E793" s="275"/>
      <c r="F793" s="275"/>
      <c r="G793" s="275"/>
      <c r="H793" s="275"/>
      <c r="I793" s="275"/>
      <c r="J793" s="275"/>
      <c r="K793" s="275"/>
      <c r="L793" s="275"/>
      <c r="M793" s="275"/>
      <c r="N793" s="275"/>
    </row>
    <row r="794">
      <c r="B794" s="275"/>
      <c r="C794" s="275"/>
      <c r="D794" s="275"/>
      <c r="E794" s="275"/>
      <c r="F794" s="275"/>
      <c r="G794" s="275"/>
      <c r="H794" s="275"/>
      <c r="I794" s="275"/>
      <c r="J794" s="275"/>
      <c r="K794" s="275"/>
      <c r="L794" s="275"/>
      <c r="M794" s="275"/>
      <c r="N794" s="275"/>
    </row>
    <row r="795">
      <c r="B795" s="275"/>
      <c r="C795" s="275"/>
      <c r="D795" s="275"/>
      <c r="E795" s="275"/>
      <c r="F795" s="275"/>
      <c r="G795" s="275"/>
      <c r="H795" s="275"/>
      <c r="I795" s="275"/>
      <c r="J795" s="275"/>
      <c r="K795" s="275"/>
      <c r="L795" s="275"/>
      <c r="M795" s="275"/>
      <c r="N795" s="275"/>
    </row>
    <row r="796">
      <c r="B796" s="275"/>
      <c r="C796" s="275"/>
      <c r="D796" s="275"/>
      <c r="E796" s="275"/>
      <c r="F796" s="275"/>
      <c r="G796" s="275"/>
      <c r="H796" s="275"/>
      <c r="I796" s="275"/>
      <c r="J796" s="275"/>
      <c r="K796" s="275"/>
      <c r="L796" s="275"/>
      <c r="M796" s="275"/>
      <c r="N796" s="275"/>
    </row>
    <row r="797">
      <c r="B797" s="275"/>
      <c r="C797" s="275"/>
      <c r="D797" s="275"/>
      <c r="E797" s="275"/>
      <c r="F797" s="275"/>
      <c r="G797" s="275"/>
      <c r="H797" s="275"/>
      <c r="I797" s="275"/>
      <c r="J797" s="275"/>
      <c r="K797" s="275"/>
      <c r="L797" s="275"/>
      <c r="M797" s="275"/>
      <c r="N797" s="275"/>
    </row>
    <row r="798">
      <c r="B798" s="275"/>
      <c r="C798" s="275"/>
      <c r="D798" s="275"/>
      <c r="E798" s="275"/>
      <c r="F798" s="275"/>
      <c r="G798" s="275"/>
      <c r="H798" s="275"/>
      <c r="I798" s="275"/>
      <c r="J798" s="275"/>
      <c r="K798" s="275"/>
      <c r="L798" s="275"/>
      <c r="M798" s="275"/>
      <c r="N798" s="275"/>
    </row>
    <row r="799">
      <c r="B799" s="275"/>
      <c r="C799" s="275"/>
      <c r="D799" s="275"/>
      <c r="E799" s="275"/>
      <c r="F799" s="275"/>
      <c r="G799" s="275"/>
      <c r="H799" s="275"/>
      <c r="I799" s="275"/>
      <c r="J799" s="275"/>
      <c r="K799" s="275"/>
      <c r="L799" s="275"/>
      <c r="M799" s="275"/>
      <c r="N799" s="275"/>
    </row>
    <row r="800">
      <c r="B800" s="275"/>
      <c r="C800" s="275"/>
      <c r="D800" s="275"/>
      <c r="E800" s="275"/>
      <c r="F800" s="275"/>
      <c r="G800" s="275"/>
      <c r="H800" s="275"/>
      <c r="I800" s="275"/>
      <c r="J800" s="275"/>
      <c r="K800" s="275"/>
      <c r="L800" s="275"/>
      <c r="M800" s="275"/>
      <c r="N800" s="275"/>
    </row>
    <row r="801">
      <c r="B801" s="275"/>
      <c r="C801" s="275"/>
      <c r="D801" s="275"/>
      <c r="E801" s="275"/>
      <c r="F801" s="275"/>
      <c r="G801" s="275"/>
      <c r="H801" s="275"/>
      <c r="I801" s="275"/>
      <c r="J801" s="275"/>
      <c r="K801" s="275"/>
      <c r="L801" s="275"/>
      <c r="M801" s="275"/>
      <c r="N801" s="275"/>
    </row>
    <row r="802">
      <c r="B802" s="275"/>
      <c r="C802" s="275"/>
      <c r="D802" s="275"/>
      <c r="E802" s="275"/>
      <c r="F802" s="275"/>
      <c r="G802" s="275"/>
      <c r="H802" s="275"/>
      <c r="I802" s="275"/>
      <c r="J802" s="275"/>
      <c r="K802" s="275"/>
      <c r="L802" s="275"/>
      <c r="M802" s="275"/>
      <c r="N802" s="275"/>
    </row>
    <row r="803">
      <c r="B803" s="275"/>
      <c r="C803" s="275"/>
      <c r="D803" s="275"/>
      <c r="E803" s="275"/>
      <c r="F803" s="275"/>
      <c r="G803" s="275"/>
      <c r="H803" s="275"/>
      <c r="I803" s="275"/>
      <c r="J803" s="275"/>
      <c r="K803" s="275"/>
      <c r="L803" s="275"/>
      <c r="M803" s="275"/>
      <c r="N803" s="275"/>
    </row>
    <row r="804">
      <c r="B804" s="275"/>
      <c r="C804" s="275"/>
      <c r="D804" s="275"/>
      <c r="E804" s="275"/>
      <c r="F804" s="275"/>
      <c r="G804" s="275"/>
      <c r="H804" s="275"/>
      <c r="I804" s="275"/>
      <c r="J804" s="275"/>
      <c r="K804" s="275"/>
      <c r="L804" s="275"/>
      <c r="M804" s="275"/>
      <c r="N804" s="275"/>
    </row>
    <row r="805">
      <c r="B805" s="275"/>
      <c r="C805" s="275"/>
      <c r="D805" s="275"/>
      <c r="E805" s="275"/>
      <c r="F805" s="275"/>
      <c r="G805" s="275"/>
      <c r="H805" s="275"/>
      <c r="I805" s="275"/>
      <c r="J805" s="275"/>
      <c r="K805" s="275"/>
      <c r="L805" s="275"/>
      <c r="M805" s="275"/>
      <c r="N805" s="275"/>
    </row>
    <row r="806">
      <c r="B806" s="275"/>
      <c r="C806" s="275"/>
      <c r="D806" s="275"/>
      <c r="E806" s="275"/>
      <c r="F806" s="275"/>
      <c r="G806" s="275"/>
      <c r="H806" s="275"/>
      <c r="I806" s="275"/>
      <c r="J806" s="275"/>
      <c r="K806" s="275"/>
      <c r="L806" s="275"/>
      <c r="M806" s="275"/>
      <c r="N806" s="275"/>
    </row>
    <row r="807">
      <c r="B807" s="275"/>
      <c r="C807" s="275"/>
      <c r="D807" s="275"/>
      <c r="E807" s="275"/>
      <c r="F807" s="275"/>
      <c r="G807" s="275"/>
      <c r="H807" s="275"/>
      <c r="I807" s="275"/>
      <c r="J807" s="275"/>
      <c r="K807" s="275"/>
      <c r="L807" s="275"/>
      <c r="M807" s="275"/>
      <c r="N807" s="275"/>
    </row>
    <row r="808">
      <c r="B808" s="275"/>
      <c r="C808" s="275"/>
      <c r="D808" s="275"/>
      <c r="E808" s="275"/>
      <c r="F808" s="275"/>
      <c r="G808" s="275"/>
      <c r="H808" s="275"/>
      <c r="I808" s="275"/>
      <c r="J808" s="275"/>
      <c r="K808" s="275"/>
      <c r="L808" s="275"/>
      <c r="M808" s="275"/>
      <c r="N808" s="275"/>
    </row>
    <row r="809">
      <c r="B809" s="275"/>
      <c r="C809" s="275"/>
      <c r="D809" s="275"/>
      <c r="E809" s="275"/>
      <c r="F809" s="275"/>
      <c r="G809" s="275"/>
      <c r="H809" s="275"/>
      <c r="I809" s="275"/>
      <c r="J809" s="275"/>
      <c r="K809" s="275"/>
      <c r="L809" s="275"/>
      <c r="M809" s="275"/>
      <c r="N809" s="275"/>
    </row>
    <row r="810">
      <c r="B810" s="275"/>
      <c r="C810" s="275"/>
      <c r="D810" s="275"/>
      <c r="E810" s="275"/>
      <c r="F810" s="275"/>
      <c r="G810" s="275"/>
      <c r="H810" s="275"/>
      <c r="I810" s="275"/>
      <c r="J810" s="275"/>
      <c r="K810" s="275"/>
      <c r="L810" s="275"/>
      <c r="M810" s="275"/>
      <c r="N810" s="275"/>
    </row>
    <row r="811">
      <c r="B811" s="275"/>
      <c r="C811" s="275"/>
      <c r="D811" s="275"/>
      <c r="E811" s="275"/>
      <c r="F811" s="275"/>
      <c r="G811" s="275"/>
      <c r="H811" s="275"/>
      <c r="I811" s="275"/>
      <c r="J811" s="275"/>
      <c r="K811" s="275"/>
      <c r="L811" s="275"/>
      <c r="M811" s="275"/>
      <c r="N811" s="275"/>
    </row>
    <row r="812">
      <c r="B812" s="275"/>
      <c r="C812" s="275"/>
      <c r="D812" s="275"/>
      <c r="E812" s="275"/>
      <c r="F812" s="275"/>
      <c r="G812" s="275"/>
      <c r="H812" s="275"/>
      <c r="I812" s="275"/>
      <c r="J812" s="275"/>
      <c r="K812" s="275"/>
      <c r="L812" s="275"/>
      <c r="M812" s="275"/>
      <c r="N812" s="275"/>
    </row>
    <row r="813">
      <c r="B813" s="275"/>
      <c r="C813" s="275"/>
      <c r="D813" s="275"/>
      <c r="E813" s="275"/>
      <c r="F813" s="275"/>
      <c r="G813" s="275"/>
      <c r="H813" s="275"/>
      <c r="I813" s="275"/>
      <c r="J813" s="275"/>
      <c r="K813" s="275"/>
      <c r="L813" s="275"/>
      <c r="M813" s="275"/>
      <c r="N813" s="275"/>
    </row>
    <row r="814">
      <c r="B814" s="275"/>
      <c r="C814" s="275"/>
      <c r="D814" s="275"/>
      <c r="E814" s="275"/>
      <c r="F814" s="275"/>
      <c r="G814" s="275"/>
      <c r="H814" s="275"/>
      <c r="I814" s="275"/>
      <c r="J814" s="275"/>
      <c r="K814" s="275"/>
      <c r="L814" s="275"/>
      <c r="M814" s="275"/>
      <c r="N814" s="275"/>
    </row>
    <row r="815">
      <c r="B815" s="275"/>
      <c r="C815" s="275"/>
      <c r="D815" s="275"/>
      <c r="E815" s="275"/>
      <c r="F815" s="275"/>
      <c r="G815" s="275"/>
      <c r="H815" s="275"/>
      <c r="I815" s="275"/>
      <c r="J815" s="275"/>
      <c r="K815" s="275"/>
      <c r="L815" s="275"/>
      <c r="M815" s="275"/>
      <c r="N815" s="275"/>
    </row>
    <row r="816">
      <c r="B816" s="275"/>
      <c r="C816" s="275"/>
      <c r="D816" s="275"/>
      <c r="E816" s="275"/>
      <c r="F816" s="275"/>
      <c r="G816" s="275"/>
      <c r="H816" s="275"/>
      <c r="I816" s="275"/>
      <c r="J816" s="275"/>
      <c r="K816" s="275"/>
      <c r="L816" s="275"/>
      <c r="M816" s="275"/>
      <c r="N816" s="275"/>
    </row>
    <row r="817">
      <c r="B817" s="275"/>
      <c r="C817" s="275"/>
      <c r="D817" s="275"/>
      <c r="E817" s="275"/>
      <c r="F817" s="275"/>
      <c r="G817" s="275"/>
      <c r="H817" s="275"/>
      <c r="I817" s="275"/>
      <c r="J817" s="275"/>
      <c r="K817" s="275"/>
      <c r="L817" s="275"/>
      <c r="M817" s="275"/>
      <c r="N817" s="275"/>
    </row>
    <row r="818">
      <c r="B818" s="275"/>
      <c r="C818" s="275"/>
      <c r="D818" s="275"/>
      <c r="E818" s="275"/>
      <c r="F818" s="275"/>
      <c r="G818" s="275"/>
      <c r="H818" s="275"/>
      <c r="I818" s="275"/>
      <c r="J818" s="275"/>
      <c r="K818" s="275"/>
      <c r="L818" s="275"/>
      <c r="M818" s="275"/>
      <c r="N818" s="275"/>
    </row>
    <row r="819">
      <c r="B819" s="275"/>
      <c r="C819" s="275"/>
      <c r="D819" s="275"/>
      <c r="E819" s="275"/>
      <c r="F819" s="275"/>
      <c r="G819" s="275"/>
      <c r="H819" s="275"/>
      <c r="I819" s="275"/>
      <c r="J819" s="275"/>
      <c r="K819" s="275"/>
      <c r="L819" s="275"/>
      <c r="M819" s="275"/>
      <c r="N819" s="275"/>
    </row>
    <row r="820">
      <c r="B820" s="275"/>
      <c r="C820" s="275"/>
      <c r="D820" s="275"/>
      <c r="E820" s="275"/>
      <c r="F820" s="275"/>
      <c r="G820" s="275"/>
      <c r="H820" s="275"/>
      <c r="I820" s="275"/>
      <c r="J820" s="275"/>
      <c r="K820" s="275"/>
      <c r="L820" s="275"/>
      <c r="M820" s="275"/>
      <c r="N820" s="275"/>
    </row>
    <row r="821">
      <c r="B821" s="275"/>
      <c r="C821" s="275"/>
      <c r="D821" s="275"/>
      <c r="E821" s="275"/>
      <c r="F821" s="275"/>
      <c r="G821" s="275"/>
      <c r="H821" s="275"/>
      <c r="I821" s="275"/>
      <c r="J821" s="275"/>
      <c r="K821" s="275"/>
      <c r="L821" s="275"/>
      <c r="M821" s="275"/>
      <c r="N821" s="275"/>
    </row>
    <row r="822">
      <c r="B822" s="275"/>
      <c r="C822" s="275"/>
      <c r="D822" s="275"/>
      <c r="E822" s="275"/>
      <c r="F822" s="275"/>
      <c r="G822" s="275"/>
      <c r="H822" s="275"/>
      <c r="I822" s="275"/>
      <c r="J822" s="275"/>
      <c r="K822" s="275"/>
      <c r="L822" s="275"/>
      <c r="M822" s="275"/>
      <c r="N822" s="275"/>
    </row>
    <row r="823">
      <c r="B823" s="275"/>
      <c r="C823" s="275"/>
      <c r="D823" s="275"/>
      <c r="E823" s="275"/>
      <c r="F823" s="275"/>
      <c r="G823" s="275"/>
      <c r="H823" s="275"/>
      <c r="I823" s="275"/>
      <c r="J823" s="275"/>
      <c r="K823" s="275"/>
      <c r="L823" s="275"/>
      <c r="M823" s="275"/>
      <c r="N823" s="275"/>
    </row>
    <row r="824">
      <c r="B824" s="275"/>
      <c r="C824" s="275"/>
      <c r="D824" s="275"/>
      <c r="E824" s="275"/>
      <c r="F824" s="275"/>
      <c r="G824" s="275"/>
      <c r="H824" s="275"/>
      <c r="I824" s="275"/>
      <c r="J824" s="275"/>
      <c r="K824" s="275"/>
      <c r="L824" s="275"/>
      <c r="M824" s="275"/>
      <c r="N824" s="275"/>
    </row>
    <row r="825">
      <c r="B825" s="275"/>
      <c r="C825" s="275"/>
      <c r="D825" s="275"/>
      <c r="E825" s="275"/>
      <c r="F825" s="275"/>
      <c r="G825" s="275"/>
      <c r="H825" s="275"/>
      <c r="I825" s="275"/>
      <c r="J825" s="275"/>
      <c r="K825" s="275"/>
      <c r="L825" s="275"/>
      <c r="M825" s="275"/>
      <c r="N825" s="275"/>
    </row>
    <row r="826">
      <c r="B826" s="275"/>
      <c r="C826" s="275"/>
      <c r="D826" s="275"/>
      <c r="E826" s="275"/>
      <c r="F826" s="275"/>
      <c r="G826" s="275"/>
      <c r="H826" s="275"/>
      <c r="I826" s="275"/>
      <c r="J826" s="275"/>
      <c r="K826" s="275"/>
      <c r="L826" s="275"/>
      <c r="M826" s="275"/>
      <c r="N826" s="275"/>
    </row>
    <row r="827">
      <c r="B827" s="275"/>
      <c r="C827" s="275"/>
      <c r="D827" s="275"/>
      <c r="E827" s="275"/>
      <c r="F827" s="275"/>
      <c r="G827" s="275"/>
      <c r="H827" s="275"/>
      <c r="I827" s="275"/>
      <c r="J827" s="275"/>
      <c r="K827" s="275"/>
      <c r="L827" s="275"/>
      <c r="M827" s="275"/>
      <c r="N827" s="275"/>
    </row>
    <row r="828">
      <c r="B828" s="275"/>
      <c r="C828" s="275"/>
      <c r="D828" s="275"/>
      <c r="E828" s="275"/>
      <c r="F828" s="275"/>
      <c r="G828" s="275"/>
      <c r="H828" s="275"/>
      <c r="I828" s="275"/>
      <c r="J828" s="275"/>
      <c r="K828" s="275"/>
      <c r="L828" s="275"/>
      <c r="M828" s="275"/>
      <c r="N828" s="275"/>
    </row>
    <row r="829">
      <c r="B829" s="275"/>
      <c r="C829" s="275"/>
      <c r="D829" s="275"/>
      <c r="E829" s="275"/>
      <c r="F829" s="275"/>
      <c r="G829" s="275"/>
      <c r="H829" s="275"/>
      <c r="I829" s="275"/>
      <c r="J829" s="275"/>
      <c r="K829" s="275"/>
      <c r="L829" s="275"/>
      <c r="M829" s="275"/>
      <c r="N829" s="275"/>
    </row>
    <row r="830">
      <c r="B830" s="275"/>
      <c r="C830" s="275"/>
      <c r="D830" s="275"/>
      <c r="E830" s="275"/>
      <c r="F830" s="275"/>
      <c r="G830" s="275"/>
      <c r="H830" s="275"/>
      <c r="I830" s="275"/>
      <c r="J830" s="275"/>
      <c r="K830" s="275"/>
      <c r="L830" s="275"/>
      <c r="M830" s="275"/>
      <c r="N830" s="275"/>
    </row>
    <row r="831">
      <c r="B831" s="275"/>
      <c r="C831" s="275"/>
      <c r="D831" s="275"/>
      <c r="E831" s="275"/>
      <c r="F831" s="275"/>
      <c r="G831" s="275"/>
      <c r="H831" s="275"/>
      <c r="I831" s="275"/>
      <c r="J831" s="275"/>
      <c r="K831" s="275"/>
      <c r="L831" s="275"/>
      <c r="M831" s="275"/>
      <c r="N831" s="275"/>
    </row>
    <row r="832">
      <c r="B832" s="275"/>
      <c r="C832" s="275"/>
      <c r="D832" s="275"/>
      <c r="E832" s="275"/>
      <c r="F832" s="275"/>
      <c r="G832" s="275"/>
      <c r="H832" s="275"/>
      <c r="I832" s="275"/>
      <c r="J832" s="275"/>
      <c r="K832" s="275"/>
      <c r="L832" s="275"/>
      <c r="M832" s="275"/>
      <c r="N832" s="275"/>
    </row>
    <row r="833">
      <c r="B833" s="275"/>
      <c r="C833" s="275"/>
      <c r="D833" s="275"/>
      <c r="E833" s="275"/>
      <c r="F833" s="275"/>
      <c r="G833" s="275"/>
      <c r="H833" s="275"/>
      <c r="I833" s="275"/>
      <c r="J833" s="275"/>
      <c r="K833" s="275"/>
      <c r="L833" s="275"/>
      <c r="M833" s="275"/>
      <c r="N833" s="275"/>
    </row>
    <row r="834">
      <c r="B834" s="275"/>
      <c r="C834" s="275"/>
      <c r="D834" s="275"/>
      <c r="E834" s="275"/>
      <c r="F834" s="275"/>
      <c r="G834" s="275"/>
      <c r="H834" s="275"/>
      <c r="I834" s="275"/>
      <c r="J834" s="275"/>
      <c r="K834" s="275"/>
      <c r="L834" s="275"/>
      <c r="M834" s="275"/>
      <c r="N834" s="275"/>
    </row>
    <row r="835">
      <c r="B835" s="275"/>
      <c r="C835" s="275"/>
      <c r="D835" s="275"/>
      <c r="E835" s="275"/>
      <c r="F835" s="275"/>
      <c r="G835" s="275"/>
      <c r="H835" s="275"/>
      <c r="I835" s="275"/>
      <c r="J835" s="275"/>
      <c r="K835" s="275"/>
      <c r="L835" s="275"/>
      <c r="M835" s="275"/>
      <c r="N835" s="275"/>
    </row>
    <row r="836">
      <c r="B836" s="275"/>
      <c r="C836" s="275"/>
      <c r="D836" s="275"/>
      <c r="E836" s="275"/>
      <c r="F836" s="275"/>
      <c r="G836" s="275"/>
      <c r="H836" s="275"/>
      <c r="I836" s="275"/>
      <c r="J836" s="275"/>
      <c r="K836" s="275"/>
      <c r="L836" s="275"/>
      <c r="M836" s="275"/>
      <c r="N836" s="275"/>
    </row>
    <row r="837">
      <c r="B837" s="275"/>
      <c r="C837" s="275"/>
      <c r="D837" s="275"/>
      <c r="E837" s="275"/>
      <c r="F837" s="275"/>
      <c r="G837" s="275"/>
      <c r="H837" s="275"/>
      <c r="I837" s="275"/>
      <c r="J837" s="275"/>
      <c r="K837" s="275"/>
      <c r="L837" s="275"/>
      <c r="M837" s="275"/>
      <c r="N837" s="275"/>
    </row>
    <row r="838">
      <c r="B838" s="275"/>
      <c r="C838" s="275"/>
      <c r="D838" s="275"/>
      <c r="E838" s="275"/>
      <c r="F838" s="275"/>
      <c r="G838" s="275"/>
      <c r="H838" s="275"/>
      <c r="I838" s="275"/>
      <c r="J838" s="275"/>
      <c r="K838" s="275"/>
      <c r="L838" s="275"/>
      <c r="M838" s="275"/>
      <c r="N838" s="275"/>
    </row>
    <row r="839">
      <c r="B839" s="275"/>
      <c r="C839" s="275"/>
      <c r="D839" s="275"/>
      <c r="E839" s="275"/>
      <c r="F839" s="275"/>
      <c r="G839" s="275"/>
      <c r="H839" s="275"/>
      <c r="I839" s="275"/>
      <c r="J839" s="275"/>
      <c r="K839" s="275"/>
      <c r="L839" s="275"/>
      <c r="M839" s="275"/>
      <c r="N839" s="275"/>
    </row>
    <row r="840">
      <c r="B840" s="275"/>
      <c r="C840" s="275"/>
      <c r="D840" s="275"/>
      <c r="E840" s="275"/>
      <c r="F840" s="275"/>
      <c r="G840" s="275"/>
      <c r="H840" s="275"/>
      <c r="I840" s="275"/>
      <c r="J840" s="275"/>
      <c r="K840" s="275"/>
      <c r="L840" s="275"/>
      <c r="M840" s="275"/>
      <c r="N840" s="275"/>
    </row>
    <row r="841">
      <c r="B841" s="275"/>
      <c r="C841" s="275"/>
      <c r="D841" s="275"/>
      <c r="E841" s="275"/>
      <c r="F841" s="275"/>
      <c r="G841" s="275"/>
      <c r="H841" s="275"/>
      <c r="I841" s="275"/>
      <c r="J841" s="275"/>
      <c r="K841" s="275"/>
      <c r="L841" s="275"/>
      <c r="M841" s="275"/>
      <c r="N841" s="275"/>
    </row>
    <row r="842">
      <c r="B842" s="275"/>
      <c r="C842" s="275"/>
      <c r="D842" s="275"/>
      <c r="E842" s="275"/>
      <c r="F842" s="275"/>
      <c r="G842" s="275"/>
      <c r="H842" s="275"/>
      <c r="I842" s="275"/>
      <c r="J842" s="275"/>
      <c r="K842" s="275"/>
      <c r="L842" s="275"/>
      <c r="M842" s="275"/>
      <c r="N842" s="275"/>
    </row>
    <row r="843">
      <c r="B843" s="275"/>
      <c r="C843" s="275"/>
      <c r="D843" s="275"/>
      <c r="E843" s="275"/>
      <c r="F843" s="275"/>
      <c r="G843" s="275"/>
      <c r="H843" s="275"/>
      <c r="I843" s="275"/>
      <c r="J843" s="275"/>
      <c r="K843" s="275"/>
      <c r="L843" s="275"/>
      <c r="M843" s="275"/>
      <c r="N843" s="275"/>
    </row>
    <row r="844">
      <c r="B844" s="275"/>
      <c r="C844" s="275"/>
      <c r="D844" s="275"/>
      <c r="E844" s="275"/>
      <c r="F844" s="275"/>
      <c r="G844" s="275"/>
      <c r="H844" s="275"/>
      <c r="I844" s="275"/>
      <c r="J844" s="275"/>
      <c r="K844" s="275"/>
      <c r="L844" s="275"/>
      <c r="M844" s="275"/>
      <c r="N844" s="275"/>
    </row>
    <row r="845">
      <c r="B845" s="275"/>
      <c r="C845" s="275"/>
      <c r="D845" s="275"/>
      <c r="E845" s="275"/>
      <c r="F845" s="275"/>
      <c r="G845" s="275"/>
      <c r="H845" s="275"/>
      <c r="I845" s="275"/>
      <c r="J845" s="275"/>
      <c r="K845" s="275"/>
      <c r="L845" s="275"/>
      <c r="M845" s="275"/>
      <c r="N845" s="275"/>
    </row>
    <row r="846">
      <c r="B846" s="275"/>
      <c r="C846" s="275"/>
      <c r="D846" s="275"/>
      <c r="E846" s="275"/>
      <c r="F846" s="275"/>
      <c r="G846" s="275"/>
      <c r="H846" s="275"/>
      <c r="I846" s="275"/>
      <c r="J846" s="275"/>
      <c r="K846" s="275"/>
      <c r="L846" s="275"/>
      <c r="M846" s="275"/>
      <c r="N846" s="275"/>
    </row>
    <row r="847">
      <c r="B847" s="275"/>
      <c r="C847" s="275"/>
      <c r="D847" s="275"/>
      <c r="E847" s="275"/>
      <c r="F847" s="275"/>
      <c r="G847" s="275"/>
      <c r="H847" s="275"/>
      <c r="I847" s="275"/>
      <c r="J847" s="275"/>
      <c r="K847" s="275"/>
      <c r="L847" s="275"/>
      <c r="M847" s="275"/>
      <c r="N847" s="275"/>
    </row>
    <row r="848">
      <c r="B848" s="275"/>
      <c r="C848" s="275"/>
      <c r="D848" s="275"/>
      <c r="E848" s="275"/>
      <c r="F848" s="275"/>
      <c r="G848" s="275"/>
      <c r="H848" s="275"/>
      <c r="I848" s="275"/>
      <c r="J848" s="275"/>
      <c r="K848" s="275"/>
      <c r="L848" s="275"/>
      <c r="M848" s="275"/>
      <c r="N848" s="275"/>
    </row>
    <row r="849">
      <c r="B849" s="275"/>
      <c r="C849" s="275"/>
      <c r="D849" s="275"/>
      <c r="E849" s="275"/>
      <c r="F849" s="275"/>
      <c r="G849" s="275"/>
      <c r="H849" s="275"/>
      <c r="I849" s="275"/>
      <c r="J849" s="275"/>
      <c r="K849" s="275"/>
      <c r="L849" s="275"/>
      <c r="M849" s="275"/>
      <c r="N849" s="275"/>
    </row>
    <row r="850">
      <c r="B850" s="275"/>
      <c r="C850" s="275"/>
      <c r="D850" s="275"/>
      <c r="E850" s="275"/>
      <c r="F850" s="275"/>
      <c r="G850" s="275"/>
      <c r="H850" s="275"/>
      <c r="I850" s="275"/>
      <c r="J850" s="275"/>
      <c r="K850" s="275"/>
      <c r="L850" s="275"/>
      <c r="M850" s="275"/>
      <c r="N850" s="275"/>
    </row>
    <row r="851">
      <c r="B851" s="275"/>
      <c r="C851" s="275"/>
      <c r="D851" s="275"/>
      <c r="E851" s="275"/>
      <c r="F851" s="275"/>
      <c r="G851" s="275"/>
      <c r="H851" s="275"/>
      <c r="I851" s="275"/>
      <c r="J851" s="275"/>
      <c r="K851" s="275"/>
      <c r="L851" s="275"/>
      <c r="M851" s="275"/>
      <c r="N851" s="275"/>
    </row>
    <row r="852">
      <c r="B852" s="275"/>
      <c r="C852" s="275"/>
      <c r="D852" s="275"/>
      <c r="E852" s="275"/>
      <c r="F852" s="275"/>
      <c r="G852" s="275"/>
      <c r="H852" s="275"/>
      <c r="I852" s="275"/>
      <c r="J852" s="275"/>
      <c r="K852" s="275"/>
      <c r="L852" s="275"/>
      <c r="M852" s="275"/>
      <c r="N852" s="275"/>
    </row>
    <row r="853">
      <c r="B853" s="275"/>
      <c r="C853" s="275"/>
      <c r="D853" s="275"/>
      <c r="E853" s="275"/>
      <c r="F853" s="275"/>
      <c r="G853" s="275"/>
      <c r="H853" s="275"/>
      <c r="I853" s="275"/>
      <c r="J853" s="275"/>
      <c r="K853" s="275"/>
      <c r="L853" s="275"/>
      <c r="M853" s="275"/>
      <c r="N853" s="275"/>
    </row>
    <row r="854">
      <c r="B854" s="275"/>
      <c r="C854" s="275"/>
      <c r="D854" s="275"/>
      <c r="E854" s="275"/>
      <c r="F854" s="275"/>
      <c r="G854" s="275"/>
      <c r="H854" s="275"/>
      <c r="I854" s="275"/>
      <c r="J854" s="275"/>
      <c r="K854" s="275"/>
      <c r="L854" s="275"/>
      <c r="M854" s="275"/>
      <c r="N854" s="275"/>
    </row>
    <row r="855">
      <c r="B855" s="275"/>
      <c r="C855" s="275"/>
      <c r="D855" s="275"/>
      <c r="E855" s="275"/>
      <c r="F855" s="275"/>
      <c r="G855" s="275"/>
      <c r="H855" s="275"/>
      <c r="I855" s="275"/>
      <c r="J855" s="275"/>
      <c r="K855" s="275"/>
      <c r="L855" s="275"/>
      <c r="M855" s="275"/>
      <c r="N855" s="275"/>
    </row>
    <row r="856">
      <c r="B856" s="275"/>
      <c r="C856" s="275"/>
      <c r="D856" s="275"/>
      <c r="E856" s="275"/>
      <c r="F856" s="275"/>
      <c r="G856" s="275"/>
      <c r="H856" s="275"/>
      <c r="I856" s="275"/>
      <c r="J856" s="275"/>
      <c r="K856" s="275"/>
      <c r="L856" s="275"/>
      <c r="M856" s="275"/>
      <c r="N856" s="275"/>
    </row>
    <row r="857">
      <c r="B857" s="275"/>
      <c r="C857" s="275"/>
      <c r="D857" s="275"/>
      <c r="E857" s="275"/>
      <c r="F857" s="275"/>
      <c r="G857" s="275"/>
      <c r="H857" s="275"/>
      <c r="I857" s="275"/>
      <c r="J857" s="275"/>
      <c r="K857" s="275"/>
      <c r="L857" s="275"/>
      <c r="M857" s="275"/>
      <c r="N857" s="275"/>
    </row>
    <row r="858">
      <c r="B858" s="275"/>
      <c r="C858" s="275"/>
      <c r="D858" s="275"/>
      <c r="E858" s="275"/>
      <c r="F858" s="275"/>
      <c r="G858" s="275"/>
      <c r="H858" s="275"/>
      <c r="I858" s="275"/>
      <c r="J858" s="275"/>
      <c r="K858" s="275"/>
      <c r="L858" s="275"/>
      <c r="M858" s="275"/>
      <c r="N858" s="275"/>
    </row>
    <row r="859">
      <c r="B859" s="275"/>
      <c r="C859" s="275"/>
      <c r="D859" s="275"/>
      <c r="E859" s="275"/>
      <c r="F859" s="275"/>
      <c r="G859" s="275"/>
      <c r="H859" s="275"/>
      <c r="I859" s="275"/>
      <c r="J859" s="275"/>
      <c r="K859" s="275"/>
      <c r="L859" s="275"/>
      <c r="M859" s="275"/>
      <c r="N859" s="275"/>
    </row>
    <row r="860">
      <c r="B860" s="275"/>
      <c r="C860" s="275"/>
      <c r="D860" s="275"/>
      <c r="E860" s="275"/>
      <c r="F860" s="275"/>
      <c r="G860" s="275"/>
      <c r="H860" s="275"/>
      <c r="I860" s="275"/>
      <c r="J860" s="275"/>
      <c r="K860" s="275"/>
      <c r="L860" s="275"/>
      <c r="M860" s="275"/>
      <c r="N860" s="275"/>
    </row>
    <row r="861">
      <c r="B861" s="275"/>
      <c r="C861" s="275"/>
      <c r="D861" s="275"/>
      <c r="E861" s="275"/>
      <c r="F861" s="275"/>
      <c r="G861" s="275"/>
      <c r="H861" s="275"/>
      <c r="I861" s="275"/>
      <c r="J861" s="275"/>
      <c r="K861" s="275"/>
      <c r="L861" s="275"/>
      <c r="M861" s="275"/>
      <c r="N861" s="275"/>
    </row>
    <row r="862">
      <c r="B862" s="275"/>
      <c r="C862" s="275"/>
      <c r="D862" s="275"/>
      <c r="E862" s="275"/>
      <c r="F862" s="275"/>
      <c r="G862" s="275"/>
      <c r="H862" s="275"/>
      <c r="I862" s="275"/>
      <c r="J862" s="275"/>
      <c r="K862" s="275"/>
      <c r="L862" s="275"/>
      <c r="M862" s="275"/>
      <c r="N862" s="275"/>
    </row>
    <row r="863">
      <c r="B863" s="275"/>
      <c r="C863" s="275"/>
      <c r="D863" s="275"/>
      <c r="E863" s="275"/>
      <c r="F863" s="275"/>
      <c r="G863" s="275"/>
      <c r="H863" s="275"/>
      <c r="I863" s="275"/>
      <c r="J863" s="275"/>
      <c r="K863" s="275"/>
      <c r="L863" s="275"/>
      <c r="M863" s="275"/>
      <c r="N863" s="275"/>
    </row>
    <row r="864">
      <c r="B864" s="275"/>
      <c r="C864" s="275"/>
      <c r="D864" s="275"/>
      <c r="E864" s="275"/>
      <c r="F864" s="275"/>
      <c r="G864" s="275"/>
      <c r="H864" s="275"/>
      <c r="I864" s="275"/>
      <c r="J864" s="275"/>
      <c r="K864" s="275"/>
      <c r="L864" s="275"/>
      <c r="M864" s="275"/>
      <c r="N864" s="275"/>
    </row>
    <row r="865">
      <c r="B865" s="275"/>
      <c r="C865" s="275"/>
      <c r="D865" s="275"/>
      <c r="E865" s="275"/>
      <c r="F865" s="275"/>
      <c r="G865" s="275"/>
      <c r="H865" s="275"/>
      <c r="I865" s="275"/>
      <c r="J865" s="275"/>
      <c r="K865" s="275"/>
      <c r="L865" s="275"/>
      <c r="M865" s="275"/>
      <c r="N865" s="275"/>
    </row>
    <row r="866">
      <c r="B866" s="275"/>
      <c r="C866" s="275"/>
      <c r="D866" s="275"/>
      <c r="E866" s="275"/>
      <c r="F866" s="275"/>
      <c r="G866" s="275"/>
      <c r="H866" s="275"/>
      <c r="I866" s="275"/>
      <c r="J866" s="275"/>
      <c r="K866" s="275"/>
      <c r="L866" s="275"/>
      <c r="M866" s="275"/>
      <c r="N866" s="275"/>
    </row>
    <row r="867">
      <c r="B867" s="275"/>
      <c r="C867" s="275"/>
      <c r="D867" s="275"/>
      <c r="E867" s="275"/>
      <c r="F867" s="275"/>
      <c r="G867" s="275"/>
      <c r="H867" s="275"/>
      <c r="I867" s="275"/>
      <c r="J867" s="275"/>
      <c r="K867" s="275"/>
      <c r="L867" s="275"/>
      <c r="M867" s="275"/>
      <c r="N867" s="275"/>
    </row>
    <row r="868">
      <c r="B868" s="275"/>
      <c r="C868" s="275"/>
      <c r="D868" s="275"/>
      <c r="E868" s="275"/>
      <c r="F868" s="275"/>
      <c r="G868" s="275"/>
      <c r="H868" s="275"/>
      <c r="I868" s="275"/>
      <c r="J868" s="275"/>
      <c r="K868" s="275"/>
      <c r="L868" s="275"/>
      <c r="M868" s="275"/>
      <c r="N868" s="275"/>
    </row>
    <row r="869">
      <c r="B869" s="275"/>
      <c r="C869" s="275"/>
      <c r="D869" s="275"/>
      <c r="E869" s="275"/>
      <c r="F869" s="275"/>
      <c r="G869" s="275"/>
      <c r="H869" s="275"/>
      <c r="I869" s="275"/>
      <c r="J869" s="275"/>
      <c r="K869" s="275"/>
      <c r="L869" s="275"/>
      <c r="M869" s="275"/>
      <c r="N869" s="275"/>
    </row>
    <row r="870">
      <c r="B870" s="275"/>
      <c r="C870" s="275"/>
      <c r="D870" s="275"/>
      <c r="E870" s="275"/>
      <c r="F870" s="275"/>
      <c r="G870" s="275"/>
      <c r="H870" s="275"/>
      <c r="I870" s="275"/>
      <c r="J870" s="275"/>
      <c r="K870" s="275"/>
      <c r="L870" s="275"/>
      <c r="M870" s="275"/>
      <c r="N870" s="275"/>
    </row>
    <row r="871">
      <c r="B871" s="275"/>
      <c r="C871" s="275"/>
      <c r="D871" s="275"/>
      <c r="E871" s="275"/>
      <c r="F871" s="275"/>
      <c r="G871" s="275"/>
      <c r="H871" s="275"/>
      <c r="I871" s="275"/>
      <c r="J871" s="275"/>
      <c r="K871" s="275"/>
      <c r="L871" s="275"/>
      <c r="M871" s="275"/>
      <c r="N871" s="275"/>
    </row>
    <row r="872">
      <c r="B872" s="275"/>
      <c r="C872" s="275"/>
      <c r="D872" s="275"/>
      <c r="E872" s="275"/>
      <c r="F872" s="275"/>
      <c r="G872" s="275"/>
      <c r="H872" s="275"/>
      <c r="I872" s="275"/>
      <c r="J872" s="275"/>
      <c r="K872" s="275"/>
      <c r="L872" s="275"/>
      <c r="M872" s="275"/>
      <c r="N872" s="275"/>
    </row>
    <row r="873">
      <c r="B873" s="275"/>
      <c r="C873" s="275"/>
      <c r="D873" s="275"/>
      <c r="E873" s="275"/>
      <c r="F873" s="275"/>
      <c r="G873" s="275"/>
      <c r="H873" s="275"/>
      <c r="I873" s="275"/>
      <c r="J873" s="275"/>
      <c r="K873" s="275"/>
      <c r="L873" s="275"/>
      <c r="M873" s="275"/>
      <c r="N873" s="275"/>
    </row>
    <row r="874">
      <c r="B874" s="275"/>
      <c r="C874" s="275"/>
      <c r="D874" s="275"/>
      <c r="E874" s="275"/>
      <c r="F874" s="275"/>
      <c r="G874" s="275"/>
      <c r="H874" s="275"/>
      <c r="I874" s="275"/>
      <c r="J874" s="275"/>
      <c r="K874" s="275"/>
      <c r="L874" s="275"/>
      <c r="M874" s="275"/>
      <c r="N874" s="275"/>
    </row>
    <row r="875">
      <c r="B875" s="275"/>
      <c r="C875" s="275"/>
      <c r="D875" s="275"/>
      <c r="E875" s="275"/>
      <c r="F875" s="275"/>
      <c r="G875" s="275"/>
      <c r="H875" s="275"/>
      <c r="I875" s="275"/>
      <c r="J875" s="275"/>
      <c r="K875" s="275"/>
      <c r="L875" s="275"/>
      <c r="M875" s="275"/>
      <c r="N875" s="275"/>
    </row>
    <row r="876">
      <c r="B876" s="275"/>
      <c r="C876" s="275"/>
      <c r="D876" s="275"/>
      <c r="E876" s="275"/>
      <c r="F876" s="275"/>
      <c r="G876" s="275"/>
      <c r="H876" s="275"/>
      <c r="I876" s="275"/>
      <c r="J876" s="275"/>
      <c r="K876" s="275"/>
      <c r="L876" s="275"/>
      <c r="M876" s="275"/>
      <c r="N876" s="275"/>
    </row>
    <row r="877">
      <c r="B877" s="275"/>
      <c r="C877" s="275"/>
      <c r="D877" s="275"/>
      <c r="E877" s="275"/>
      <c r="F877" s="275"/>
      <c r="G877" s="275"/>
      <c r="H877" s="275"/>
      <c r="I877" s="275"/>
      <c r="J877" s="275"/>
      <c r="K877" s="275"/>
      <c r="L877" s="275"/>
      <c r="M877" s="275"/>
      <c r="N877" s="275"/>
    </row>
    <row r="878">
      <c r="B878" s="275"/>
      <c r="C878" s="275"/>
      <c r="D878" s="275"/>
      <c r="E878" s="275"/>
      <c r="F878" s="275"/>
      <c r="G878" s="275"/>
      <c r="H878" s="275"/>
      <c r="I878" s="275"/>
      <c r="J878" s="275"/>
      <c r="K878" s="275"/>
      <c r="L878" s="275"/>
      <c r="M878" s="275"/>
      <c r="N878" s="275"/>
    </row>
    <row r="879">
      <c r="B879" s="275"/>
      <c r="C879" s="275"/>
      <c r="D879" s="275"/>
      <c r="E879" s="275"/>
      <c r="F879" s="275"/>
      <c r="G879" s="275"/>
      <c r="H879" s="275"/>
      <c r="I879" s="275"/>
      <c r="J879" s="275"/>
      <c r="K879" s="275"/>
      <c r="L879" s="275"/>
      <c r="M879" s="275"/>
      <c r="N879" s="275"/>
    </row>
    <row r="880">
      <c r="B880" s="275"/>
      <c r="C880" s="275"/>
      <c r="D880" s="275"/>
      <c r="E880" s="275"/>
      <c r="F880" s="275"/>
      <c r="G880" s="275"/>
      <c r="H880" s="275"/>
      <c r="I880" s="275"/>
      <c r="J880" s="275"/>
      <c r="K880" s="275"/>
      <c r="L880" s="275"/>
      <c r="M880" s="275"/>
      <c r="N880" s="275"/>
    </row>
    <row r="881">
      <c r="B881" s="275"/>
      <c r="C881" s="275"/>
      <c r="D881" s="275"/>
      <c r="E881" s="275"/>
      <c r="F881" s="275"/>
      <c r="G881" s="275"/>
      <c r="H881" s="275"/>
      <c r="I881" s="275"/>
      <c r="J881" s="275"/>
      <c r="K881" s="275"/>
      <c r="L881" s="275"/>
      <c r="M881" s="275"/>
      <c r="N881" s="275"/>
    </row>
    <row r="882">
      <c r="B882" s="275"/>
      <c r="C882" s="275"/>
      <c r="D882" s="275"/>
      <c r="E882" s="275"/>
      <c r="F882" s="275"/>
      <c r="G882" s="275"/>
      <c r="H882" s="275"/>
      <c r="I882" s="275"/>
      <c r="J882" s="275"/>
      <c r="K882" s="275"/>
      <c r="L882" s="275"/>
      <c r="M882" s="275"/>
      <c r="N882" s="275"/>
    </row>
    <row r="883">
      <c r="B883" s="275"/>
      <c r="C883" s="275"/>
      <c r="D883" s="275"/>
      <c r="E883" s="275"/>
      <c r="F883" s="275"/>
      <c r="G883" s="275"/>
      <c r="H883" s="275"/>
      <c r="I883" s="275"/>
      <c r="J883" s="275"/>
      <c r="K883" s="275"/>
      <c r="L883" s="275"/>
      <c r="M883" s="275"/>
      <c r="N883" s="275"/>
    </row>
    <row r="884">
      <c r="B884" s="275"/>
      <c r="C884" s="275"/>
      <c r="D884" s="275"/>
      <c r="E884" s="275"/>
      <c r="F884" s="275"/>
      <c r="G884" s="275"/>
      <c r="H884" s="275"/>
      <c r="I884" s="275"/>
      <c r="J884" s="275"/>
      <c r="K884" s="275"/>
      <c r="L884" s="275"/>
      <c r="M884" s="275"/>
      <c r="N884" s="275"/>
    </row>
    <row r="885">
      <c r="B885" s="275"/>
      <c r="C885" s="275"/>
      <c r="D885" s="275"/>
      <c r="E885" s="275"/>
      <c r="F885" s="275"/>
      <c r="G885" s="275"/>
      <c r="H885" s="275"/>
      <c r="I885" s="275"/>
      <c r="J885" s="275"/>
      <c r="K885" s="275"/>
      <c r="L885" s="275"/>
      <c r="M885" s="275"/>
      <c r="N885" s="275"/>
    </row>
    <row r="886">
      <c r="B886" s="275"/>
      <c r="C886" s="275"/>
      <c r="D886" s="275"/>
      <c r="E886" s="275"/>
      <c r="F886" s="275"/>
      <c r="G886" s="275"/>
      <c r="H886" s="275"/>
      <c r="I886" s="275"/>
      <c r="J886" s="275"/>
      <c r="K886" s="275"/>
      <c r="L886" s="275"/>
      <c r="M886" s="275"/>
      <c r="N886" s="275"/>
    </row>
    <row r="887">
      <c r="B887" s="275"/>
      <c r="C887" s="275"/>
      <c r="D887" s="275"/>
      <c r="E887" s="275"/>
      <c r="F887" s="275"/>
      <c r="G887" s="275"/>
      <c r="H887" s="275"/>
      <c r="I887" s="275"/>
      <c r="J887" s="275"/>
      <c r="K887" s="275"/>
      <c r="L887" s="275"/>
      <c r="M887" s="275"/>
      <c r="N887" s="275"/>
    </row>
    <row r="888">
      <c r="B888" s="275"/>
      <c r="C888" s="275"/>
      <c r="D888" s="275"/>
      <c r="E888" s="275"/>
      <c r="F888" s="275"/>
      <c r="G888" s="275"/>
      <c r="H888" s="275"/>
      <c r="I888" s="275"/>
      <c r="J888" s="275"/>
      <c r="K888" s="275"/>
      <c r="L888" s="275"/>
      <c r="M888" s="275"/>
      <c r="N888" s="275"/>
    </row>
    <row r="889">
      <c r="B889" s="275"/>
      <c r="C889" s="275"/>
      <c r="D889" s="275"/>
      <c r="E889" s="275"/>
      <c r="F889" s="275"/>
      <c r="G889" s="275"/>
      <c r="H889" s="275"/>
      <c r="I889" s="275"/>
      <c r="J889" s="275"/>
      <c r="K889" s="275"/>
      <c r="L889" s="275"/>
      <c r="M889" s="275"/>
      <c r="N889" s="275"/>
    </row>
    <row r="890">
      <c r="B890" s="275"/>
      <c r="C890" s="275"/>
      <c r="D890" s="275"/>
      <c r="E890" s="275"/>
      <c r="F890" s="275"/>
      <c r="G890" s="275"/>
      <c r="H890" s="275"/>
      <c r="I890" s="275"/>
      <c r="J890" s="275"/>
      <c r="K890" s="275"/>
      <c r="L890" s="275"/>
      <c r="M890" s="275"/>
      <c r="N890" s="275"/>
    </row>
    <row r="891">
      <c r="B891" s="275"/>
      <c r="C891" s="275"/>
      <c r="D891" s="275"/>
      <c r="E891" s="275"/>
      <c r="F891" s="275"/>
      <c r="G891" s="275"/>
      <c r="H891" s="275"/>
      <c r="I891" s="275"/>
      <c r="J891" s="275"/>
      <c r="K891" s="275"/>
      <c r="L891" s="275"/>
      <c r="M891" s="275"/>
      <c r="N891" s="275"/>
    </row>
    <row r="892">
      <c r="B892" s="275"/>
      <c r="C892" s="275"/>
      <c r="D892" s="275"/>
      <c r="E892" s="275"/>
      <c r="F892" s="275"/>
      <c r="G892" s="275"/>
      <c r="H892" s="275"/>
      <c r="I892" s="275"/>
      <c r="J892" s="275"/>
      <c r="K892" s="275"/>
      <c r="L892" s="275"/>
      <c r="M892" s="275"/>
      <c r="N892" s="275"/>
    </row>
    <row r="893">
      <c r="B893" s="275"/>
      <c r="C893" s="275"/>
      <c r="D893" s="275"/>
      <c r="E893" s="275"/>
      <c r="F893" s="275"/>
      <c r="G893" s="275"/>
      <c r="H893" s="275"/>
      <c r="I893" s="275"/>
      <c r="J893" s="275"/>
      <c r="K893" s="275"/>
      <c r="L893" s="275"/>
      <c r="M893" s="275"/>
      <c r="N893" s="275"/>
    </row>
    <row r="894">
      <c r="B894" s="275"/>
      <c r="C894" s="275"/>
      <c r="D894" s="275"/>
      <c r="E894" s="275"/>
      <c r="F894" s="275"/>
      <c r="G894" s="275"/>
      <c r="H894" s="275"/>
      <c r="I894" s="275"/>
      <c r="J894" s="275"/>
      <c r="K894" s="275"/>
      <c r="L894" s="275"/>
      <c r="M894" s="275"/>
      <c r="N894" s="275"/>
    </row>
    <row r="895">
      <c r="B895" s="275"/>
      <c r="C895" s="275"/>
      <c r="D895" s="275"/>
      <c r="E895" s="275"/>
      <c r="F895" s="275"/>
      <c r="G895" s="275"/>
      <c r="H895" s="275"/>
      <c r="I895" s="275"/>
      <c r="J895" s="275"/>
      <c r="K895" s="275"/>
      <c r="L895" s="275"/>
      <c r="M895" s="275"/>
      <c r="N895" s="275"/>
    </row>
    <row r="896">
      <c r="B896" s="275"/>
      <c r="C896" s="275"/>
      <c r="D896" s="275"/>
      <c r="E896" s="275"/>
      <c r="F896" s="275"/>
      <c r="G896" s="275"/>
      <c r="H896" s="275"/>
      <c r="I896" s="275"/>
      <c r="J896" s="275"/>
      <c r="K896" s="275"/>
      <c r="L896" s="275"/>
      <c r="M896" s="275"/>
      <c r="N896" s="275"/>
    </row>
    <row r="897">
      <c r="B897" s="275"/>
      <c r="C897" s="275"/>
      <c r="D897" s="275"/>
      <c r="E897" s="275"/>
      <c r="F897" s="275"/>
      <c r="G897" s="275"/>
      <c r="H897" s="275"/>
      <c r="I897" s="275"/>
      <c r="J897" s="275"/>
      <c r="K897" s="275"/>
      <c r="L897" s="275"/>
      <c r="M897" s="275"/>
      <c r="N897" s="275"/>
    </row>
    <row r="898">
      <c r="B898" s="275"/>
      <c r="C898" s="275"/>
      <c r="D898" s="275"/>
      <c r="E898" s="275"/>
      <c r="F898" s="275"/>
      <c r="G898" s="275"/>
      <c r="H898" s="275"/>
      <c r="I898" s="275"/>
      <c r="J898" s="275"/>
      <c r="K898" s="275"/>
      <c r="L898" s="275"/>
      <c r="M898" s="275"/>
      <c r="N898" s="275"/>
    </row>
    <row r="899">
      <c r="B899" s="275"/>
      <c r="C899" s="275"/>
      <c r="D899" s="275"/>
      <c r="E899" s="275"/>
      <c r="F899" s="275"/>
      <c r="G899" s="275"/>
      <c r="H899" s="275"/>
      <c r="I899" s="275"/>
      <c r="J899" s="275"/>
      <c r="K899" s="275"/>
      <c r="L899" s="275"/>
      <c r="M899" s="275"/>
      <c r="N899" s="275"/>
    </row>
    <row r="900">
      <c r="B900" s="275"/>
      <c r="C900" s="275"/>
      <c r="D900" s="275"/>
      <c r="E900" s="275"/>
      <c r="F900" s="275"/>
      <c r="G900" s="275"/>
      <c r="H900" s="275"/>
      <c r="I900" s="275"/>
      <c r="J900" s="275"/>
      <c r="K900" s="275"/>
      <c r="L900" s="275"/>
      <c r="M900" s="275"/>
      <c r="N900" s="275"/>
    </row>
    <row r="901">
      <c r="B901" s="275"/>
      <c r="C901" s="275"/>
      <c r="D901" s="275"/>
      <c r="E901" s="275"/>
      <c r="F901" s="275"/>
      <c r="G901" s="275"/>
      <c r="H901" s="275"/>
      <c r="I901" s="275"/>
      <c r="J901" s="275"/>
      <c r="K901" s="275"/>
      <c r="L901" s="275"/>
      <c r="M901" s="275"/>
      <c r="N901" s="275"/>
    </row>
    <row r="902">
      <c r="B902" s="275"/>
      <c r="C902" s="275"/>
      <c r="D902" s="275"/>
      <c r="E902" s="275"/>
      <c r="F902" s="275"/>
      <c r="G902" s="275"/>
      <c r="H902" s="275"/>
      <c r="I902" s="275"/>
      <c r="J902" s="275"/>
      <c r="K902" s="275"/>
      <c r="L902" s="275"/>
      <c r="M902" s="275"/>
      <c r="N902" s="275"/>
    </row>
    <row r="903">
      <c r="B903" s="275"/>
      <c r="C903" s="275"/>
      <c r="D903" s="275"/>
      <c r="E903" s="275"/>
      <c r="F903" s="275"/>
      <c r="G903" s="275"/>
      <c r="H903" s="275"/>
      <c r="I903" s="275"/>
      <c r="J903" s="275"/>
      <c r="K903" s="275"/>
      <c r="L903" s="275"/>
      <c r="M903" s="275"/>
      <c r="N903" s="275"/>
    </row>
    <row r="904">
      <c r="B904" s="275"/>
      <c r="C904" s="275"/>
      <c r="D904" s="275"/>
      <c r="E904" s="275"/>
      <c r="F904" s="275"/>
      <c r="G904" s="275"/>
      <c r="H904" s="275"/>
      <c r="I904" s="275"/>
      <c r="J904" s="275"/>
      <c r="K904" s="275"/>
      <c r="L904" s="275"/>
      <c r="M904" s="275"/>
      <c r="N904" s="275"/>
    </row>
    <row r="905">
      <c r="B905" s="275"/>
      <c r="C905" s="275"/>
      <c r="D905" s="275"/>
      <c r="E905" s="275"/>
      <c r="F905" s="275"/>
      <c r="G905" s="275"/>
      <c r="H905" s="275"/>
      <c r="I905" s="275"/>
      <c r="J905" s="275"/>
      <c r="K905" s="275"/>
      <c r="L905" s="275"/>
      <c r="M905" s="275"/>
      <c r="N905" s="275"/>
    </row>
    <row r="906">
      <c r="B906" s="275"/>
      <c r="C906" s="275"/>
      <c r="D906" s="275"/>
      <c r="E906" s="275"/>
      <c r="F906" s="275"/>
      <c r="G906" s="275"/>
      <c r="H906" s="275"/>
      <c r="I906" s="275"/>
      <c r="J906" s="275"/>
      <c r="K906" s="275"/>
      <c r="L906" s="275"/>
      <c r="M906" s="275"/>
      <c r="N906" s="275"/>
    </row>
    <row r="907">
      <c r="B907" s="275"/>
      <c r="C907" s="275"/>
      <c r="D907" s="275"/>
      <c r="E907" s="275"/>
      <c r="F907" s="275"/>
      <c r="G907" s="275"/>
      <c r="H907" s="275"/>
      <c r="I907" s="275"/>
      <c r="J907" s="275"/>
      <c r="K907" s="275"/>
      <c r="L907" s="275"/>
      <c r="M907" s="275"/>
      <c r="N907" s="275"/>
    </row>
    <row r="908">
      <c r="B908" s="275"/>
      <c r="C908" s="275"/>
      <c r="D908" s="275"/>
      <c r="E908" s="275"/>
      <c r="F908" s="275"/>
      <c r="G908" s="275"/>
      <c r="H908" s="275"/>
      <c r="I908" s="275"/>
      <c r="J908" s="275"/>
      <c r="K908" s="275"/>
      <c r="L908" s="275"/>
      <c r="M908" s="275"/>
      <c r="N908" s="275"/>
    </row>
    <row r="909">
      <c r="B909" s="275"/>
      <c r="C909" s="275"/>
      <c r="D909" s="275"/>
      <c r="E909" s="275"/>
      <c r="F909" s="275"/>
      <c r="G909" s="275"/>
      <c r="H909" s="275"/>
      <c r="I909" s="275"/>
      <c r="J909" s="275"/>
      <c r="K909" s="275"/>
      <c r="L909" s="275"/>
      <c r="M909" s="275"/>
      <c r="N909" s="275"/>
    </row>
    <row r="910">
      <c r="B910" s="275"/>
      <c r="C910" s="275"/>
      <c r="D910" s="275"/>
      <c r="E910" s="275"/>
      <c r="F910" s="275"/>
      <c r="G910" s="275"/>
      <c r="H910" s="275"/>
      <c r="I910" s="275"/>
      <c r="J910" s="275"/>
      <c r="K910" s="275"/>
      <c r="L910" s="275"/>
      <c r="M910" s="275"/>
      <c r="N910" s="275"/>
    </row>
    <row r="911">
      <c r="B911" s="275"/>
      <c r="C911" s="275"/>
      <c r="D911" s="275"/>
      <c r="E911" s="275"/>
      <c r="F911" s="275"/>
      <c r="G911" s="275"/>
      <c r="H911" s="275"/>
      <c r="I911" s="275"/>
      <c r="J911" s="275"/>
      <c r="K911" s="275"/>
      <c r="L911" s="275"/>
      <c r="M911" s="275"/>
      <c r="N911" s="275"/>
    </row>
    <row r="912">
      <c r="B912" s="275"/>
      <c r="C912" s="275"/>
      <c r="D912" s="275"/>
      <c r="E912" s="275"/>
      <c r="F912" s="275"/>
      <c r="G912" s="275"/>
      <c r="H912" s="275"/>
      <c r="I912" s="275"/>
      <c r="J912" s="275"/>
      <c r="K912" s="275"/>
      <c r="L912" s="275"/>
      <c r="M912" s="275"/>
      <c r="N912" s="275"/>
    </row>
    <row r="913">
      <c r="B913" s="275"/>
      <c r="C913" s="275"/>
      <c r="D913" s="275"/>
      <c r="E913" s="275"/>
      <c r="F913" s="275"/>
      <c r="G913" s="275"/>
      <c r="H913" s="275"/>
      <c r="I913" s="275"/>
      <c r="J913" s="275"/>
      <c r="K913" s="275"/>
      <c r="L913" s="275"/>
      <c r="M913" s="275"/>
      <c r="N913" s="275"/>
    </row>
    <row r="914">
      <c r="B914" s="275"/>
      <c r="C914" s="275"/>
      <c r="D914" s="275"/>
      <c r="E914" s="275"/>
      <c r="F914" s="275"/>
      <c r="G914" s="275"/>
      <c r="H914" s="275"/>
      <c r="I914" s="275"/>
      <c r="J914" s="275"/>
      <c r="K914" s="275"/>
      <c r="L914" s="275"/>
      <c r="M914" s="275"/>
      <c r="N914" s="275"/>
    </row>
    <row r="915">
      <c r="B915" s="275"/>
      <c r="C915" s="275"/>
      <c r="D915" s="275"/>
      <c r="E915" s="275"/>
      <c r="F915" s="275"/>
      <c r="G915" s="275"/>
      <c r="H915" s="275"/>
      <c r="I915" s="275"/>
      <c r="J915" s="275"/>
      <c r="K915" s="275"/>
      <c r="L915" s="275"/>
      <c r="M915" s="275"/>
      <c r="N915" s="275"/>
    </row>
    <row r="916">
      <c r="B916" s="275"/>
      <c r="C916" s="275"/>
      <c r="D916" s="275"/>
      <c r="E916" s="275"/>
      <c r="F916" s="275"/>
      <c r="G916" s="275"/>
      <c r="H916" s="275"/>
      <c r="I916" s="275"/>
      <c r="J916" s="275"/>
      <c r="K916" s="275"/>
      <c r="L916" s="275"/>
      <c r="M916" s="275"/>
      <c r="N916" s="275"/>
    </row>
    <row r="917">
      <c r="B917" s="275"/>
      <c r="C917" s="275"/>
      <c r="D917" s="275"/>
      <c r="E917" s="275"/>
      <c r="F917" s="275"/>
      <c r="G917" s="275"/>
      <c r="H917" s="275"/>
      <c r="I917" s="275"/>
      <c r="J917" s="275"/>
      <c r="K917" s="275"/>
      <c r="L917" s="275"/>
      <c r="M917" s="275"/>
      <c r="N917" s="275"/>
    </row>
    <row r="918">
      <c r="B918" s="275"/>
      <c r="C918" s="275"/>
      <c r="D918" s="275"/>
      <c r="E918" s="275"/>
      <c r="F918" s="275"/>
      <c r="G918" s="275"/>
      <c r="H918" s="275"/>
      <c r="I918" s="275"/>
      <c r="J918" s="275"/>
      <c r="K918" s="275"/>
      <c r="L918" s="275"/>
      <c r="M918" s="275"/>
      <c r="N918" s="275"/>
    </row>
    <row r="919">
      <c r="B919" s="275"/>
      <c r="C919" s="275"/>
      <c r="D919" s="275"/>
      <c r="E919" s="275"/>
      <c r="F919" s="275"/>
      <c r="G919" s="275"/>
      <c r="H919" s="275"/>
      <c r="I919" s="275"/>
      <c r="J919" s="275"/>
      <c r="K919" s="275"/>
      <c r="L919" s="275"/>
      <c r="M919" s="275"/>
      <c r="N919" s="275"/>
    </row>
    <row r="920">
      <c r="B920" s="275"/>
      <c r="C920" s="275"/>
      <c r="D920" s="275"/>
      <c r="E920" s="275"/>
      <c r="F920" s="275"/>
      <c r="G920" s="275"/>
      <c r="H920" s="275"/>
      <c r="I920" s="275"/>
      <c r="J920" s="275"/>
      <c r="K920" s="275"/>
      <c r="L920" s="275"/>
      <c r="M920" s="275"/>
      <c r="N920" s="275"/>
    </row>
    <row r="921">
      <c r="B921" s="275"/>
      <c r="C921" s="275"/>
      <c r="D921" s="275"/>
      <c r="E921" s="275"/>
      <c r="F921" s="275"/>
      <c r="G921" s="275"/>
      <c r="H921" s="275"/>
      <c r="I921" s="275"/>
      <c r="J921" s="275"/>
      <c r="K921" s="275"/>
      <c r="L921" s="275"/>
      <c r="M921" s="275"/>
      <c r="N921" s="275"/>
    </row>
    <row r="922">
      <c r="B922" s="275"/>
      <c r="C922" s="275"/>
      <c r="D922" s="275"/>
      <c r="E922" s="275"/>
      <c r="F922" s="275"/>
      <c r="G922" s="275"/>
      <c r="H922" s="275"/>
      <c r="I922" s="275"/>
      <c r="J922" s="275"/>
      <c r="K922" s="275"/>
      <c r="L922" s="275"/>
      <c r="M922" s="275"/>
      <c r="N922" s="275"/>
    </row>
    <row r="923">
      <c r="B923" s="275"/>
      <c r="C923" s="275"/>
      <c r="D923" s="275"/>
      <c r="E923" s="275"/>
      <c r="F923" s="275"/>
      <c r="G923" s="275"/>
      <c r="H923" s="275"/>
      <c r="I923" s="275"/>
      <c r="J923" s="275"/>
      <c r="K923" s="275"/>
      <c r="L923" s="275"/>
      <c r="M923" s="275"/>
      <c r="N923" s="275"/>
    </row>
    <row r="924">
      <c r="B924" s="275"/>
      <c r="C924" s="275"/>
      <c r="D924" s="275"/>
      <c r="E924" s="275"/>
      <c r="F924" s="275"/>
      <c r="G924" s="275"/>
      <c r="H924" s="275"/>
      <c r="I924" s="275"/>
      <c r="J924" s="275"/>
      <c r="K924" s="275"/>
      <c r="L924" s="275"/>
      <c r="M924" s="275"/>
      <c r="N924" s="275"/>
    </row>
    <row r="925">
      <c r="B925" s="275"/>
      <c r="C925" s="275"/>
      <c r="D925" s="275"/>
      <c r="E925" s="275"/>
      <c r="F925" s="275"/>
      <c r="G925" s="275"/>
      <c r="H925" s="275"/>
      <c r="I925" s="275"/>
      <c r="J925" s="275"/>
      <c r="K925" s="275"/>
      <c r="L925" s="275"/>
      <c r="M925" s="275"/>
      <c r="N925" s="275"/>
    </row>
    <row r="926">
      <c r="B926" s="275"/>
      <c r="C926" s="275"/>
      <c r="D926" s="275"/>
      <c r="E926" s="275"/>
      <c r="F926" s="275"/>
      <c r="G926" s="275"/>
      <c r="H926" s="275"/>
      <c r="I926" s="275"/>
      <c r="J926" s="275"/>
      <c r="K926" s="275"/>
      <c r="L926" s="275"/>
      <c r="M926" s="275"/>
      <c r="N926" s="275"/>
    </row>
    <row r="927">
      <c r="B927" s="275"/>
      <c r="C927" s="275"/>
      <c r="D927" s="275"/>
      <c r="E927" s="275"/>
      <c r="F927" s="275"/>
      <c r="G927" s="275"/>
      <c r="H927" s="275"/>
      <c r="I927" s="275"/>
      <c r="J927" s="275"/>
      <c r="K927" s="275"/>
      <c r="L927" s="275"/>
      <c r="M927" s="275"/>
      <c r="N927" s="275"/>
    </row>
    <row r="928">
      <c r="B928" s="275"/>
      <c r="C928" s="275"/>
      <c r="D928" s="275"/>
      <c r="E928" s="275"/>
      <c r="F928" s="275"/>
      <c r="G928" s="275"/>
      <c r="H928" s="275"/>
      <c r="I928" s="275"/>
      <c r="J928" s="275"/>
      <c r="K928" s="275"/>
      <c r="L928" s="275"/>
      <c r="M928" s="275"/>
      <c r="N928" s="275"/>
    </row>
    <row r="929">
      <c r="B929" s="275"/>
      <c r="C929" s="275"/>
      <c r="D929" s="275"/>
      <c r="E929" s="275"/>
      <c r="F929" s="275"/>
      <c r="G929" s="275"/>
      <c r="H929" s="275"/>
      <c r="I929" s="275"/>
      <c r="J929" s="275"/>
      <c r="K929" s="275"/>
      <c r="L929" s="275"/>
      <c r="M929" s="275"/>
      <c r="N929" s="275"/>
    </row>
    <row r="930">
      <c r="B930" s="275"/>
      <c r="C930" s="275"/>
      <c r="D930" s="275"/>
      <c r="E930" s="275"/>
      <c r="F930" s="275"/>
      <c r="G930" s="275"/>
      <c r="H930" s="275"/>
      <c r="I930" s="275"/>
      <c r="J930" s="275"/>
      <c r="K930" s="275"/>
      <c r="L930" s="275"/>
      <c r="M930" s="275"/>
      <c r="N930" s="275"/>
    </row>
    <row r="931">
      <c r="B931" s="275"/>
      <c r="C931" s="275"/>
      <c r="D931" s="275"/>
      <c r="E931" s="275"/>
      <c r="F931" s="275"/>
      <c r="G931" s="275"/>
      <c r="H931" s="275"/>
      <c r="I931" s="275"/>
      <c r="J931" s="275"/>
      <c r="K931" s="275"/>
      <c r="L931" s="275"/>
      <c r="M931" s="275"/>
      <c r="N931" s="275"/>
    </row>
    <row r="932">
      <c r="B932" s="275"/>
      <c r="C932" s="275"/>
      <c r="D932" s="275"/>
      <c r="E932" s="275"/>
      <c r="F932" s="275"/>
      <c r="G932" s="275"/>
      <c r="H932" s="275"/>
      <c r="I932" s="275"/>
      <c r="J932" s="275"/>
      <c r="K932" s="275"/>
      <c r="L932" s="275"/>
      <c r="M932" s="275"/>
      <c r="N932" s="275"/>
    </row>
    <row r="933">
      <c r="B933" s="275"/>
      <c r="C933" s="275"/>
      <c r="D933" s="275"/>
      <c r="E933" s="275"/>
      <c r="F933" s="275"/>
      <c r="G933" s="275"/>
      <c r="H933" s="275"/>
      <c r="I933" s="275"/>
      <c r="J933" s="275"/>
      <c r="K933" s="275"/>
      <c r="L933" s="275"/>
      <c r="M933" s="275"/>
      <c r="N933" s="275"/>
    </row>
    <row r="934">
      <c r="B934" s="275"/>
      <c r="C934" s="275"/>
      <c r="D934" s="275"/>
      <c r="E934" s="275"/>
      <c r="F934" s="275"/>
      <c r="G934" s="275"/>
      <c r="H934" s="275"/>
      <c r="I934" s="275"/>
      <c r="J934" s="275"/>
      <c r="K934" s="275"/>
      <c r="L934" s="275"/>
      <c r="M934" s="275"/>
      <c r="N934" s="275"/>
    </row>
    <row r="935">
      <c r="B935" s="275"/>
      <c r="C935" s="275"/>
      <c r="D935" s="275"/>
      <c r="E935" s="275"/>
      <c r="F935" s="275"/>
      <c r="G935" s="275"/>
      <c r="H935" s="275"/>
      <c r="I935" s="275"/>
      <c r="J935" s="275"/>
      <c r="K935" s="275"/>
      <c r="L935" s="275"/>
      <c r="M935" s="275"/>
      <c r="N935" s="275"/>
    </row>
    <row r="936">
      <c r="B936" s="275"/>
      <c r="C936" s="275"/>
      <c r="D936" s="275"/>
      <c r="E936" s="275"/>
      <c r="F936" s="275"/>
      <c r="G936" s="275"/>
      <c r="H936" s="275"/>
      <c r="I936" s="275"/>
      <c r="J936" s="275"/>
      <c r="K936" s="275"/>
      <c r="L936" s="275"/>
      <c r="M936" s="275"/>
      <c r="N936" s="275"/>
    </row>
    <row r="937">
      <c r="B937" s="275"/>
      <c r="C937" s="275"/>
      <c r="D937" s="275"/>
      <c r="E937" s="275"/>
      <c r="F937" s="275"/>
      <c r="G937" s="275"/>
      <c r="H937" s="275"/>
      <c r="I937" s="275"/>
      <c r="J937" s="275"/>
      <c r="K937" s="275"/>
      <c r="L937" s="275"/>
      <c r="M937" s="275"/>
      <c r="N937" s="275"/>
    </row>
    <row r="938">
      <c r="B938" s="275"/>
      <c r="C938" s="275"/>
      <c r="D938" s="275"/>
      <c r="E938" s="275"/>
      <c r="F938" s="275"/>
      <c r="G938" s="275"/>
      <c r="H938" s="275"/>
      <c r="I938" s="275"/>
      <c r="J938" s="275"/>
      <c r="K938" s="275"/>
      <c r="L938" s="275"/>
      <c r="M938" s="275"/>
      <c r="N938" s="275"/>
    </row>
    <row r="939">
      <c r="B939" s="275"/>
      <c r="C939" s="275"/>
      <c r="D939" s="275"/>
      <c r="E939" s="275"/>
      <c r="F939" s="275"/>
      <c r="G939" s="275"/>
      <c r="H939" s="275"/>
      <c r="I939" s="275"/>
      <c r="J939" s="275"/>
      <c r="K939" s="275"/>
      <c r="L939" s="275"/>
      <c r="M939" s="275"/>
      <c r="N939" s="275"/>
    </row>
    <row r="940">
      <c r="B940" s="275"/>
      <c r="C940" s="275"/>
      <c r="D940" s="275"/>
      <c r="E940" s="275"/>
      <c r="F940" s="275"/>
      <c r="G940" s="275"/>
      <c r="H940" s="275"/>
      <c r="I940" s="275"/>
      <c r="J940" s="275"/>
      <c r="K940" s="275"/>
      <c r="L940" s="275"/>
      <c r="M940" s="275"/>
      <c r="N940" s="275"/>
    </row>
    <row r="941">
      <c r="B941" s="275"/>
      <c r="C941" s="275"/>
      <c r="D941" s="275"/>
      <c r="E941" s="275"/>
      <c r="F941" s="275"/>
      <c r="G941" s="275"/>
      <c r="H941" s="275"/>
      <c r="I941" s="275"/>
      <c r="J941" s="275"/>
      <c r="K941" s="275"/>
      <c r="L941" s="275"/>
      <c r="M941" s="275"/>
      <c r="N941" s="275"/>
    </row>
    <row r="942">
      <c r="B942" s="275"/>
      <c r="C942" s="275"/>
      <c r="D942" s="275"/>
      <c r="E942" s="275"/>
      <c r="F942" s="275"/>
      <c r="G942" s="275"/>
      <c r="H942" s="275"/>
      <c r="I942" s="275"/>
      <c r="J942" s="275"/>
      <c r="K942" s="275"/>
      <c r="L942" s="275"/>
      <c r="M942" s="275"/>
      <c r="N942" s="275"/>
    </row>
    <row r="943">
      <c r="B943" s="275"/>
      <c r="C943" s="275"/>
      <c r="D943" s="275"/>
      <c r="E943" s="275"/>
      <c r="F943" s="275"/>
      <c r="G943" s="275"/>
      <c r="H943" s="275"/>
      <c r="I943" s="275"/>
      <c r="J943" s="275"/>
      <c r="K943" s="275"/>
      <c r="L943" s="275"/>
      <c r="M943" s="275"/>
      <c r="N943" s="275"/>
    </row>
    <row r="944">
      <c r="B944" s="275"/>
      <c r="C944" s="275"/>
      <c r="D944" s="275"/>
      <c r="E944" s="275"/>
      <c r="F944" s="275"/>
      <c r="G944" s="275"/>
      <c r="H944" s="275"/>
      <c r="I944" s="275"/>
      <c r="J944" s="275"/>
      <c r="K944" s="275"/>
      <c r="L944" s="275"/>
      <c r="M944" s="275"/>
      <c r="N944" s="275"/>
    </row>
    <row r="945">
      <c r="B945" s="275"/>
      <c r="C945" s="275"/>
      <c r="D945" s="275"/>
      <c r="E945" s="275"/>
      <c r="F945" s="275"/>
      <c r="G945" s="275"/>
      <c r="H945" s="275"/>
      <c r="I945" s="275"/>
      <c r="J945" s="275"/>
      <c r="K945" s="275"/>
      <c r="L945" s="275"/>
      <c r="M945" s="275"/>
      <c r="N945" s="275"/>
    </row>
    <row r="946">
      <c r="B946" s="275"/>
      <c r="C946" s="275"/>
      <c r="D946" s="275"/>
      <c r="E946" s="275"/>
      <c r="F946" s="275"/>
      <c r="G946" s="275"/>
      <c r="H946" s="275"/>
      <c r="I946" s="275"/>
      <c r="J946" s="275"/>
      <c r="K946" s="275"/>
      <c r="L946" s="275"/>
      <c r="M946" s="275"/>
      <c r="N946" s="275"/>
    </row>
    <row r="947">
      <c r="B947" s="275"/>
      <c r="C947" s="275"/>
      <c r="D947" s="275"/>
      <c r="E947" s="275"/>
      <c r="F947" s="275"/>
      <c r="G947" s="275"/>
      <c r="H947" s="275"/>
      <c r="I947" s="275"/>
      <c r="J947" s="275"/>
      <c r="K947" s="275"/>
      <c r="L947" s="275"/>
      <c r="M947" s="275"/>
      <c r="N947" s="275"/>
    </row>
    <row r="948">
      <c r="B948" s="275"/>
      <c r="C948" s="275"/>
      <c r="D948" s="275"/>
      <c r="E948" s="275"/>
      <c r="F948" s="275"/>
      <c r="G948" s="275"/>
      <c r="H948" s="275"/>
      <c r="I948" s="275"/>
      <c r="J948" s="275"/>
      <c r="K948" s="275"/>
      <c r="L948" s="275"/>
      <c r="M948" s="275"/>
      <c r="N948" s="275"/>
    </row>
    <row r="949">
      <c r="B949" s="275"/>
      <c r="C949" s="275"/>
      <c r="D949" s="275"/>
      <c r="E949" s="275"/>
      <c r="F949" s="275"/>
      <c r="G949" s="275"/>
      <c r="H949" s="275"/>
      <c r="I949" s="275"/>
      <c r="J949" s="275"/>
      <c r="K949" s="275"/>
      <c r="L949" s="275"/>
      <c r="M949" s="275"/>
      <c r="N949" s="275"/>
    </row>
    <row r="950">
      <c r="B950" s="275"/>
      <c r="C950" s="275"/>
      <c r="D950" s="275"/>
      <c r="E950" s="275"/>
      <c r="F950" s="275"/>
      <c r="G950" s="275"/>
      <c r="H950" s="275"/>
      <c r="I950" s="275"/>
      <c r="J950" s="275"/>
      <c r="K950" s="275"/>
      <c r="L950" s="275"/>
      <c r="M950" s="275"/>
      <c r="N950" s="275"/>
    </row>
    <row r="951">
      <c r="B951" s="275"/>
      <c r="C951" s="275"/>
      <c r="D951" s="275"/>
      <c r="E951" s="275"/>
      <c r="F951" s="275"/>
      <c r="G951" s="275"/>
      <c r="H951" s="275"/>
      <c r="I951" s="275"/>
      <c r="J951" s="275"/>
      <c r="K951" s="275"/>
      <c r="L951" s="275"/>
      <c r="M951" s="275"/>
      <c r="N951" s="275"/>
    </row>
    <row r="952">
      <c r="B952" s="275"/>
      <c r="C952" s="275"/>
      <c r="D952" s="275"/>
      <c r="E952" s="275"/>
      <c r="F952" s="275"/>
      <c r="G952" s="275"/>
      <c r="H952" s="275"/>
      <c r="I952" s="275"/>
      <c r="J952" s="275"/>
      <c r="K952" s="275"/>
      <c r="L952" s="275"/>
      <c r="M952" s="275"/>
      <c r="N952" s="275"/>
    </row>
    <row r="953">
      <c r="B953" s="275"/>
      <c r="C953" s="275"/>
      <c r="D953" s="275"/>
      <c r="E953" s="275"/>
      <c r="F953" s="275"/>
      <c r="G953" s="275"/>
      <c r="H953" s="275"/>
      <c r="I953" s="275"/>
      <c r="J953" s="275"/>
      <c r="K953" s="275"/>
      <c r="L953" s="275"/>
      <c r="M953" s="275"/>
      <c r="N953" s="275"/>
    </row>
    <row r="954">
      <c r="B954" s="275"/>
      <c r="C954" s="275"/>
      <c r="D954" s="275"/>
      <c r="E954" s="275"/>
      <c r="F954" s="275"/>
      <c r="G954" s="275"/>
      <c r="H954" s="275"/>
      <c r="I954" s="275"/>
      <c r="J954" s="275"/>
      <c r="K954" s="275"/>
      <c r="L954" s="275"/>
      <c r="M954" s="275"/>
      <c r="N954" s="275"/>
    </row>
    <row r="955">
      <c r="B955" s="275"/>
      <c r="C955" s="275"/>
      <c r="D955" s="275"/>
      <c r="E955" s="275"/>
      <c r="F955" s="275"/>
      <c r="G955" s="275"/>
      <c r="H955" s="275"/>
      <c r="I955" s="275"/>
      <c r="J955" s="275"/>
      <c r="K955" s="275"/>
      <c r="L955" s="275"/>
      <c r="M955" s="275"/>
      <c r="N955" s="275"/>
    </row>
    <row r="956">
      <c r="B956" s="275"/>
      <c r="C956" s="275"/>
      <c r="D956" s="275"/>
      <c r="E956" s="275"/>
      <c r="F956" s="275"/>
      <c r="G956" s="275"/>
      <c r="H956" s="275"/>
      <c r="I956" s="275"/>
      <c r="J956" s="275"/>
      <c r="K956" s="275"/>
      <c r="L956" s="275"/>
      <c r="M956" s="275"/>
      <c r="N956" s="275"/>
    </row>
    <row r="957">
      <c r="B957" s="275"/>
      <c r="C957" s="275"/>
      <c r="D957" s="275"/>
      <c r="E957" s="275"/>
      <c r="F957" s="275"/>
      <c r="G957" s="275"/>
      <c r="H957" s="275"/>
      <c r="I957" s="275"/>
      <c r="J957" s="275"/>
      <c r="K957" s="275"/>
      <c r="L957" s="275"/>
      <c r="M957" s="275"/>
      <c r="N957" s="275"/>
    </row>
    <row r="958">
      <c r="B958" s="275"/>
      <c r="C958" s="275"/>
      <c r="D958" s="275"/>
      <c r="E958" s="275"/>
      <c r="F958" s="275"/>
      <c r="G958" s="275"/>
      <c r="H958" s="275"/>
      <c r="I958" s="275"/>
      <c r="J958" s="275"/>
      <c r="K958" s="275"/>
      <c r="L958" s="275"/>
      <c r="M958" s="275"/>
      <c r="N958" s="275"/>
    </row>
    <row r="959">
      <c r="B959" s="275"/>
      <c r="C959" s="275"/>
      <c r="D959" s="275"/>
      <c r="E959" s="275"/>
      <c r="F959" s="275"/>
      <c r="G959" s="275"/>
      <c r="H959" s="275"/>
      <c r="I959" s="275"/>
      <c r="J959" s="275"/>
      <c r="K959" s="275"/>
      <c r="L959" s="275"/>
      <c r="M959" s="275"/>
      <c r="N959" s="275"/>
    </row>
    <row r="960">
      <c r="B960" s="275"/>
      <c r="C960" s="275"/>
      <c r="D960" s="275"/>
      <c r="E960" s="275"/>
      <c r="F960" s="275"/>
      <c r="G960" s="275"/>
      <c r="H960" s="275"/>
      <c r="I960" s="275"/>
      <c r="J960" s="275"/>
      <c r="K960" s="275"/>
      <c r="L960" s="275"/>
      <c r="M960" s="275"/>
      <c r="N960" s="275"/>
    </row>
    <row r="961">
      <c r="B961" s="275"/>
      <c r="C961" s="275"/>
      <c r="D961" s="275"/>
      <c r="E961" s="275"/>
      <c r="F961" s="275"/>
      <c r="G961" s="275"/>
      <c r="H961" s="275"/>
      <c r="I961" s="275"/>
      <c r="J961" s="275"/>
      <c r="K961" s="275"/>
      <c r="L961" s="275"/>
      <c r="M961" s="275"/>
      <c r="N961" s="275"/>
    </row>
    <row r="962">
      <c r="B962" s="275"/>
      <c r="C962" s="275"/>
      <c r="D962" s="275"/>
      <c r="E962" s="275"/>
      <c r="F962" s="275"/>
      <c r="G962" s="275"/>
      <c r="H962" s="275"/>
      <c r="I962" s="275"/>
      <c r="J962" s="275"/>
      <c r="K962" s="275"/>
      <c r="L962" s="275"/>
      <c r="M962" s="275"/>
      <c r="N962" s="275"/>
    </row>
    <row r="963">
      <c r="B963" s="275"/>
      <c r="C963" s="275"/>
      <c r="D963" s="275"/>
      <c r="E963" s="275"/>
      <c r="F963" s="275"/>
      <c r="G963" s="275"/>
      <c r="H963" s="275"/>
      <c r="I963" s="275"/>
      <c r="J963" s="275"/>
      <c r="K963" s="275"/>
      <c r="L963" s="275"/>
      <c r="M963" s="275"/>
      <c r="N963" s="275"/>
    </row>
    <row r="964">
      <c r="B964" s="275"/>
      <c r="C964" s="275"/>
      <c r="D964" s="275"/>
      <c r="E964" s="275"/>
      <c r="F964" s="275"/>
      <c r="G964" s="275"/>
      <c r="H964" s="275"/>
      <c r="I964" s="275"/>
      <c r="J964" s="275"/>
      <c r="K964" s="275"/>
      <c r="L964" s="275"/>
      <c r="M964" s="275"/>
      <c r="N964" s="275"/>
    </row>
    <row r="965">
      <c r="B965" s="275"/>
      <c r="C965" s="275"/>
      <c r="D965" s="275"/>
      <c r="E965" s="275"/>
      <c r="F965" s="275"/>
      <c r="G965" s="275"/>
      <c r="H965" s="275"/>
      <c r="I965" s="275"/>
      <c r="J965" s="275"/>
      <c r="K965" s="275"/>
      <c r="L965" s="275"/>
      <c r="M965" s="275"/>
      <c r="N965" s="275"/>
    </row>
    <row r="966">
      <c r="B966" s="275"/>
      <c r="C966" s="275"/>
      <c r="D966" s="275"/>
      <c r="E966" s="275"/>
      <c r="F966" s="275"/>
      <c r="G966" s="275"/>
      <c r="H966" s="275"/>
      <c r="I966" s="275"/>
      <c r="J966" s="275"/>
      <c r="K966" s="275"/>
      <c r="L966" s="275"/>
      <c r="M966" s="275"/>
      <c r="N966" s="275"/>
    </row>
    <row r="967">
      <c r="B967" s="275"/>
      <c r="C967" s="275"/>
      <c r="D967" s="275"/>
      <c r="E967" s="275"/>
      <c r="F967" s="275"/>
      <c r="G967" s="275"/>
      <c r="H967" s="275"/>
      <c r="I967" s="275"/>
      <c r="J967" s="275"/>
      <c r="K967" s="275"/>
      <c r="L967" s="275"/>
      <c r="M967" s="275"/>
      <c r="N967" s="275"/>
    </row>
    <row r="968">
      <c r="B968" s="275"/>
      <c r="C968" s="275"/>
      <c r="D968" s="275"/>
      <c r="E968" s="275"/>
      <c r="F968" s="275"/>
      <c r="G968" s="275"/>
      <c r="H968" s="275"/>
      <c r="I968" s="275"/>
      <c r="J968" s="275"/>
      <c r="K968" s="275"/>
      <c r="L968" s="275"/>
      <c r="M968" s="275"/>
      <c r="N968" s="275"/>
    </row>
    <row r="969">
      <c r="B969" s="275"/>
      <c r="C969" s="275"/>
      <c r="D969" s="275"/>
      <c r="E969" s="275"/>
      <c r="F969" s="275"/>
      <c r="G969" s="275"/>
      <c r="H969" s="275"/>
      <c r="I969" s="275"/>
      <c r="J969" s="275"/>
      <c r="K969" s="275"/>
      <c r="L969" s="275"/>
      <c r="M969" s="275"/>
      <c r="N969" s="275"/>
    </row>
    <row r="970">
      <c r="B970" s="275"/>
      <c r="C970" s="275"/>
      <c r="D970" s="275"/>
      <c r="E970" s="275"/>
      <c r="F970" s="275"/>
      <c r="G970" s="275"/>
      <c r="H970" s="275"/>
      <c r="I970" s="275"/>
      <c r="J970" s="275"/>
      <c r="K970" s="275"/>
      <c r="L970" s="275"/>
      <c r="M970" s="275"/>
      <c r="N970" s="275"/>
    </row>
    <row r="971">
      <c r="B971" s="275"/>
      <c r="C971" s="275"/>
      <c r="D971" s="275"/>
      <c r="E971" s="275"/>
      <c r="F971" s="275"/>
      <c r="G971" s="275"/>
      <c r="H971" s="275"/>
      <c r="I971" s="275"/>
      <c r="J971" s="275"/>
      <c r="K971" s="275"/>
      <c r="L971" s="275"/>
      <c r="M971" s="275"/>
      <c r="N971" s="275"/>
    </row>
    <row r="972">
      <c r="B972" s="275"/>
      <c r="C972" s="275"/>
      <c r="D972" s="275"/>
      <c r="E972" s="275"/>
      <c r="F972" s="275"/>
      <c r="G972" s="275"/>
      <c r="H972" s="275"/>
      <c r="I972" s="275"/>
      <c r="J972" s="275"/>
      <c r="K972" s="275"/>
      <c r="L972" s="275"/>
      <c r="M972" s="275"/>
      <c r="N972" s="275"/>
    </row>
    <row r="973">
      <c r="B973" s="275"/>
      <c r="C973" s="275"/>
      <c r="D973" s="275"/>
      <c r="E973" s="275"/>
      <c r="F973" s="275"/>
      <c r="G973" s="275"/>
      <c r="H973" s="275"/>
      <c r="I973" s="275"/>
      <c r="J973" s="275"/>
      <c r="K973" s="275"/>
      <c r="L973" s="275"/>
      <c r="M973" s="275"/>
      <c r="N973" s="275"/>
    </row>
    <row r="974">
      <c r="B974" s="275"/>
      <c r="C974" s="275"/>
      <c r="D974" s="275"/>
      <c r="E974" s="275"/>
      <c r="F974" s="275"/>
      <c r="G974" s="275"/>
      <c r="H974" s="275"/>
      <c r="I974" s="275"/>
      <c r="J974" s="275"/>
      <c r="K974" s="275"/>
      <c r="L974" s="275"/>
      <c r="M974" s="275"/>
      <c r="N974" s="275"/>
    </row>
    <row r="975">
      <c r="B975" s="275"/>
      <c r="C975" s="275"/>
      <c r="D975" s="275"/>
      <c r="E975" s="275"/>
      <c r="F975" s="275"/>
      <c r="G975" s="275"/>
      <c r="H975" s="275"/>
      <c r="I975" s="275"/>
      <c r="J975" s="275"/>
      <c r="K975" s="275"/>
      <c r="L975" s="275"/>
      <c r="M975" s="275"/>
      <c r="N975" s="275"/>
    </row>
    <row r="976">
      <c r="B976" s="275"/>
      <c r="C976" s="275"/>
      <c r="D976" s="275"/>
      <c r="E976" s="275"/>
      <c r="F976" s="275"/>
      <c r="G976" s="275"/>
      <c r="H976" s="275"/>
      <c r="I976" s="275"/>
      <c r="J976" s="275"/>
      <c r="K976" s="275"/>
      <c r="L976" s="275"/>
      <c r="M976" s="275"/>
      <c r="N976" s="275"/>
    </row>
    <row r="977">
      <c r="B977" s="275"/>
      <c r="C977" s="275"/>
      <c r="D977" s="275"/>
      <c r="E977" s="275"/>
      <c r="F977" s="275"/>
      <c r="G977" s="275"/>
      <c r="H977" s="275"/>
      <c r="I977" s="275"/>
      <c r="J977" s="275"/>
      <c r="K977" s="275"/>
      <c r="L977" s="275"/>
      <c r="M977" s="275"/>
      <c r="N977" s="275"/>
    </row>
    <row r="978">
      <c r="B978" s="275"/>
      <c r="C978" s="275"/>
      <c r="D978" s="275"/>
      <c r="E978" s="275"/>
      <c r="F978" s="275"/>
      <c r="G978" s="275"/>
      <c r="H978" s="275"/>
      <c r="I978" s="275"/>
      <c r="J978" s="275"/>
      <c r="K978" s="275"/>
      <c r="L978" s="275"/>
      <c r="M978" s="275"/>
      <c r="N978" s="275"/>
    </row>
    <row r="979">
      <c r="B979" s="275"/>
      <c r="C979" s="275"/>
      <c r="D979" s="275"/>
      <c r="E979" s="275"/>
      <c r="F979" s="275"/>
      <c r="G979" s="275"/>
      <c r="H979" s="275"/>
      <c r="I979" s="275"/>
      <c r="J979" s="275"/>
      <c r="K979" s="275"/>
      <c r="L979" s="275"/>
      <c r="M979" s="275"/>
      <c r="N979" s="275"/>
    </row>
    <row r="980">
      <c r="B980" s="275"/>
      <c r="C980" s="275"/>
      <c r="D980" s="275"/>
      <c r="E980" s="275"/>
      <c r="F980" s="275"/>
      <c r="G980" s="275"/>
      <c r="H980" s="275"/>
      <c r="I980" s="275"/>
      <c r="J980" s="275"/>
      <c r="K980" s="275"/>
      <c r="L980" s="275"/>
      <c r="M980" s="275"/>
      <c r="N980" s="275"/>
    </row>
    <row r="981">
      <c r="B981" s="275"/>
      <c r="C981" s="275"/>
      <c r="D981" s="275"/>
      <c r="E981" s="275"/>
      <c r="F981" s="275"/>
      <c r="G981" s="275"/>
      <c r="H981" s="275"/>
      <c r="I981" s="275"/>
      <c r="J981" s="275"/>
      <c r="K981" s="275"/>
      <c r="L981" s="275"/>
      <c r="M981" s="275"/>
      <c r="N981" s="275"/>
    </row>
    <row r="982">
      <c r="B982" s="275"/>
      <c r="C982" s="275"/>
      <c r="D982" s="275"/>
      <c r="E982" s="275"/>
      <c r="F982" s="275"/>
      <c r="G982" s="275"/>
      <c r="H982" s="275"/>
      <c r="I982" s="275"/>
      <c r="J982" s="275"/>
      <c r="K982" s="275"/>
      <c r="L982" s="275"/>
      <c r="M982" s="275"/>
      <c r="N982" s="275"/>
    </row>
    <row r="983">
      <c r="B983" s="275"/>
      <c r="C983" s="275"/>
      <c r="D983" s="275"/>
      <c r="E983" s="275"/>
      <c r="F983" s="275"/>
      <c r="G983" s="275"/>
      <c r="H983" s="275"/>
      <c r="I983" s="275"/>
      <c r="J983" s="275"/>
      <c r="K983" s="275"/>
      <c r="L983" s="275"/>
      <c r="M983" s="275"/>
      <c r="N983" s="275"/>
    </row>
    <row r="984">
      <c r="B984" s="275"/>
      <c r="C984" s="275"/>
      <c r="D984" s="275"/>
      <c r="E984" s="275"/>
      <c r="F984" s="275"/>
      <c r="G984" s="275"/>
      <c r="H984" s="275"/>
      <c r="I984" s="275"/>
      <c r="J984" s="275"/>
      <c r="K984" s="275"/>
      <c r="L984" s="275"/>
      <c r="M984" s="275"/>
      <c r="N984" s="275"/>
    </row>
    <row r="985">
      <c r="B985" s="275"/>
      <c r="C985" s="275"/>
      <c r="D985" s="275"/>
      <c r="E985" s="275"/>
      <c r="F985" s="275"/>
      <c r="G985" s="275"/>
      <c r="H985" s="275"/>
      <c r="I985" s="275"/>
      <c r="J985" s="275"/>
      <c r="K985" s="275"/>
      <c r="L985" s="275"/>
      <c r="M985" s="275"/>
      <c r="N985" s="275"/>
    </row>
    <row r="986">
      <c r="B986" s="275"/>
      <c r="C986" s="275"/>
      <c r="D986" s="275"/>
      <c r="E986" s="275"/>
      <c r="F986" s="275"/>
      <c r="G986" s="275"/>
      <c r="H986" s="275"/>
      <c r="I986" s="275"/>
      <c r="J986" s="275"/>
      <c r="K986" s="275"/>
      <c r="L986" s="275"/>
      <c r="M986" s="275"/>
      <c r="N986" s="275"/>
    </row>
    <row r="987">
      <c r="B987" s="275"/>
      <c r="C987" s="275"/>
      <c r="D987" s="275"/>
      <c r="E987" s="275"/>
      <c r="F987" s="275"/>
      <c r="G987" s="275"/>
      <c r="H987" s="275"/>
      <c r="I987" s="275"/>
      <c r="J987" s="275"/>
      <c r="K987" s="275"/>
      <c r="L987" s="275"/>
      <c r="M987" s="275"/>
      <c r="N987" s="275"/>
    </row>
    <row r="988">
      <c r="B988" s="275"/>
      <c r="C988" s="275"/>
      <c r="D988" s="275"/>
      <c r="E988" s="275"/>
      <c r="F988" s="275"/>
      <c r="G988" s="275"/>
      <c r="H988" s="275"/>
      <c r="I988" s="275"/>
      <c r="J988" s="275"/>
      <c r="K988" s="275"/>
      <c r="L988" s="275"/>
      <c r="M988" s="275"/>
      <c r="N988" s="275"/>
    </row>
    <row r="989">
      <c r="B989" s="275"/>
      <c r="C989" s="275"/>
      <c r="D989" s="275"/>
      <c r="E989" s="275"/>
      <c r="F989" s="275"/>
      <c r="G989" s="275"/>
      <c r="H989" s="275"/>
      <c r="I989" s="275"/>
      <c r="J989" s="275"/>
      <c r="K989" s="275"/>
      <c r="L989" s="275"/>
      <c r="M989" s="275"/>
      <c r="N989" s="275"/>
    </row>
    <row r="990">
      <c r="B990" s="275"/>
      <c r="C990" s="275"/>
      <c r="D990" s="275"/>
      <c r="E990" s="275"/>
      <c r="F990" s="275"/>
      <c r="G990" s="275"/>
      <c r="H990" s="275"/>
      <c r="I990" s="275"/>
      <c r="J990" s="275"/>
      <c r="K990" s="275"/>
      <c r="L990" s="275"/>
      <c r="M990" s="275"/>
      <c r="N990" s="275"/>
    </row>
    <row r="991">
      <c r="B991" s="275"/>
      <c r="C991" s="275"/>
      <c r="D991" s="275"/>
      <c r="E991" s="275"/>
      <c r="F991" s="275"/>
      <c r="G991" s="275"/>
      <c r="H991" s="275"/>
      <c r="I991" s="275"/>
      <c r="J991" s="275"/>
      <c r="K991" s="275"/>
      <c r="L991" s="275"/>
      <c r="M991" s="275"/>
      <c r="N991" s="275"/>
    </row>
    <row r="992">
      <c r="B992" s="275"/>
      <c r="C992" s="275"/>
      <c r="D992" s="275"/>
      <c r="E992" s="275"/>
      <c r="F992" s="275"/>
      <c r="G992" s="275"/>
      <c r="H992" s="275"/>
      <c r="I992" s="275"/>
      <c r="J992" s="275"/>
      <c r="K992" s="275"/>
      <c r="L992" s="275"/>
      <c r="M992" s="275"/>
      <c r="N992" s="275"/>
    </row>
    <row r="993">
      <c r="B993" s="275"/>
      <c r="C993" s="275"/>
      <c r="D993" s="275"/>
      <c r="E993" s="275"/>
      <c r="F993" s="275"/>
      <c r="G993" s="275"/>
      <c r="H993" s="275"/>
      <c r="I993" s="275"/>
      <c r="J993" s="275"/>
      <c r="K993" s="275"/>
      <c r="L993" s="275"/>
      <c r="M993" s="275"/>
      <c r="N993" s="275"/>
    </row>
    <row r="994">
      <c r="B994" s="275"/>
      <c r="C994" s="275"/>
      <c r="D994" s="275"/>
      <c r="E994" s="275"/>
      <c r="F994" s="275"/>
      <c r="G994" s="275"/>
      <c r="H994" s="275"/>
      <c r="I994" s="275"/>
      <c r="J994" s="275"/>
      <c r="K994" s="275"/>
      <c r="L994" s="275"/>
      <c r="M994" s="275"/>
      <c r="N994" s="275"/>
    </row>
    <row r="995">
      <c r="B995" s="275"/>
      <c r="C995" s="275"/>
      <c r="D995" s="275"/>
      <c r="E995" s="275"/>
      <c r="F995" s="275"/>
      <c r="G995" s="275"/>
      <c r="H995" s="275"/>
      <c r="I995" s="275"/>
      <c r="J995" s="275"/>
      <c r="K995" s="275"/>
      <c r="L995" s="275"/>
      <c r="M995" s="275"/>
      <c r="N995" s="275"/>
    </row>
    <row r="996">
      <c r="B996" s="275"/>
      <c r="C996" s="275"/>
      <c r="D996" s="275"/>
      <c r="E996" s="275"/>
      <c r="F996" s="275"/>
      <c r="G996" s="275"/>
      <c r="H996" s="275"/>
      <c r="I996" s="275"/>
      <c r="J996" s="275"/>
      <c r="K996" s="275"/>
      <c r="L996" s="275"/>
      <c r="M996" s="275"/>
      <c r="N996" s="275"/>
    </row>
    <row r="997">
      <c r="B997" s="275"/>
      <c r="C997" s="275"/>
      <c r="D997" s="275"/>
      <c r="E997" s="275"/>
      <c r="F997" s="275"/>
      <c r="G997" s="275"/>
      <c r="H997" s="275"/>
      <c r="I997" s="275"/>
      <c r="J997" s="275"/>
      <c r="K997" s="275"/>
      <c r="L997" s="275"/>
      <c r="M997" s="275"/>
      <c r="N997" s="275"/>
    </row>
    <row r="998">
      <c r="B998" s="275"/>
      <c r="C998" s="275"/>
      <c r="D998" s="275"/>
      <c r="E998" s="275"/>
      <c r="F998" s="275"/>
      <c r="G998" s="275"/>
      <c r="H998" s="275"/>
      <c r="I998" s="275"/>
      <c r="J998" s="275"/>
      <c r="K998" s="275"/>
      <c r="L998" s="275"/>
      <c r="M998" s="275"/>
      <c r="N998" s="275"/>
    </row>
    <row r="999">
      <c r="B999" s="275"/>
      <c r="C999" s="275"/>
      <c r="D999" s="275"/>
      <c r="E999" s="275"/>
      <c r="F999" s="275"/>
      <c r="G999" s="275"/>
      <c r="H999" s="275"/>
      <c r="I999" s="275"/>
      <c r="J999" s="275"/>
      <c r="K999" s="275"/>
      <c r="L999" s="275"/>
      <c r="M999" s="275"/>
      <c r="N999" s="275"/>
    </row>
    <row r="1000">
      <c r="B1000" s="275"/>
      <c r="C1000" s="275"/>
      <c r="D1000" s="275"/>
      <c r="E1000" s="275"/>
      <c r="F1000" s="275"/>
      <c r="G1000" s="275"/>
      <c r="H1000" s="275"/>
      <c r="I1000" s="275"/>
      <c r="J1000" s="275"/>
      <c r="K1000" s="275"/>
      <c r="L1000" s="275"/>
      <c r="M1000" s="275"/>
      <c r="N1000" s="275"/>
    </row>
    <row r="1001">
      <c r="B1001" s="275"/>
      <c r="C1001" s="275"/>
      <c r="D1001" s="275"/>
      <c r="E1001" s="275"/>
      <c r="F1001" s="275"/>
      <c r="G1001" s="275"/>
      <c r="H1001" s="275"/>
      <c r="I1001" s="275"/>
      <c r="J1001" s="275"/>
      <c r="K1001" s="275"/>
      <c r="L1001" s="275"/>
      <c r="M1001" s="275"/>
      <c r="N1001" s="275"/>
    </row>
    <row r="1002">
      <c r="B1002" s="275"/>
      <c r="C1002" s="275"/>
      <c r="D1002" s="275"/>
      <c r="E1002" s="275"/>
      <c r="F1002" s="275"/>
      <c r="G1002" s="275"/>
      <c r="H1002" s="275"/>
      <c r="I1002" s="275"/>
      <c r="J1002" s="275"/>
      <c r="K1002" s="275"/>
      <c r="L1002" s="275"/>
      <c r="M1002" s="275"/>
      <c r="N1002" s="275"/>
    </row>
    <row r="1003">
      <c r="B1003" s="275"/>
      <c r="C1003" s="275"/>
      <c r="D1003" s="275"/>
      <c r="E1003" s="275"/>
      <c r="F1003" s="275"/>
      <c r="G1003" s="275"/>
      <c r="H1003" s="275"/>
      <c r="I1003" s="275"/>
      <c r="J1003" s="275"/>
      <c r="K1003" s="275"/>
      <c r="L1003" s="275"/>
      <c r="M1003" s="275"/>
      <c r="N1003" s="275"/>
    </row>
    <row r="1004">
      <c r="B1004" s="275"/>
      <c r="C1004" s="275"/>
      <c r="D1004" s="275"/>
      <c r="E1004" s="275"/>
      <c r="F1004" s="275"/>
      <c r="G1004" s="275"/>
      <c r="H1004" s="275"/>
      <c r="I1004" s="275"/>
      <c r="J1004" s="275"/>
      <c r="K1004" s="275"/>
      <c r="L1004" s="275"/>
      <c r="M1004" s="275"/>
      <c r="N1004" s="275"/>
    </row>
    <row r="1005">
      <c r="B1005" s="275"/>
      <c r="C1005" s="275"/>
      <c r="D1005" s="275"/>
      <c r="E1005" s="275"/>
      <c r="F1005" s="275"/>
      <c r="G1005" s="275"/>
      <c r="H1005" s="275"/>
      <c r="I1005" s="275"/>
      <c r="J1005" s="275"/>
      <c r="K1005" s="275"/>
      <c r="L1005" s="275"/>
      <c r="M1005" s="275"/>
      <c r="N1005" s="275"/>
    </row>
    <row r="1006">
      <c r="B1006" s="275"/>
      <c r="C1006" s="275"/>
      <c r="D1006" s="275"/>
      <c r="E1006" s="275"/>
      <c r="F1006" s="275"/>
      <c r="G1006" s="275"/>
      <c r="H1006" s="275"/>
      <c r="I1006" s="275"/>
      <c r="J1006" s="275"/>
      <c r="K1006" s="275"/>
      <c r="L1006" s="275"/>
      <c r="M1006" s="275"/>
      <c r="N1006" s="275"/>
    </row>
    <row r="1007">
      <c r="B1007" s="275"/>
      <c r="C1007" s="275"/>
      <c r="D1007" s="275"/>
      <c r="E1007" s="275"/>
      <c r="F1007" s="275"/>
      <c r="G1007" s="275"/>
      <c r="H1007" s="275"/>
      <c r="I1007" s="275"/>
      <c r="J1007" s="275"/>
      <c r="K1007" s="275"/>
      <c r="L1007" s="275"/>
      <c r="M1007" s="275"/>
      <c r="N1007" s="275"/>
    </row>
    <row r="1008">
      <c r="B1008" s="275"/>
      <c r="C1008" s="275"/>
      <c r="D1008" s="275"/>
      <c r="E1008" s="275"/>
      <c r="F1008" s="275"/>
      <c r="G1008" s="275"/>
      <c r="H1008" s="275"/>
      <c r="I1008" s="275"/>
      <c r="J1008" s="275"/>
      <c r="K1008" s="275"/>
      <c r="L1008" s="275"/>
      <c r="M1008" s="275"/>
      <c r="N1008" s="275"/>
    </row>
    <row r="1009">
      <c r="B1009" s="275"/>
      <c r="C1009" s="275"/>
      <c r="D1009" s="275"/>
      <c r="E1009" s="275"/>
      <c r="F1009" s="275"/>
      <c r="G1009" s="275"/>
      <c r="H1009" s="275"/>
      <c r="I1009" s="275"/>
      <c r="J1009" s="275"/>
      <c r="K1009" s="275"/>
      <c r="L1009" s="275"/>
      <c r="M1009" s="275"/>
      <c r="N1009" s="275"/>
    </row>
    <row r="1010">
      <c r="B1010" s="275"/>
      <c r="C1010" s="275"/>
      <c r="D1010" s="275"/>
      <c r="E1010" s="275"/>
      <c r="F1010" s="275"/>
      <c r="G1010" s="275"/>
      <c r="H1010" s="275"/>
      <c r="I1010" s="275"/>
      <c r="J1010" s="275"/>
      <c r="K1010" s="275"/>
      <c r="L1010" s="275"/>
      <c r="M1010" s="275"/>
      <c r="N1010" s="275"/>
    </row>
    <row r="1011">
      <c r="B1011" s="275"/>
      <c r="C1011" s="275"/>
      <c r="D1011" s="275"/>
      <c r="E1011" s="275"/>
      <c r="F1011" s="275"/>
      <c r="G1011" s="275"/>
      <c r="H1011" s="275"/>
      <c r="I1011" s="275"/>
      <c r="J1011" s="275"/>
      <c r="K1011" s="275"/>
      <c r="L1011" s="275"/>
      <c r="M1011" s="275"/>
      <c r="N1011" s="275"/>
    </row>
  </sheetData>
  <mergeCells count="53">
    <mergeCell ref="B1:N2"/>
    <mergeCell ref="B3:G3"/>
    <mergeCell ref="I3:N3"/>
    <mergeCell ref="B4:C4"/>
    <mergeCell ref="E4:F4"/>
    <mergeCell ref="I4:J4"/>
    <mergeCell ref="L4:M4"/>
    <mergeCell ref="B9:C9"/>
    <mergeCell ref="I9:J9"/>
    <mergeCell ref="B14:C14"/>
    <mergeCell ref="F14:F15"/>
    <mergeCell ref="I14:J14"/>
    <mergeCell ref="L14:L15"/>
    <mergeCell ref="M14:M15"/>
    <mergeCell ref="E14:E15"/>
    <mergeCell ref="E19:E20"/>
    <mergeCell ref="F19:F20"/>
    <mergeCell ref="L19:L20"/>
    <mergeCell ref="M19:M20"/>
    <mergeCell ref="B20:C20"/>
    <mergeCell ref="I20:J20"/>
    <mergeCell ref="E22:E23"/>
    <mergeCell ref="F22:F23"/>
    <mergeCell ref="L22:L23"/>
    <mergeCell ref="M22:M23"/>
    <mergeCell ref="F25:F26"/>
    <mergeCell ref="M25:M26"/>
    <mergeCell ref="I26:J26"/>
    <mergeCell ref="E31:E32"/>
    <mergeCell ref="E38:E39"/>
    <mergeCell ref="F38:F39"/>
    <mergeCell ref="E42:E43"/>
    <mergeCell ref="F42:F43"/>
    <mergeCell ref="E25:E26"/>
    <mergeCell ref="B26:C26"/>
    <mergeCell ref="E28:E29"/>
    <mergeCell ref="F28:F29"/>
    <mergeCell ref="B30:C30"/>
    <mergeCell ref="F31:F32"/>
    <mergeCell ref="B36:C36"/>
    <mergeCell ref="B40:C40"/>
    <mergeCell ref="L38:L39"/>
    <mergeCell ref="M38:M39"/>
    <mergeCell ref="I40:J40"/>
    <mergeCell ref="L42:L43"/>
    <mergeCell ref="M42:M43"/>
    <mergeCell ref="L25:L26"/>
    <mergeCell ref="L28:L29"/>
    <mergeCell ref="M28:M29"/>
    <mergeCell ref="I30:J30"/>
    <mergeCell ref="L31:L32"/>
    <mergeCell ref="M31:M32"/>
    <mergeCell ref="I36:J3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15" width="12.63"/>
    <col customWidth="1" min="16" max="16" width="5.0"/>
    <col customWidth="1" min="17" max="17" width="19.75"/>
    <col customWidth="1" min="18" max="18" width="7.63"/>
    <col customWidth="1" min="19" max="19" width="8.13"/>
    <col customWidth="1" min="20" max="20" width="6.63"/>
  </cols>
  <sheetData>
    <row r="1">
      <c r="A1" s="378" t="s">
        <v>136</v>
      </c>
    </row>
    <row r="2">
      <c r="A2" s="379"/>
      <c r="B2" s="380" t="s">
        <v>137</v>
      </c>
      <c r="C2" s="381"/>
      <c r="D2" s="381"/>
      <c r="E2" s="382"/>
      <c r="F2" s="382"/>
      <c r="G2" s="382"/>
      <c r="H2" s="382"/>
      <c r="I2" s="382"/>
      <c r="J2" s="382"/>
      <c r="K2" s="382"/>
      <c r="L2" s="382"/>
      <c r="M2" s="382"/>
      <c r="N2" s="382"/>
      <c r="O2" s="382"/>
      <c r="P2" s="383"/>
      <c r="Q2" s="384"/>
      <c r="R2" s="384"/>
      <c r="S2" s="384"/>
      <c r="T2" s="384"/>
      <c r="U2" s="384"/>
      <c r="V2" s="384"/>
      <c r="W2" s="384"/>
      <c r="X2" s="384"/>
      <c r="Y2" s="384"/>
    </row>
    <row r="3">
      <c r="A3" s="385"/>
      <c r="B3" s="386"/>
      <c r="C3" s="386"/>
      <c r="D3" s="386"/>
      <c r="E3" s="386"/>
      <c r="F3" s="386"/>
      <c r="G3" s="386"/>
      <c r="H3" s="386"/>
      <c r="I3" s="386"/>
      <c r="J3" s="386"/>
      <c r="K3" s="386"/>
      <c r="L3" s="386"/>
      <c r="M3" s="386"/>
      <c r="N3" s="386"/>
      <c r="O3" s="386"/>
      <c r="P3" s="387"/>
      <c r="Q3" s="384"/>
      <c r="R3" s="384"/>
      <c r="S3" s="384"/>
      <c r="T3" s="384"/>
      <c r="U3" s="384"/>
      <c r="V3" s="384"/>
      <c r="W3" s="384"/>
      <c r="X3" s="384"/>
      <c r="Y3" s="384"/>
    </row>
    <row r="4">
      <c r="A4" s="385"/>
      <c r="B4" s="580" t="s">
        <v>1</v>
      </c>
      <c r="C4" s="469"/>
      <c r="D4" s="469"/>
      <c r="E4" s="469"/>
      <c r="F4" s="469"/>
      <c r="G4" s="469"/>
      <c r="H4" s="470"/>
      <c r="I4" s="581"/>
      <c r="J4" s="386"/>
      <c r="N4" s="386"/>
      <c r="O4" s="386"/>
      <c r="P4" s="387"/>
      <c r="Q4" s="384"/>
      <c r="R4" s="384"/>
      <c r="S4" s="384"/>
      <c r="T4" s="384"/>
      <c r="U4" s="384"/>
      <c r="V4" s="384"/>
      <c r="W4" s="384"/>
      <c r="X4" s="384"/>
      <c r="Y4" s="384"/>
    </row>
    <row r="5">
      <c r="A5" s="385"/>
      <c r="B5" s="582" t="s">
        <v>2</v>
      </c>
      <c r="C5" s="390" t="s">
        <v>3</v>
      </c>
      <c r="E5" s="583" t="s">
        <v>227</v>
      </c>
      <c r="G5" s="391" t="s">
        <v>138</v>
      </c>
      <c r="H5" s="12"/>
      <c r="J5" s="584" t="s">
        <v>228</v>
      </c>
      <c r="K5" s="469"/>
      <c r="L5" s="470"/>
      <c r="N5" s="564"/>
      <c r="O5" s="386"/>
      <c r="P5" s="387"/>
      <c r="Q5" s="384"/>
      <c r="R5" s="384"/>
      <c r="S5" s="384"/>
      <c r="T5" s="384"/>
      <c r="U5" s="384"/>
      <c r="V5" s="384"/>
      <c r="W5" s="384"/>
      <c r="X5" s="384"/>
      <c r="Y5" s="384"/>
    </row>
    <row r="6">
      <c r="A6" s="385"/>
      <c r="B6" s="585"/>
      <c r="C6" s="394" t="s">
        <v>229</v>
      </c>
      <c r="E6" s="394" t="s">
        <v>130</v>
      </c>
      <c r="G6" s="396" t="s">
        <v>230</v>
      </c>
      <c r="H6" s="12"/>
      <c r="J6" s="586" t="s">
        <v>231</v>
      </c>
      <c r="L6" s="587">
        <v>76200.0</v>
      </c>
      <c r="N6" s="564"/>
      <c r="O6" s="386"/>
      <c r="P6" s="387"/>
      <c r="Q6" s="384"/>
      <c r="R6" s="384"/>
      <c r="S6" s="384"/>
      <c r="T6" s="384"/>
      <c r="U6" s="384"/>
      <c r="V6" s="384"/>
      <c r="W6" s="384"/>
      <c r="X6" s="384"/>
      <c r="Y6" s="384"/>
    </row>
    <row r="7">
      <c r="A7" s="385"/>
      <c r="B7" s="588" t="s">
        <v>11</v>
      </c>
      <c r="C7" s="504">
        <v>1003.0</v>
      </c>
      <c r="E7" s="504">
        <v>0.0</v>
      </c>
      <c r="G7" s="589" t="s">
        <v>232</v>
      </c>
      <c r="H7" s="590" t="s">
        <v>233</v>
      </c>
      <c r="I7" s="502"/>
      <c r="J7" s="591" t="s">
        <v>234</v>
      </c>
      <c r="L7" s="587">
        <v>290.0</v>
      </c>
      <c r="N7" s="592"/>
      <c r="O7" s="386"/>
      <c r="P7" s="387"/>
      <c r="Q7" s="384"/>
      <c r="R7" s="384"/>
      <c r="S7" s="384"/>
      <c r="T7" s="384"/>
      <c r="X7" s="384"/>
      <c r="Y7" s="384"/>
    </row>
    <row r="8">
      <c r="A8" s="385"/>
      <c r="B8" s="593" t="s">
        <v>12</v>
      </c>
      <c r="C8" s="594">
        <v>715.0</v>
      </c>
      <c r="E8" s="594">
        <v>589.0</v>
      </c>
      <c r="H8" s="134"/>
      <c r="I8" s="502"/>
      <c r="J8" s="595"/>
      <c r="L8" s="134"/>
      <c r="N8" s="592"/>
      <c r="O8" s="386"/>
      <c r="P8" s="387"/>
      <c r="Q8" s="384"/>
      <c r="R8" s="384"/>
      <c r="S8" s="384"/>
      <c r="T8" s="384"/>
      <c r="X8" s="384"/>
      <c r="Y8" s="384"/>
    </row>
    <row r="9">
      <c r="A9" s="385"/>
      <c r="B9" s="588" t="s">
        <v>13</v>
      </c>
      <c r="C9" s="504">
        <v>422.0</v>
      </c>
      <c r="E9" s="504">
        <v>820.0</v>
      </c>
      <c r="H9" s="127"/>
      <c r="I9" s="502"/>
      <c r="J9" s="586" t="s">
        <v>235</v>
      </c>
      <c r="L9" s="596">
        <f>L6+E16</f>
        <v>84000</v>
      </c>
      <c r="N9" s="592"/>
      <c r="O9" s="386"/>
      <c r="P9" s="387"/>
      <c r="Q9" s="384"/>
      <c r="R9" s="384"/>
      <c r="S9" s="384"/>
      <c r="T9" s="384"/>
    </row>
    <row r="10">
      <c r="A10" s="385"/>
      <c r="B10" s="593" t="s">
        <v>14</v>
      </c>
      <c r="C10" s="594">
        <v>756.0</v>
      </c>
      <c r="E10" s="594">
        <v>273.0</v>
      </c>
      <c r="G10" s="597">
        <v>0.0</v>
      </c>
      <c r="H10" s="598">
        <v>2.7</v>
      </c>
      <c r="I10" s="502"/>
      <c r="J10" s="599" t="s">
        <v>236</v>
      </c>
      <c r="L10" s="587">
        <f>L9+1000*G16</f>
        <v>113980</v>
      </c>
      <c r="N10" s="592"/>
      <c r="O10" s="386"/>
      <c r="P10" s="387"/>
      <c r="Q10" s="384"/>
      <c r="R10" s="384"/>
      <c r="S10" s="384"/>
      <c r="T10" s="384"/>
    </row>
    <row r="11">
      <c r="A11" s="385"/>
      <c r="B11" s="588" t="s">
        <v>15</v>
      </c>
      <c r="C11" s="504">
        <v>388.0</v>
      </c>
      <c r="E11" s="504">
        <v>0.0</v>
      </c>
      <c r="G11" s="600">
        <v>4.59</v>
      </c>
      <c r="H11" s="601">
        <v>7.05</v>
      </c>
      <c r="I11" s="502"/>
      <c r="J11" s="586" t="s">
        <v>237</v>
      </c>
      <c r="L11" s="602">
        <f t="shared" ref="L11:L12" si="1">L9/1000</f>
        <v>84</v>
      </c>
      <c r="N11" s="592"/>
      <c r="O11" s="386"/>
      <c r="P11" s="387"/>
      <c r="Q11" s="384"/>
      <c r="R11" s="384"/>
      <c r="S11" s="384"/>
      <c r="T11" s="384"/>
    </row>
    <row r="12">
      <c r="A12" s="385"/>
      <c r="B12" s="593" t="s">
        <v>16</v>
      </c>
      <c r="C12" s="594">
        <v>334.0</v>
      </c>
      <c r="E12" s="594">
        <v>210.0</v>
      </c>
      <c r="G12" s="603">
        <v>0.0</v>
      </c>
      <c r="H12" s="134"/>
      <c r="I12" s="502"/>
      <c r="J12" s="599" t="s">
        <v>145</v>
      </c>
      <c r="L12" s="604">
        <f t="shared" si="1"/>
        <v>113.98</v>
      </c>
      <c r="N12" s="592"/>
      <c r="O12" s="386"/>
      <c r="P12" s="387"/>
      <c r="Q12" s="384"/>
      <c r="R12" s="384"/>
      <c r="S12" s="384"/>
      <c r="T12" s="384"/>
    </row>
    <row r="13">
      <c r="A13" s="385"/>
      <c r="B13" s="588" t="s">
        <v>18</v>
      </c>
      <c r="C13" s="504">
        <v>388.0</v>
      </c>
      <c r="E13" s="504">
        <v>0.0</v>
      </c>
      <c r="G13" s="605">
        <v>6.63</v>
      </c>
      <c r="H13" s="606">
        <v>9.01</v>
      </c>
      <c r="I13" s="502"/>
      <c r="J13" s="599" t="s">
        <v>238</v>
      </c>
      <c r="L13" s="587">
        <v>243.0</v>
      </c>
      <c r="N13" s="592"/>
      <c r="O13" s="386"/>
      <c r="P13" s="387"/>
      <c r="Q13" s="384"/>
    </row>
    <row r="14">
      <c r="A14" s="385"/>
      <c r="B14" s="593" t="s">
        <v>19</v>
      </c>
      <c r="C14" s="594">
        <v>756.0</v>
      </c>
      <c r="E14" s="594">
        <v>3460.0</v>
      </c>
      <c r="G14" s="603">
        <v>0.0</v>
      </c>
      <c r="H14" s="134"/>
      <c r="I14" s="502"/>
      <c r="J14" s="607" t="s">
        <v>23</v>
      </c>
      <c r="K14" s="160"/>
      <c r="L14" s="608">
        <f>C16/L13</f>
        <v>20.781893</v>
      </c>
      <c r="M14" s="592"/>
      <c r="N14" s="592"/>
      <c r="O14" s="386"/>
      <c r="P14" s="387"/>
      <c r="Q14" s="384"/>
    </row>
    <row r="15">
      <c r="A15" s="385"/>
      <c r="B15" s="609" t="s">
        <v>147</v>
      </c>
      <c r="C15" s="504" t="s">
        <v>239</v>
      </c>
      <c r="D15" s="610">
        <v>288.0</v>
      </c>
      <c r="E15" s="504" t="s">
        <v>240</v>
      </c>
      <c r="F15" s="504">
        <v>2448.0</v>
      </c>
      <c r="H15" s="127"/>
      <c r="I15" s="611"/>
      <c r="M15" s="592"/>
      <c r="N15" s="592"/>
      <c r="O15" s="386"/>
      <c r="P15" s="387"/>
      <c r="Q15" s="384"/>
    </row>
    <row r="16">
      <c r="A16" s="385"/>
      <c r="B16" s="612" t="s">
        <v>144</v>
      </c>
      <c r="C16" s="613">
        <f>SUM(C7:C15)+D15</f>
        <v>5050</v>
      </c>
      <c r="D16" s="160"/>
      <c r="E16" s="613">
        <f>SUM(E7:E15)+F15</f>
        <v>7800</v>
      </c>
      <c r="F16" s="160"/>
      <c r="G16" s="614">
        <f>G10+H10+H11+G11+G13+H13</f>
        <v>29.98</v>
      </c>
      <c r="H16" s="615"/>
      <c r="I16" s="502"/>
      <c r="J16" s="616"/>
      <c r="K16" s="617"/>
      <c r="L16" s="617"/>
      <c r="M16" s="592"/>
      <c r="N16" s="592"/>
      <c r="O16" s="386"/>
      <c r="P16" s="387"/>
      <c r="Q16" s="384"/>
    </row>
    <row r="17">
      <c r="A17" s="444"/>
      <c r="B17" s="445"/>
      <c r="C17" s="445"/>
      <c r="D17" s="446"/>
      <c r="E17" s="447"/>
      <c r="F17" s="448"/>
      <c r="G17" s="447"/>
      <c r="H17" s="447"/>
      <c r="I17" s="447"/>
      <c r="J17" s="447"/>
      <c r="K17" s="447"/>
      <c r="L17" s="447"/>
      <c r="M17" s="447"/>
      <c r="N17" s="447"/>
      <c r="O17" s="447"/>
      <c r="P17" s="449"/>
      <c r="Q17" s="384"/>
      <c r="R17" s="384"/>
      <c r="S17" s="384"/>
      <c r="T17" s="384"/>
      <c r="U17" s="384"/>
    </row>
    <row r="18">
      <c r="A18" s="379"/>
      <c r="B18" s="450"/>
      <c r="C18" s="450"/>
      <c r="D18" s="451"/>
      <c r="E18" s="452"/>
      <c r="F18" s="453"/>
      <c r="G18" s="452"/>
      <c r="H18" s="452"/>
      <c r="I18" s="452"/>
      <c r="J18" s="452"/>
      <c r="K18" s="452"/>
      <c r="L18" s="452"/>
      <c r="M18" s="452"/>
      <c r="N18" s="452"/>
      <c r="O18" s="452"/>
      <c r="P18" s="383"/>
      <c r="Q18" s="384"/>
      <c r="R18" s="384"/>
      <c r="S18" s="384"/>
      <c r="T18" s="384"/>
      <c r="U18" s="384"/>
    </row>
    <row r="19">
      <c r="A19" s="385"/>
      <c r="B19" s="454" t="s">
        <v>153</v>
      </c>
      <c r="E19" s="416"/>
      <c r="P19" s="387"/>
      <c r="Q19" s="384"/>
      <c r="R19" s="384"/>
      <c r="S19" s="384"/>
      <c r="T19" s="384"/>
      <c r="U19" s="384"/>
    </row>
    <row r="20">
      <c r="A20" s="385"/>
      <c r="P20" s="387"/>
      <c r="Q20" s="384"/>
      <c r="R20" s="384"/>
      <c r="S20" s="384"/>
      <c r="T20" s="384"/>
      <c r="U20" s="384"/>
      <c r="V20" s="384"/>
      <c r="W20" s="384"/>
      <c r="X20" s="384"/>
      <c r="Y20" s="384"/>
    </row>
    <row r="21">
      <c r="A21" s="385"/>
      <c r="B21" s="468" t="s">
        <v>241</v>
      </c>
      <c r="C21" s="469"/>
      <c r="D21" s="469"/>
      <c r="E21" s="470"/>
      <c r="G21" s="468" t="s">
        <v>154</v>
      </c>
      <c r="H21" s="469"/>
      <c r="I21" s="469"/>
      <c r="J21" s="470"/>
      <c r="L21" s="468" t="s">
        <v>147</v>
      </c>
      <c r="M21" s="469"/>
      <c r="N21" s="469"/>
      <c r="O21" s="470"/>
      <c r="P21" s="387"/>
      <c r="Q21" s="384"/>
      <c r="R21" s="384"/>
      <c r="U21" s="384"/>
      <c r="V21" s="384"/>
      <c r="W21" s="384"/>
      <c r="X21" s="384"/>
      <c r="Y21" s="384"/>
    </row>
    <row r="22">
      <c r="A22" s="385"/>
      <c r="B22" s="472" t="s">
        <v>46</v>
      </c>
      <c r="E22" s="618">
        <v>810.0</v>
      </c>
      <c r="G22" s="619" t="s">
        <v>155</v>
      </c>
      <c r="J22" s="473">
        <v>16.0</v>
      </c>
      <c r="L22" s="619" t="s">
        <v>242</v>
      </c>
      <c r="O22" s="620">
        <v>7000.0</v>
      </c>
      <c r="P22" s="387"/>
      <c r="Q22" s="384"/>
      <c r="R22" s="384"/>
      <c r="X22" s="384"/>
      <c r="Y22" s="384"/>
    </row>
    <row r="23">
      <c r="A23" s="385"/>
      <c r="B23" s="621" t="s">
        <v>47</v>
      </c>
      <c r="C23" s="477"/>
      <c r="D23" s="477"/>
      <c r="E23" s="622">
        <v>1154.0</v>
      </c>
      <c r="G23" s="623" t="s">
        <v>243</v>
      </c>
      <c r="H23" s="477"/>
      <c r="I23" s="477"/>
      <c r="J23" s="478">
        <v>0.23</v>
      </c>
      <c r="K23" s="384"/>
      <c r="L23" s="619" t="s">
        <v>244</v>
      </c>
      <c r="O23" s="473">
        <v>0.01</v>
      </c>
      <c r="P23" s="387"/>
      <c r="Q23" s="384"/>
      <c r="R23" s="384"/>
      <c r="S23" s="386"/>
      <c r="T23" s="386"/>
      <c r="U23" s="384"/>
      <c r="V23" s="384"/>
      <c r="W23" s="384"/>
      <c r="X23" s="384"/>
      <c r="Y23" s="384"/>
    </row>
    <row r="24">
      <c r="A24" s="385"/>
      <c r="G24" s="624"/>
      <c r="H24" s="624"/>
      <c r="I24" s="624"/>
      <c r="J24" s="624"/>
      <c r="K24" s="384"/>
      <c r="L24" s="619" t="s">
        <v>75</v>
      </c>
      <c r="O24" s="473">
        <v>4.75</v>
      </c>
      <c r="P24" s="387"/>
      <c r="Q24" s="384"/>
      <c r="R24" s="384"/>
      <c r="U24" s="384"/>
      <c r="V24" s="384"/>
      <c r="W24" s="384"/>
      <c r="X24" s="384"/>
      <c r="Y24" s="384"/>
    </row>
    <row r="25">
      <c r="A25" s="385"/>
      <c r="B25" s="468" t="s">
        <v>245</v>
      </c>
      <c r="C25" s="469"/>
      <c r="D25" s="469"/>
      <c r="E25" s="470"/>
      <c r="G25" s="468" t="s">
        <v>246</v>
      </c>
      <c r="H25" s="469"/>
      <c r="I25" s="469"/>
      <c r="J25" s="470"/>
      <c r="K25" s="384"/>
      <c r="L25" s="619" t="s">
        <v>247</v>
      </c>
      <c r="O25" s="473">
        <v>0.1</v>
      </c>
      <c r="P25" s="387"/>
      <c r="Q25" s="384"/>
      <c r="R25" s="384"/>
      <c r="U25" s="384"/>
      <c r="V25" s="384"/>
      <c r="W25" s="384"/>
      <c r="X25" s="384"/>
      <c r="Y25" s="384"/>
    </row>
    <row r="26">
      <c r="A26" s="385"/>
      <c r="B26" s="472" t="s">
        <v>248</v>
      </c>
      <c r="E26" s="473">
        <f>G11/E22*1000</f>
        <v>5.666666667</v>
      </c>
      <c r="G26" s="472" t="s">
        <v>248</v>
      </c>
      <c r="J26" s="473">
        <f>G13/E23*1000</f>
        <v>5.745233969</v>
      </c>
      <c r="K26" s="384"/>
      <c r="L26" s="623" t="s">
        <v>249</v>
      </c>
      <c r="M26" s="477"/>
      <c r="N26" s="477"/>
      <c r="O26" s="478"/>
      <c r="P26" s="387"/>
      <c r="Q26" s="384"/>
      <c r="R26" s="384"/>
      <c r="U26" s="384"/>
      <c r="V26" s="384"/>
      <c r="W26" s="384"/>
      <c r="X26" s="384"/>
      <c r="Y26" s="384"/>
    </row>
    <row r="27">
      <c r="A27" s="385"/>
      <c r="B27" s="472" t="s">
        <v>250</v>
      </c>
      <c r="E27" s="625">
        <f>4*E26/3.1415/J23/J23</f>
        <v>136.3938919</v>
      </c>
      <c r="G27" s="472" t="s">
        <v>250</v>
      </c>
      <c r="J27" s="625">
        <f>4*J26/3.1415/J23/J23</f>
        <v>138.2849684</v>
      </c>
      <c r="K27" s="384"/>
      <c r="P27" s="387"/>
      <c r="Q27" s="384"/>
      <c r="R27" s="384"/>
      <c r="U27" s="384"/>
      <c r="V27" s="384"/>
      <c r="W27" s="384"/>
      <c r="X27" s="384"/>
      <c r="Y27" s="384"/>
    </row>
    <row r="28">
      <c r="A28" s="385"/>
      <c r="B28" s="472" t="s">
        <v>251</v>
      </c>
      <c r="E28" s="473">
        <f>H11/E22*1000</f>
        <v>8.703703704</v>
      </c>
      <c r="G28" s="472" t="s">
        <v>251</v>
      </c>
      <c r="J28" s="473">
        <f>H13/E23*1000</f>
        <v>7.80762565</v>
      </c>
      <c r="K28" s="384"/>
      <c r="L28" s="462"/>
      <c r="M28" s="462"/>
      <c r="N28" s="462"/>
      <c r="O28" s="462"/>
      <c r="P28" s="387"/>
      <c r="Q28" s="384"/>
      <c r="R28" s="384"/>
      <c r="U28" s="384"/>
      <c r="V28" s="384"/>
      <c r="W28" s="384"/>
      <c r="X28" s="384"/>
      <c r="Y28" s="384"/>
    </row>
    <row r="29">
      <c r="A29" s="385"/>
      <c r="B29" s="472" t="s">
        <v>252</v>
      </c>
      <c r="E29" s="625">
        <f>4*E28/3.1415/J23/J23</f>
        <v>209.4938863</v>
      </c>
      <c r="G29" s="472" t="s">
        <v>252</v>
      </c>
      <c r="J29" s="625">
        <f>4*J28/3.1415/J23/J23</f>
        <v>187.9257263</v>
      </c>
      <c r="K29" s="384"/>
      <c r="L29" s="462"/>
      <c r="M29" s="462"/>
      <c r="N29" s="462"/>
      <c r="O29" s="462"/>
      <c r="P29" s="387"/>
      <c r="Q29" s="384"/>
      <c r="R29" s="384"/>
      <c r="S29" s="384"/>
      <c r="T29" s="384"/>
      <c r="U29" s="384"/>
      <c r="V29" s="384"/>
      <c r="W29" s="384"/>
      <c r="X29" s="384"/>
      <c r="Y29" s="384"/>
    </row>
    <row r="30">
      <c r="A30" s="385"/>
      <c r="B30" s="476" t="s">
        <v>253</v>
      </c>
      <c r="C30" s="477"/>
      <c r="D30" s="477"/>
      <c r="E30" s="626">
        <f>E29+E27</f>
        <v>345.8877782</v>
      </c>
      <c r="G30" s="476" t="s">
        <v>253</v>
      </c>
      <c r="H30" s="477"/>
      <c r="I30" s="477"/>
      <c r="J30" s="626">
        <f>J29+J27</f>
        <v>326.2106947</v>
      </c>
      <c r="K30" s="384"/>
      <c r="L30" s="462"/>
      <c r="M30" s="462"/>
      <c r="N30" s="462"/>
      <c r="O30" s="462"/>
      <c r="P30" s="387"/>
      <c r="Q30" s="384"/>
      <c r="R30" s="384"/>
      <c r="S30" s="384"/>
      <c r="T30" s="384"/>
      <c r="U30" s="384"/>
      <c r="V30" s="384"/>
      <c r="W30" s="384"/>
      <c r="X30" s="384"/>
      <c r="Y30" s="384"/>
    </row>
    <row r="31">
      <c r="A31" s="385"/>
      <c r="B31" s="476" t="s">
        <v>254</v>
      </c>
      <c r="C31" s="477"/>
      <c r="D31" s="477"/>
      <c r="E31" s="626">
        <f>J22-E26-E28</f>
        <v>1.62962963</v>
      </c>
      <c r="F31" s="386"/>
      <c r="G31" s="476" t="s">
        <v>254</v>
      </c>
      <c r="H31" s="477"/>
      <c r="I31" s="477"/>
      <c r="J31" s="626">
        <f>J22-J26-J28</f>
        <v>2.447140381</v>
      </c>
      <c r="K31" s="384"/>
      <c r="L31" s="462"/>
      <c r="M31" s="462"/>
      <c r="N31" s="462"/>
      <c r="O31" s="462"/>
      <c r="P31" s="387"/>
      <c r="Q31" s="384"/>
      <c r="R31" s="384"/>
      <c r="S31" s="384"/>
      <c r="T31" s="384"/>
      <c r="U31" s="384"/>
      <c r="V31" s="384"/>
      <c r="W31" s="384"/>
      <c r="X31" s="384"/>
      <c r="Y31" s="384"/>
    </row>
    <row r="32">
      <c r="A32" s="444"/>
      <c r="B32" s="627"/>
      <c r="C32" s="627"/>
      <c r="D32" s="627"/>
      <c r="E32" s="627"/>
      <c r="F32" s="627"/>
      <c r="G32" s="627"/>
      <c r="H32" s="480"/>
      <c r="I32" s="480"/>
      <c r="J32" s="480"/>
      <c r="K32" s="480"/>
      <c r="L32" s="480"/>
      <c r="M32" s="480"/>
      <c r="N32" s="480"/>
      <c r="O32" s="480"/>
      <c r="P32" s="449"/>
      <c r="Q32" s="384"/>
      <c r="R32" s="384"/>
      <c r="S32" s="384"/>
      <c r="T32" s="384"/>
      <c r="U32" s="384"/>
      <c r="V32" s="384"/>
      <c r="W32" s="384"/>
      <c r="X32" s="384"/>
      <c r="Y32" s="384"/>
    </row>
    <row r="33">
      <c r="A33" s="385"/>
      <c r="B33" s="386"/>
      <c r="C33" s="386"/>
      <c r="D33" s="386"/>
      <c r="E33" s="386"/>
      <c r="F33" s="386"/>
      <c r="G33" s="386"/>
      <c r="H33" s="384"/>
      <c r="I33" s="384"/>
      <c r="J33" s="384"/>
      <c r="K33" s="384"/>
      <c r="L33" s="384"/>
      <c r="M33" s="384"/>
      <c r="N33" s="384"/>
      <c r="O33" s="384"/>
      <c r="P33" s="387"/>
      <c r="Q33" s="384"/>
      <c r="R33" s="384"/>
      <c r="S33" s="384"/>
      <c r="T33" s="384"/>
      <c r="U33" s="384"/>
      <c r="V33" s="384"/>
      <c r="W33" s="384"/>
      <c r="X33" s="384"/>
      <c r="Y33" s="384"/>
    </row>
    <row r="34">
      <c r="A34" s="385"/>
      <c r="B34" s="454" t="s">
        <v>255</v>
      </c>
      <c r="E34" s="386"/>
      <c r="F34" s="386"/>
      <c r="G34" s="386"/>
      <c r="H34" s="384"/>
      <c r="I34" s="384"/>
      <c r="J34" s="384"/>
      <c r="K34" s="384"/>
      <c r="L34" s="384"/>
      <c r="M34" s="384"/>
      <c r="N34" s="384"/>
      <c r="O34" s="384"/>
      <c r="P34" s="387"/>
      <c r="Q34" s="384"/>
      <c r="R34" s="384"/>
      <c r="S34" s="384"/>
      <c r="T34" s="384"/>
      <c r="U34" s="384"/>
      <c r="V34" s="384"/>
      <c r="W34" s="384"/>
      <c r="X34" s="384"/>
      <c r="Y34" s="384"/>
    </row>
    <row r="35">
      <c r="A35" s="385"/>
      <c r="B35" s="386"/>
      <c r="C35" s="386"/>
      <c r="D35" s="386"/>
      <c r="E35" s="386"/>
      <c r="F35" s="386"/>
      <c r="K35" s="384"/>
      <c r="L35" s="384"/>
      <c r="M35" s="384"/>
      <c r="N35" s="384"/>
      <c r="O35" s="384"/>
      <c r="P35" s="387"/>
      <c r="Q35" s="384"/>
      <c r="R35" s="384"/>
      <c r="S35" s="384"/>
      <c r="T35" s="384"/>
      <c r="U35" s="384"/>
      <c r="V35" s="384"/>
      <c r="W35" s="384"/>
      <c r="X35" s="384"/>
      <c r="Y35" s="384"/>
    </row>
    <row r="36">
      <c r="A36" s="385"/>
      <c r="B36" s="468" t="s">
        <v>256</v>
      </c>
      <c r="C36" s="469"/>
      <c r="D36" s="469"/>
      <c r="E36" s="470"/>
      <c r="F36" s="386"/>
      <c r="G36" s="468" t="s">
        <v>257</v>
      </c>
      <c r="H36" s="469"/>
      <c r="I36" s="469"/>
      <c r="J36" s="470"/>
      <c r="K36" s="384"/>
      <c r="L36" s="384"/>
      <c r="M36" s="384"/>
      <c r="N36" s="384"/>
      <c r="O36" s="384"/>
      <c r="P36" s="387"/>
      <c r="Q36" s="384"/>
      <c r="R36" s="384"/>
      <c r="S36" s="384"/>
      <c r="T36" s="384"/>
      <c r="U36" s="384"/>
      <c r="V36" s="384"/>
      <c r="W36" s="384"/>
      <c r="X36" s="384"/>
      <c r="Y36" s="384"/>
    </row>
    <row r="37">
      <c r="A37" s="385"/>
      <c r="B37" s="472" t="s">
        <v>258</v>
      </c>
      <c r="E37" s="473">
        <v>3.0</v>
      </c>
      <c r="F37" s="386"/>
      <c r="G37" s="472" t="s">
        <v>259</v>
      </c>
      <c r="J37" s="473">
        <v>400.0</v>
      </c>
      <c r="K37" s="384"/>
      <c r="L37" s="384"/>
      <c r="M37" s="384"/>
      <c r="N37" s="384"/>
      <c r="O37" s="384"/>
      <c r="P37" s="387"/>
      <c r="Q37" s="384"/>
      <c r="R37" s="384"/>
      <c r="S37" s="384"/>
      <c r="T37" s="384"/>
      <c r="U37" s="384"/>
      <c r="V37" s="384"/>
      <c r="W37" s="384"/>
      <c r="X37" s="384"/>
      <c r="Y37" s="384"/>
    </row>
    <row r="38">
      <c r="A38" s="385"/>
      <c r="B38" s="472" t="s">
        <v>260</v>
      </c>
      <c r="E38" s="473">
        <v>1.25</v>
      </c>
      <c r="F38" s="386"/>
      <c r="G38" s="472" t="s">
        <v>260</v>
      </c>
      <c r="J38" s="625">
        <v>5.0</v>
      </c>
      <c r="K38" s="384"/>
      <c r="L38" s="384"/>
      <c r="M38" s="384"/>
      <c r="N38" s="384"/>
      <c r="O38" s="384"/>
      <c r="P38" s="387"/>
      <c r="Q38" s="384"/>
      <c r="R38" s="384"/>
      <c r="S38" s="384"/>
      <c r="T38" s="384"/>
      <c r="U38" s="384"/>
      <c r="V38" s="384"/>
      <c r="W38" s="384"/>
      <c r="X38" s="384"/>
      <c r="Y38" s="384"/>
    </row>
    <row r="39">
      <c r="A39" s="385"/>
      <c r="B39" s="476" t="s">
        <v>261</v>
      </c>
      <c r="C39" s="477"/>
      <c r="D39" s="477"/>
      <c r="E39" s="478">
        <v>4.37</v>
      </c>
      <c r="F39" s="386"/>
      <c r="G39" s="476" t="s">
        <v>261</v>
      </c>
      <c r="H39" s="477"/>
      <c r="I39" s="477"/>
      <c r="J39" s="478">
        <v>1.8</v>
      </c>
      <c r="K39" s="384"/>
      <c r="L39" s="384"/>
      <c r="M39" s="384"/>
      <c r="N39" s="384"/>
      <c r="O39" s="384"/>
      <c r="P39" s="387"/>
      <c r="Q39" s="384"/>
      <c r="R39" s="384"/>
      <c r="S39" s="384"/>
      <c r="T39" s="384"/>
      <c r="U39" s="384"/>
      <c r="V39" s="384"/>
      <c r="W39" s="384"/>
      <c r="X39" s="384"/>
      <c r="Y39" s="384"/>
    </row>
    <row r="40">
      <c r="A40" s="385"/>
      <c r="B40" s="386"/>
      <c r="C40" s="386"/>
      <c r="D40" s="386"/>
      <c r="E40" s="386"/>
      <c r="F40" s="386"/>
      <c r="G40" s="386"/>
      <c r="H40" s="384"/>
      <c r="I40" s="384"/>
      <c r="J40" s="384"/>
      <c r="K40" s="384"/>
      <c r="L40" s="384"/>
      <c r="M40" s="384"/>
      <c r="N40" s="384"/>
      <c r="O40" s="384"/>
      <c r="P40" s="387"/>
      <c r="Q40" s="384"/>
      <c r="R40" s="384"/>
      <c r="S40" s="384"/>
      <c r="T40" s="384"/>
      <c r="U40" s="384"/>
      <c r="V40" s="384"/>
      <c r="W40" s="384"/>
      <c r="X40" s="384"/>
      <c r="Y40" s="384"/>
    </row>
    <row r="41">
      <c r="A41" s="379"/>
      <c r="B41" s="481"/>
      <c r="C41" s="481"/>
      <c r="D41" s="481"/>
      <c r="E41" s="481"/>
      <c r="F41" s="481"/>
      <c r="G41" s="481"/>
      <c r="H41" s="481"/>
      <c r="I41" s="481"/>
      <c r="J41" s="481"/>
      <c r="K41" s="481"/>
      <c r="L41" s="481"/>
      <c r="M41" s="481"/>
      <c r="N41" s="481"/>
      <c r="O41" s="481"/>
      <c r="P41" s="383"/>
      <c r="Q41" s="384"/>
      <c r="R41" s="384"/>
      <c r="S41" s="384"/>
      <c r="T41" s="384"/>
      <c r="U41" s="384"/>
      <c r="V41" s="384"/>
      <c r="W41" s="384"/>
      <c r="X41" s="384"/>
      <c r="Y41" s="384"/>
    </row>
    <row r="42">
      <c r="A42" s="385"/>
      <c r="B42" s="454" t="s">
        <v>191</v>
      </c>
      <c r="D42" s="384"/>
      <c r="E42" s="384"/>
      <c r="F42" s="384"/>
      <c r="G42" s="384"/>
      <c r="H42" s="384"/>
      <c r="I42" s="384"/>
      <c r="J42" s="384"/>
      <c r="K42" s="384"/>
      <c r="L42" s="384"/>
      <c r="M42" s="384"/>
      <c r="N42" s="384"/>
      <c r="O42" s="384"/>
      <c r="P42" s="387"/>
      <c r="Q42" s="384"/>
      <c r="U42" s="628"/>
      <c r="V42" s="628"/>
      <c r="W42" s="628"/>
      <c r="X42" s="384"/>
      <c r="Y42" s="384"/>
    </row>
    <row r="43">
      <c r="A43" s="385"/>
      <c r="B43" s="392"/>
      <c r="C43" s="392"/>
      <c r="D43" s="392"/>
      <c r="G43" s="392"/>
      <c r="H43" s="384"/>
      <c r="I43" s="384"/>
      <c r="J43" s="384"/>
      <c r="K43" s="384"/>
      <c r="L43" s="384"/>
      <c r="M43" s="384"/>
      <c r="N43" s="384"/>
      <c r="O43" s="384"/>
      <c r="P43" s="387"/>
      <c r="Q43" s="384"/>
      <c r="U43" s="629"/>
      <c r="V43" s="629"/>
      <c r="W43" s="629"/>
      <c r="X43" s="384"/>
      <c r="Y43" s="384"/>
    </row>
    <row r="44">
      <c r="A44" s="385"/>
      <c r="B44" s="630" t="s">
        <v>262</v>
      </c>
      <c r="C44" s="469"/>
      <c r="D44" s="469"/>
      <c r="E44" s="469"/>
      <c r="F44" s="469"/>
      <c r="G44" s="469"/>
      <c r="H44" s="469"/>
      <c r="I44" s="469"/>
      <c r="J44" s="469"/>
      <c r="K44" s="470"/>
      <c r="M44" s="630" t="s">
        <v>263</v>
      </c>
      <c r="N44" s="469"/>
      <c r="O44" s="470"/>
      <c r="P44" s="387"/>
      <c r="Q44" s="384"/>
      <c r="U44" s="400"/>
      <c r="V44" s="400"/>
      <c r="W44" s="400"/>
      <c r="X44" s="384"/>
      <c r="Y44" s="384"/>
    </row>
    <row r="45">
      <c r="A45" s="385"/>
      <c r="B45" s="631" t="s">
        <v>264</v>
      </c>
      <c r="C45" s="12"/>
      <c r="D45" s="632" t="s">
        <v>265</v>
      </c>
      <c r="F45" s="632" t="s">
        <v>266</v>
      </c>
      <c r="H45" s="632" t="s">
        <v>267</v>
      </c>
      <c r="J45" s="632" t="s">
        <v>18</v>
      </c>
      <c r="K45" s="12"/>
      <c r="M45" s="633" t="s">
        <v>268</v>
      </c>
      <c r="O45" s="556">
        <f>C16/10</f>
        <v>505</v>
      </c>
      <c r="P45" s="486"/>
      <c r="R45" s="384"/>
      <c r="S45" s="384"/>
      <c r="T45" s="384"/>
      <c r="U45" s="384"/>
      <c r="V45" s="384"/>
      <c r="W45" s="384"/>
      <c r="X45" s="384"/>
      <c r="Y45" s="384"/>
    </row>
    <row r="46">
      <c r="A46" s="385"/>
      <c r="B46" s="634" t="s">
        <v>2</v>
      </c>
      <c r="C46" s="12"/>
      <c r="D46" s="635" t="s">
        <v>269</v>
      </c>
      <c r="F46" s="635" t="s">
        <v>266</v>
      </c>
      <c r="H46" s="635" t="s">
        <v>30</v>
      </c>
      <c r="J46" s="635" t="s">
        <v>270</v>
      </c>
      <c r="K46" s="12"/>
      <c r="M46" s="633" t="s">
        <v>271</v>
      </c>
      <c r="O46" s="636">
        <f>(L12-H10-H11-H13)*1000</f>
        <v>95220</v>
      </c>
      <c r="P46" s="486"/>
      <c r="U46" s="4"/>
    </row>
    <row r="47">
      <c r="A47" s="385"/>
      <c r="B47" s="634" t="s">
        <v>272</v>
      </c>
      <c r="C47" s="12"/>
      <c r="D47" s="637">
        <v>240.0</v>
      </c>
      <c r="F47" s="637">
        <v>200.0</v>
      </c>
      <c r="H47" s="638">
        <f>1000*J23</f>
        <v>230</v>
      </c>
      <c r="I47" s="12"/>
      <c r="J47" s="564">
        <f>1000*J23</f>
        <v>230</v>
      </c>
      <c r="K47" s="12"/>
      <c r="L47" s="431"/>
      <c r="M47" s="639" t="s">
        <v>273</v>
      </c>
      <c r="N47" s="477"/>
      <c r="O47" s="640">
        <f>L10</f>
        <v>113980</v>
      </c>
      <c r="P47" s="486"/>
      <c r="U47" s="4"/>
    </row>
    <row r="48">
      <c r="A48" s="385"/>
      <c r="B48" s="634" t="s">
        <v>274</v>
      </c>
      <c r="C48" s="12"/>
      <c r="D48" s="641">
        <v>200.0</v>
      </c>
      <c r="F48" s="641">
        <v>500.0</v>
      </c>
      <c r="H48" s="642">
        <f>E29</f>
        <v>209.4938863</v>
      </c>
      <c r="I48" s="12"/>
      <c r="J48" s="643">
        <f>J29</f>
        <v>187.9257263</v>
      </c>
      <c r="K48" s="12"/>
      <c r="L48" s="431"/>
      <c r="M48" s="431"/>
      <c r="O48" s="564"/>
      <c r="P48" s="486"/>
      <c r="U48" s="4"/>
    </row>
    <row r="49">
      <c r="A49" s="385"/>
      <c r="B49" s="634" t="s">
        <v>275</v>
      </c>
      <c r="C49" s="12"/>
      <c r="D49" s="644">
        <v>0.0</v>
      </c>
      <c r="K49" s="12"/>
      <c r="L49" s="431"/>
      <c r="M49" s="431"/>
      <c r="N49" s="564"/>
      <c r="O49" s="564"/>
      <c r="P49" s="486"/>
      <c r="U49" s="4"/>
    </row>
    <row r="50">
      <c r="A50" s="385"/>
      <c r="B50" s="634" t="s">
        <v>276</v>
      </c>
      <c r="C50" s="12"/>
      <c r="D50" s="645">
        <v>0.001</v>
      </c>
      <c r="F50" s="646">
        <f>H10</f>
        <v>2.7</v>
      </c>
      <c r="H50" s="646">
        <f>H11</f>
        <v>7.05</v>
      </c>
      <c r="I50" s="12"/>
      <c r="J50" s="646">
        <f>H13</f>
        <v>9.01</v>
      </c>
      <c r="K50" s="12"/>
      <c r="L50" s="431"/>
      <c r="M50" s="431"/>
      <c r="N50" s="564"/>
      <c r="O50" s="564"/>
      <c r="P50" s="486"/>
      <c r="U50" s="4"/>
    </row>
    <row r="51">
      <c r="A51" s="385"/>
      <c r="B51" s="634" t="s">
        <v>277</v>
      </c>
      <c r="C51" s="12"/>
      <c r="D51" s="645">
        <v>0.001</v>
      </c>
      <c r="F51" s="646">
        <f>H10</f>
        <v>2.7</v>
      </c>
      <c r="H51" s="646">
        <f>H11</f>
        <v>7.05</v>
      </c>
      <c r="I51" s="12"/>
      <c r="J51" s="646">
        <f>H13</f>
        <v>9.01</v>
      </c>
      <c r="K51" s="12"/>
      <c r="L51" s="431"/>
      <c r="M51" s="431"/>
      <c r="N51" s="564"/>
      <c r="O51" s="564"/>
      <c r="P51" s="486"/>
      <c r="U51" s="4"/>
    </row>
    <row r="52">
      <c r="A52" s="385"/>
      <c r="B52" s="634" t="s">
        <v>278</v>
      </c>
      <c r="C52" s="12"/>
      <c r="D52" s="531" t="s">
        <v>279</v>
      </c>
      <c r="K52" s="12"/>
      <c r="L52" s="431"/>
      <c r="M52" s="431"/>
      <c r="N52" s="564"/>
      <c r="O52" s="564"/>
      <c r="P52" s="486"/>
      <c r="U52" s="4"/>
    </row>
    <row r="53">
      <c r="A53" s="385"/>
      <c r="B53" s="634" t="s">
        <v>280</v>
      </c>
      <c r="C53" s="12"/>
      <c r="D53" s="637">
        <v>0.0</v>
      </c>
      <c r="E53" s="644">
        <v>0.0</v>
      </c>
      <c r="F53" s="637">
        <v>0.0</v>
      </c>
      <c r="G53" s="644">
        <v>0.0</v>
      </c>
      <c r="H53" s="637">
        <v>0.0</v>
      </c>
      <c r="I53" s="647">
        <v>0.0</v>
      </c>
      <c r="J53" s="637">
        <v>0.0</v>
      </c>
      <c r="K53" s="647">
        <v>0.0</v>
      </c>
      <c r="L53" s="431"/>
      <c r="M53" s="431"/>
      <c r="N53" s="564"/>
      <c r="O53" s="564"/>
      <c r="P53" s="486"/>
      <c r="U53" s="4"/>
    </row>
    <row r="54">
      <c r="A54" s="385"/>
      <c r="B54" s="634" t="s">
        <v>281</v>
      </c>
      <c r="C54" s="12"/>
      <c r="D54" s="646">
        <f>$O$23</f>
        <v>0.01</v>
      </c>
      <c r="E54" s="648">
        <f t="shared" ref="E54:E55" si="2">$O$22</f>
        <v>7000</v>
      </c>
      <c r="F54" s="646">
        <f>$O$23</f>
        <v>0.01</v>
      </c>
      <c r="G54" s="649">
        <v>0.001</v>
      </c>
      <c r="H54" s="646">
        <f>$O$23</f>
        <v>0.01</v>
      </c>
      <c r="I54" s="650">
        <v>0.001</v>
      </c>
      <c r="J54" s="646">
        <f>$O$23</f>
        <v>0.01</v>
      </c>
      <c r="K54" s="650">
        <v>0.001</v>
      </c>
      <c r="L54" s="431"/>
      <c r="M54" s="431"/>
      <c r="N54" s="564"/>
      <c r="O54" s="564"/>
      <c r="P54" s="486"/>
      <c r="U54" s="4"/>
    </row>
    <row r="55">
      <c r="A55" s="385"/>
      <c r="B55" s="634" t="s">
        <v>282</v>
      </c>
      <c r="C55" s="12"/>
      <c r="D55" s="635">
        <f>$O$24</f>
        <v>4.75</v>
      </c>
      <c r="E55" s="648">
        <f t="shared" si="2"/>
        <v>7000</v>
      </c>
      <c r="F55" s="635">
        <f>$O$24</f>
        <v>4.75</v>
      </c>
      <c r="G55" s="649">
        <v>0.001</v>
      </c>
      <c r="H55" s="635">
        <f>$O$24</f>
        <v>4.75</v>
      </c>
      <c r="I55" s="650">
        <v>0.001</v>
      </c>
      <c r="J55" s="635">
        <f>$O$24</f>
        <v>4.75</v>
      </c>
      <c r="K55" s="650">
        <v>0.001</v>
      </c>
      <c r="L55" s="493"/>
      <c r="M55" s="384"/>
      <c r="N55" s="384"/>
      <c r="P55" s="486"/>
      <c r="U55" s="4"/>
    </row>
    <row r="56">
      <c r="A56" s="385"/>
      <c r="B56" s="651" t="s">
        <v>283</v>
      </c>
      <c r="C56" s="572"/>
      <c r="D56" s="652">
        <f>$O24+$O25</f>
        <v>4.85</v>
      </c>
      <c r="E56" s="653">
        <v>0.0</v>
      </c>
      <c r="F56" s="652">
        <f>$O24+$O25</f>
        <v>4.85</v>
      </c>
      <c r="G56" s="653">
        <v>0.0</v>
      </c>
      <c r="H56" s="652">
        <f>$O24+$O25</f>
        <v>4.85</v>
      </c>
      <c r="I56" s="654">
        <v>0.0</v>
      </c>
      <c r="J56" s="652">
        <f>$O24+$O25</f>
        <v>4.85</v>
      </c>
      <c r="K56" s="654">
        <v>0.0</v>
      </c>
      <c r="L56" s="493"/>
      <c r="M56" s="384"/>
      <c r="N56" s="384"/>
      <c r="P56" s="486"/>
      <c r="U56" s="4"/>
    </row>
    <row r="57">
      <c r="A57" s="385"/>
      <c r="B57" s="655"/>
      <c r="C57" s="655"/>
      <c r="D57" s="531"/>
      <c r="E57" s="531"/>
      <c r="F57" s="531"/>
      <c r="G57" s="437"/>
      <c r="I57" s="168"/>
      <c r="J57" s="493"/>
      <c r="K57" s="493"/>
      <c r="L57" s="493"/>
      <c r="M57" s="384"/>
      <c r="N57" s="384"/>
      <c r="P57" s="486"/>
      <c r="U57" s="4"/>
    </row>
    <row r="58">
      <c r="A58" s="444"/>
      <c r="B58" s="480"/>
      <c r="C58" s="480"/>
      <c r="D58" s="480"/>
      <c r="E58" s="494"/>
      <c r="F58" s="494"/>
      <c r="G58" s="480"/>
      <c r="H58" s="494"/>
      <c r="I58" s="480"/>
      <c r="J58" s="480"/>
      <c r="K58" s="480"/>
      <c r="L58" s="480"/>
      <c r="M58" s="480"/>
      <c r="N58" s="480"/>
      <c r="O58" s="480"/>
      <c r="P58" s="495"/>
      <c r="U58" s="4"/>
      <c r="V58" s="4"/>
      <c r="W58" s="4"/>
      <c r="X58" s="62"/>
      <c r="Y58" s="62"/>
    </row>
    <row r="59">
      <c r="A59" s="379"/>
      <c r="B59" s="481"/>
      <c r="C59" s="481"/>
      <c r="D59" s="481"/>
      <c r="E59" s="496"/>
      <c r="F59" s="496"/>
      <c r="G59" s="481"/>
      <c r="H59" s="496"/>
      <c r="I59" s="481"/>
      <c r="J59" s="481"/>
      <c r="K59" s="481"/>
      <c r="L59" s="481"/>
      <c r="M59" s="496"/>
      <c r="N59" s="481"/>
      <c r="O59" s="481"/>
      <c r="P59" s="497"/>
      <c r="U59" s="4"/>
      <c r="V59" s="4"/>
      <c r="W59" s="4"/>
      <c r="X59" s="62"/>
      <c r="Y59" s="62"/>
    </row>
    <row r="60">
      <c r="A60" s="385"/>
      <c r="B60" s="454" t="s">
        <v>193</v>
      </c>
      <c r="D60" s="384"/>
      <c r="E60" s="384"/>
      <c r="F60" s="384"/>
      <c r="G60" s="384"/>
      <c r="H60" s="384"/>
      <c r="I60" s="384"/>
      <c r="J60" s="384"/>
      <c r="K60" s="384"/>
      <c r="L60" s="384"/>
      <c r="N60" s="384"/>
      <c r="O60" s="384"/>
      <c r="P60" s="486"/>
      <c r="U60" s="4"/>
      <c r="V60" s="4"/>
      <c r="W60" s="4"/>
      <c r="X60" s="62"/>
      <c r="Y60" s="62"/>
    </row>
    <row r="61">
      <c r="A61" s="385"/>
      <c r="B61" s="414"/>
      <c r="C61" s="414"/>
      <c r="D61" s="414"/>
      <c r="E61" s="414"/>
      <c r="F61" s="414"/>
      <c r="G61" s="414"/>
      <c r="H61" s="414"/>
      <c r="I61" s="414"/>
      <c r="J61" s="656" t="s">
        <v>284</v>
      </c>
      <c r="K61" s="469"/>
      <c r="L61" s="470"/>
      <c r="M61" s="384"/>
      <c r="N61" s="384"/>
      <c r="O61" s="384"/>
      <c r="P61" s="387"/>
      <c r="Q61" s="384"/>
      <c r="R61" s="384"/>
      <c r="S61" s="384"/>
      <c r="T61" s="384"/>
      <c r="W61" s="384"/>
      <c r="X61" s="384"/>
      <c r="Y61" s="384"/>
    </row>
    <row r="62">
      <c r="A62" s="385"/>
      <c r="B62" s="657" t="s">
        <v>77</v>
      </c>
      <c r="C62" s="469"/>
      <c r="D62" s="470"/>
      <c r="E62" s="658"/>
      <c r="F62" s="659" t="s">
        <v>285</v>
      </c>
      <c r="G62" s="469"/>
      <c r="H62" s="470"/>
      <c r="I62" s="658"/>
      <c r="J62" s="660"/>
      <c r="L62" s="12"/>
      <c r="M62" s="624"/>
      <c r="N62" s="624"/>
      <c r="O62" s="624"/>
      <c r="P62" s="387"/>
      <c r="Q62" s="384"/>
      <c r="R62" s="384"/>
      <c r="S62" s="384"/>
      <c r="T62" s="384"/>
      <c r="W62" s="384"/>
      <c r="X62" s="384"/>
      <c r="Y62" s="384"/>
    </row>
    <row r="63">
      <c r="A63" s="385"/>
      <c r="B63" s="661" t="s">
        <v>286</v>
      </c>
      <c r="D63" s="662">
        <v>35.7</v>
      </c>
      <c r="E63" s="236"/>
      <c r="F63" s="661" t="s">
        <v>286</v>
      </c>
      <c r="H63" s="662">
        <v>32.105</v>
      </c>
      <c r="I63" s="236"/>
      <c r="J63" s="661" t="s">
        <v>286</v>
      </c>
      <c r="L63" s="663">
        <f t="shared" ref="L63:L71" si="3">(H63-D63)/D63*100</f>
        <v>-10.07002801</v>
      </c>
      <c r="M63" s="624"/>
      <c r="N63" s="624"/>
      <c r="O63" s="624"/>
      <c r="P63" s="486"/>
      <c r="R63" s="384"/>
      <c r="S63" s="384"/>
      <c r="T63" s="384"/>
      <c r="W63" s="384"/>
      <c r="X63" s="384"/>
      <c r="Y63" s="384"/>
    </row>
    <row r="64">
      <c r="A64" s="385"/>
      <c r="B64" s="664" t="s">
        <v>86</v>
      </c>
      <c r="D64" s="665">
        <v>3044.0</v>
      </c>
      <c r="E64" s="504"/>
      <c r="F64" s="664" t="s">
        <v>86</v>
      </c>
      <c r="H64" s="665">
        <v>3278.346</v>
      </c>
      <c r="I64" s="504"/>
      <c r="J64" s="664" t="s">
        <v>86</v>
      </c>
      <c r="L64" s="663">
        <f t="shared" si="3"/>
        <v>7.698620237</v>
      </c>
      <c r="M64" s="624"/>
      <c r="N64" s="624"/>
      <c r="O64" s="624"/>
      <c r="P64" s="486"/>
      <c r="R64" s="384"/>
      <c r="S64" s="384"/>
      <c r="T64" s="384"/>
      <c r="W64" s="384"/>
      <c r="X64" s="384"/>
      <c r="Y64" s="384"/>
    </row>
    <row r="65">
      <c r="A65" s="385"/>
      <c r="B65" s="666" t="s">
        <v>287</v>
      </c>
      <c r="D65" s="667">
        <v>17.2</v>
      </c>
      <c r="E65" s="504"/>
      <c r="F65" s="666" t="s">
        <v>287</v>
      </c>
      <c r="H65" s="667">
        <v>15.271</v>
      </c>
      <c r="I65" s="504"/>
      <c r="J65" s="666" t="s">
        <v>287</v>
      </c>
      <c r="L65" s="663">
        <f t="shared" si="3"/>
        <v>-11.21511628</v>
      </c>
      <c r="M65" s="624"/>
      <c r="N65" s="624"/>
      <c r="O65" s="624"/>
      <c r="P65" s="486"/>
      <c r="R65" s="384"/>
      <c r="S65" s="384"/>
      <c r="T65" s="384"/>
      <c r="W65" s="384"/>
      <c r="X65" s="384"/>
      <c r="Y65" s="384"/>
    </row>
    <row r="66">
      <c r="A66" s="385"/>
      <c r="B66" s="666" t="s">
        <v>288</v>
      </c>
      <c r="D66" s="667">
        <v>261.0</v>
      </c>
      <c r="E66" s="504"/>
      <c r="F66" s="666" t="s">
        <v>288</v>
      </c>
      <c r="H66" s="667">
        <v>260.309</v>
      </c>
      <c r="I66" s="504"/>
      <c r="J66" s="666" t="s">
        <v>288</v>
      </c>
      <c r="L66" s="663">
        <f t="shared" si="3"/>
        <v>-0.2647509579</v>
      </c>
      <c r="M66" s="624"/>
      <c r="N66" s="624"/>
      <c r="O66" s="624"/>
      <c r="P66" s="486"/>
      <c r="R66" s="384"/>
      <c r="S66" s="384"/>
      <c r="T66" s="384"/>
      <c r="W66" s="384"/>
      <c r="X66" s="384"/>
      <c r="Y66" s="384"/>
    </row>
    <row r="67">
      <c r="A67" s="385"/>
      <c r="B67" s="666" t="s">
        <v>289</v>
      </c>
      <c r="D67" s="667">
        <v>55.9</v>
      </c>
      <c r="E67" s="504"/>
      <c r="F67" s="666" t="s">
        <v>289</v>
      </c>
      <c r="H67" s="667">
        <v>56.415</v>
      </c>
      <c r="I67" s="504"/>
      <c r="J67" s="666" t="s">
        <v>289</v>
      </c>
      <c r="L67" s="663">
        <f t="shared" si="3"/>
        <v>0.9212880143</v>
      </c>
      <c r="M67" s="624"/>
      <c r="N67" s="624"/>
      <c r="O67" s="624"/>
      <c r="P67" s="486"/>
      <c r="R67" s="384"/>
      <c r="S67" s="384"/>
      <c r="T67" s="384"/>
      <c r="W67" s="384"/>
      <c r="X67" s="384"/>
      <c r="Y67" s="384"/>
    </row>
    <row r="68">
      <c r="A68" s="385"/>
      <c r="B68" s="666" t="s">
        <v>87</v>
      </c>
      <c r="D68" s="667">
        <v>26.1</v>
      </c>
      <c r="E68" s="504"/>
      <c r="F68" s="666" t="s">
        <v>87</v>
      </c>
      <c r="H68" s="667">
        <v>27.263</v>
      </c>
      <c r="I68" s="504"/>
      <c r="J68" s="666" t="s">
        <v>87</v>
      </c>
      <c r="L68" s="663">
        <f t="shared" si="3"/>
        <v>4.455938697</v>
      </c>
      <c r="M68" s="624"/>
      <c r="N68" s="624"/>
      <c r="O68" s="624"/>
      <c r="P68" s="486"/>
      <c r="R68" s="384"/>
      <c r="S68" s="384"/>
      <c r="T68" s="384"/>
      <c r="W68" s="384"/>
      <c r="X68" s="384"/>
      <c r="Y68" s="384"/>
    </row>
    <row r="69">
      <c r="A69" s="385"/>
      <c r="B69" s="666" t="s">
        <v>290</v>
      </c>
      <c r="D69" s="667">
        <v>227.0</v>
      </c>
      <c r="E69" s="504"/>
      <c r="F69" s="666" t="s">
        <v>290</v>
      </c>
      <c r="H69" s="667">
        <v>174.21</v>
      </c>
      <c r="I69" s="504"/>
      <c r="J69" s="666" t="s">
        <v>290</v>
      </c>
      <c r="L69" s="663">
        <f t="shared" si="3"/>
        <v>-23.25550661</v>
      </c>
      <c r="M69" s="624"/>
      <c r="N69" s="624"/>
      <c r="O69" s="624"/>
      <c r="P69" s="486"/>
      <c r="R69" s="384"/>
      <c r="S69" s="384"/>
      <c r="T69" s="384"/>
      <c r="W69" s="384"/>
      <c r="X69" s="384"/>
      <c r="Y69" s="384"/>
    </row>
    <row r="70">
      <c r="A70" s="385"/>
      <c r="B70" s="666" t="s">
        <v>291</v>
      </c>
      <c r="D70" s="667">
        <v>6.12</v>
      </c>
      <c r="E70" s="504"/>
      <c r="F70" s="666" t="s">
        <v>291</v>
      </c>
      <c r="H70" s="667">
        <v>8.0</v>
      </c>
      <c r="I70" s="504"/>
      <c r="J70" s="666" t="s">
        <v>291</v>
      </c>
      <c r="L70" s="663">
        <f t="shared" si="3"/>
        <v>30.71895425</v>
      </c>
      <c r="M70" s="624"/>
      <c r="N70" s="624"/>
      <c r="O70" s="624"/>
      <c r="P70" s="486"/>
      <c r="R70" s="384"/>
      <c r="S70" s="384"/>
      <c r="T70" s="384"/>
      <c r="W70" s="384"/>
      <c r="X70" s="384"/>
      <c r="Y70" s="384"/>
    </row>
    <row r="71">
      <c r="A71" s="385"/>
      <c r="B71" s="668" t="s">
        <v>292</v>
      </c>
      <c r="C71" s="477"/>
      <c r="D71" s="669">
        <v>0.774</v>
      </c>
      <c r="E71" s="504"/>
      <c r="F71" s="668" t="s">
        <v>292</v>
      </c>
      <c r="G71" s="477"/>
      <c r="H71" s="669">
        <v>0.764</v>
      </c>
      <c r="I71" s="504"/>
      <c r="J71" s="668" t="s">
        <v>292</v>
      </c>
      <c r="K71" s="477"/>
      <c r="L71" s="669">
        <f t="shared" si="3"/>
        <v>-1.291989664</v>
      </c>
      <c r="M71" s="624"/>
      <c r="N71" s="624"/>
      <c r="O71" s="624"/>
      <c r="P71" s="486"/>
      <c r="R71" s="384"/>
      <c r="S71" s="384"/>
      <c r="T71" s="384"/>
      <c r="W71" s="384"/>
      <c r="X71" s="384"/>
      <c r="Y71" s="384"/>
    </row>
    <row r="72">
      <c r="A72" s="444"/>
      <c r="B72" s="494"/>
      <c r="C72" s="494"/>
      <c r="D72" s="494"/>
      <c r="E72" s="494"/>
      <c r="F72" s="494"/>
      <c r="G72" s="494"/>
      <c r="H72" s="494"/>
      <c r="I72" s="494"/>
      <c r="J72" s="494"/>
      <c r="K72" s="494"/>
      <c r="L72" s="480"/>
      <c r="M72" s="494"/>
      <c r="N72" s="494"/>
      <c r="O72" s="480"/>
      <c r="P72" s="495"/>
      <c r="X72" s="384"/>
      <c r="Y72" s="384"/>
    </row>
    <row r="73">
      <c r="A73" s="384"/>
      <c r="B73" s="384"/>
      <c r="C73" s="384"/>
      <c r="D73" s="384"/>
      <c r="E73" s="384"/>
      <c r="F73" s="384"/>
      <c r="G73" s="384"/>
      <c r="H73" s="384"/>
      <c r="I73" s="384"/>
      <c r="J73" s="384"/>
      <c r="K73" s="384"/>
      <c r="L73" s="384"/>
      <c r="O73" s="384"/>
      <c r="X73" s="384"/>
      <c r="Y73" s="384"/>
    </row>
    <row r="74">
      <c r="A74" s="384"/>
      <c r="B74" s="384"/>
      <c r="C74" s="384"/>
      <c r="D74" s="384"/>
      <c r="E74" s="384"/>
      <c r="F74" s="384"/>
      <c r="G74" s="384"/>
      <c r="H74" s="384"/>
      <c r="I74" s="384"/>
      <c r="J74" s="384"/>
      <c r="K74" s="384"/>
      <c r="L74" s="384"/>
      <c r="M74" s="384"/>
      <c r="N74" s="384"/>
      <c r="O74" s="384"/>
      <c r="X74" s="384"/>
      <c r="Y74" s="384"/>
    </row>
    <row r="75">
      <c r="A75" s="384"/>
      <c r="B75" s="384"/>
      <c r="C75" s="384"/>
      <c r="D75" s="384"/>
      <c r="E75" s="384"/>
      <c r="F75" s="384"/>
      <c r="G75" s="384"/>
      <c r="H75" s="384"/>
      <c r="I75" s="384"/>
      <c r="J75" s="384"/>
      <c r="K75" s="384"/>
      <c r="L75" s="384"/>
      <c r="M75" s="384"/>
      <c r="N75" s="384"/>
      <c r="O75" s="384"/>
      <c r="P75" s="384"/>
      <c r="Q75" s="384"/>
      <c r="R75" s="384"/>
      <c r="S75" s="384"/>
      <c r="T75" s="384"/>
      <c r="U75" s="384"/>
      <c r="V75" s="384"/>
      <c r="W75" s="384"/>
      <c r="X75" s="384"/>
      <c r="Y75" s="384"/>
    </row>
    <row r="76">
      <c r="A76" s="384"/>
      <c r="B76" s="384"/>
      <c r="C76" s="384"/>
      <c r="D76" s="384"/>
      <c r="E76" s="384"/>
      <c r="F76" s="384"/>
      <c r="G76" s="384"/>
      <c r="H76" s="384"/>
      <c r="I76" s="384"/>
      <c r="J76" s="384"/>
      <c r="K76" s="384"/>
      <c r="L76" s="384"/>
      <c r="M76" s="384"/>
      <c r="N76" s="384"/>
      <c r="O76" s="384"/>
      <c r="P76" s="384"/>
      <c r="Q76" s="384"/>
      <c r="R76" s="384"/>
      <c r="S76" s="384"/>
      <c r="T76" s="384"/>
      <c r="U76" s="384"/>
      <c r="V76" s="384"/>
      <c r="W76" s="384"/>
      <c r="X76" s="384"/>
      <c r="Y76" s="384"/>
    </row>
    <row r="77">
      <c r="A77" s="384"/>
      <c r="B77" s="384"/>
      <c r="C77" s="384"/>
      <c r="D77" s="384"/>
      <c r="E77" s="384"/>
      <c r="F77" s="384"/>
      <c r="G77" s="384"/>
      <c r="H77" s="384"/>
      <c r="I77" s="384"/>
      <c r="J77" s="384"/>
      <c r="K77" s="384"/>
      <c r="L77" s="384"/>
      <c r="M77" s="384"/>
      <c r="N77" s="384"/>
      <c r="O77" s="384"/>
      <c r="P77" s="384"/>
      <c r="Q77" s="384"/>
      <c r="R77" s="384"/>
      <c r="S77" s="384"/>
      <c r="T77" s="384"/>
      <c r="U77" s="384"/>
      <c r="V77" s="384"/>
      <c r="W77" s="384"/>
      <c r="X77" s="384"/>
      <c r="Y77" s="384"/>
    </row>
    <row r="78">
      <c r="A78" s="384"/>
      <c r="B78" s="384"/>
      <c r="C78" s="384"/>
      <c r="D78" s="384"/>
      <c r="E78" s="384"/>
      <c r="F78" s="384"/>
      <c r="G78" s="384"/>
      <c r="H78" s="384"/>
      <c r="I78" s="384"/>
      <c r="J78" s="384"/>
      <c r="K78" s="384"/>
      <c r="L78" s="384"/>
      <c r="M78" s="384"/>
      <c r="N78" s="384"/>
      <c r="O78" s="384"/>
      <c r="P78" s="384"/>
      <c r="Q78" s="384"/>
      <c r="R78" s="384"/>
      <c r="S78" s="384"/>
      <c r="T78" s="384"/>
      <c r="U78" s="384"/>
      <c r="V78" s="384"/>
      <c r="W78" s="384"/>
      <c r="X78" s="384"/>
      <c r="Y78" s="384"/>
    </row>
    <row r="79">
      <c r="A79" s="384"/>
      <c r="B79" s="384"/>
      <c r="C79" s="384"/>
      <c r="D79" s="384"/>
      <c r="E79" s="384"/>
      <c r="F79" s="384"/>
      <c r="G79" s="384"/>
      <c r="H79" s="384"/>
      <c r="I79" s="384"/>
      <c r="J79" s="384"/>
      <c r="K79" s="384"/>
      <c r="L79" s="384"/>
      <c r="M79" s="384"/>
      <c r="N79" s="384"/>
      <c r="O79" s="384"/>
      <c r="P79" s="384"/>
      <c r="Q79" s="384"/>
      <c r="R79" s="384"/>
      <c r="S79" s="384"/>
      <c r="T79" s="384"/>
      <c r="U79" s="384"/>
      <c r="V79" s="384"/>
      <c r="W79" s="384"/>
      <c r="X79" s="384"/>
      <c r="Y79" s="384"/>
    </row>
    <row r="80">
      <c r="A80" s="384"/>
      <c r="B80" s="384"/>
      <c r="C80" s="384"/>
      <c r="D80" s="384"/>
      <c r="E80" s="384"/>
      <c r="F80" s="384"/>
      <c r="G80" s="384"/>
      <c r="H80" s="384"/>
      <c r="I80" s="384"/>
      <c r="J80" s="384"/>
      <c r="K80" s="384"/>
      <c r="L80" s="384"/>
      <c r="M80" s="384"/>
      <c r="N80" s="384"/>
      <c r="O80" s="384"/>
      <c r="P80" s="384"/>
      <c r="Q80" s="384"/>
      <c r="R80" s="384"/>
      <c r="S80" s="384"/>
      <c r="T80" s="384"/>
      <c r="U80" s="384"/>
      <c r="V80" s="384"/>
      <c r="W80" s="384"/>
      <c r="X80" s="384"/>
      <c r="Y80" s="384"/>
    </row>
    <row r="81">
      <c r="A81" s="384"/>
      <c r="B81" s="384"/>
      <c r="C81" s="384"/>
      <c r="D81" s="384"/>
      <c r="E81" s="384"/>
      <c r="F81" s="384"/>
      <c r="G81" s="384"/>
      <c r="H81" s="384"/>
      <c r="I81" s="384"/>
      <c r="J81" s="384"/>
      <c r="K81" s="384"/>
      <c r="L81" s="384"/>
      <c r="M81" s="384"/>
      <c r="N81" s="384"/>
      <c r="O81" s="384"/>
      <c r="P81" s="384"/>
      <c r="Q81" s="384"/>
      <c r="R81" s="384"/>
      <c r="S81" s="384"/>
      <c r="T81" s="384"/>
      <c r="U81" s="384"/>
      <c r="V81" s="384"/>
      <c r="W81" s="384"/>
      <c r="X81" s="384"/>
      <c r="Y81" s="384"/>
    </row>
    <row r="82">
      <c r="A82" s="384"/>
      <c r="B82" s="384"/>
      <c r="C82" s="384"/>
      <c r="D82" s="384"/>
      <c r="E82" s="384"/>
      <c r="F82" s="384"/>
      <c r="G82" s="384"/>
      <c r="H82" s="384"/>
      <c r="I82" s="384"/>
      <c r="J82" s="384"/>
      <c r="K82" s="384"/>
      <c r="L82" s="384"/>
      <c r="M82" s="384"/>
      <c r="N82" s="384"/>
      <c r="O82" s="384"/>
      <c r="P82" s="384"/>
      <c r="Q82" s="384"/>
      <c r="R82" s="384"/>
      <c r="S82" s="384"/>
      <c r="T82" s="384"/>
      <c r="U82" s="384"/>
      <c r="V82" s="384"/>
      <c r="W82" s="384"/>
      <c r="X82" s="384"/>
      <c r="Y82" s="384"/>
    </row>
    <row r="83">
      <c r="A83" s="384"/>
      <c r="B83" s="384"/>
      <c r="C83" s="384"/>
      <c r="D83" s="384"/>
      <c r="E83" s="384"/>
      <c r="F83" s="384"/>
      <c r="G83" s="384"/>
      <c r="H83" s="384"/>
      <c r="I83" s="384"/>
      <c r="J83" s="384"/>
      <c r="K83" s="384"/>
      <c r="L83" s="384"/>
      <c r="M83" s="384"/>
      <c r="N83" s="384"/>
      <c r="O83" s="384"/>
      <c r="P83" s="384"/>
      <c r="Q83" s="384"/>
      <c r="R83" s="384"/>
      <c r="S83" s="384"/>
      <c r="T83" s="384"/>
      <c r="U83" s="384"/>
      <c r="V83" s="384"/>
      <c r="W83" s="384"/>
      <c r="X83" s="384"/>
      <c r="Y83" s="384"/>
    </row>
    <row r="84">
      <c r="A84" s="384"/>
      <c r="B84" s="384"/>
      <c r="C84" s="384"/>
      <c r="D84" s="384"/>
      <c r="E84" s="384"/>
      <c r="F84" s="384"/>
      <c r="G84" s="384"/>
      <c r="H84" s="384"/>
      <c r="I84" s="384"/>
      <c r="J84" s="384"/>
      <c r="K84" s="384"/>
      <c r="L84" s="384"/>
      <c r="M84" s="384"/>
      <c r="N84" s="384"/>
      <c r="O84" s="384"/>
      <c r="P84" s="384"/>
      <c r="Q84" s="384"/>
      <c r="R84" s="384"/>
      <c r="S84" s="384"/>
      <c r="T84" s="384"/>
      <c r="U84" s="384"/>
      <c r="V84" s="384"/>
      <c r="W84" s="384"/>
      <c r="X84" s="384"/>
      <c r="Y84" s="384"/>
    </row>
    <row r="85">
      <c r="A85" s="384"/>
      <c r="B85" s="384"/>
      <c r="C85" s="384"/>
      <c r="D85" s="384"/>
      <c r="E85" s="384"/>
      <c r="F85" s="384"/>
      <c r="G85" s="384"/>
      <c r="H85" s="384"/>
      <c r="I85" s="384"/>
      <c r="J85" s="384"/>
      <c r="K85" s="384"/>
      <c r="L85" s="384"/>
      <c r="M85" s="384"/>
      <c r="N85" s="384"/>
      <c r="O85" s="384"/>
      <c r="P85" s="384"/>
      <c r="Q85" s="384"/>
      <c r="R85" s="384"/>
      <c r="S85" s="384"/>
      <c r="T85" s="384"/>
      <c r="U85" s="384"/>
      <c r="V85" s="384"/>
      <c r="W85" s="384"/>
      <c r="X85" s="384"/>
      <c r="Y85" s="384"/>
    </row>
    <row r="86">
      <c r="A86" s="384"/>
      <c r="B86" s="384"/>
      <c r="C86" s="384"/>
      <c r="D86" s="384"/>
      <c r="E86" s="384"/>
      <c r="F86" s="384"/>
      <c r="G86" s="384"/>
      <c r="H86" s="384"/>
      <c r="I86" s="384"/>
      <c r="J86" s="384"/>
      <c r="K86" s="384"/>
      <c r="L86" s="384"/>
      <c r="M86" s="384"/>
      <c r="N86" s="384"/>
      <c r="O86" s="384"/>
      <c r="P86" s="384"/>
      <c r="Q86" s="384"/>
      <c r="R86" s="384"/>
      <c r="S86" s="384"/>
      <c r="T86" s="384"/>
      <c r="U86" s="384"/>
      <c r="V86" s="384"/>
      <c r="W86" s="384"/>
      <c r="X86" s="384"/>
      <c r="Y86" s="384"/>
    </row>
    <row r="87">
      <c r="A87" s="384"/>
      <c r="B87" s="384"/>
      <c r="C87" s="384"/>
      <c r="D87" s="384"/>
      <c r="E87" s="384"/>
      <c r="F87" s="384"/>
      <c r="G87" s="384"/>
      <c r="H87" s="384"/>
      <c r="I87" s="384"/>
      <c r="J87" s="384"/>
      <c r="K87" s="384"/>
      <c r="L87" s="384"/>
      <c r="M87" s="384"/>
      <c r="N87" s="384"/>
      <c r="O87" s="384"/>
      <c r="P87" s="384"/>
      <c r="Q87" s="384"/>
      <c r="R87" s="384"/>
      <c r="S87" s="384"/>
      <c r="T87" s="384"/>
      <c r="U87" s="384"/>
      <c r="V87" s="384"/>
      <c r="W87" s="384"/>
      <c r="X87" s="384"/>
      <c r="Y87" s="384"/>
    </row>
    <row r="88">
      <c r="A88" s="384"/>
      <c r="B88" s="384"/>
      <c r="C88" s="384"/>
      <c r="D88" s="384"/>
      <c r="E88" s="384"/>
      <c r="F88" s="384"/>
      <c r="G88" s="384"/>
      <c r="H88" s="384"/>
      <c r="I88" s="384"/>
      <c r="J88" s="384"/>
      <c r="K88" s="384"/>
      <c r="L88" s="384"/>
      <c r="M88" s="384"/>
      <c r="N88" s="384"/>
      <c r="O88" s="384"/>
      <c r="P88" s="384"/>
      <c r="Q88" s="384"/>
      <c r="R88" s="384"/>
      <c r="S88" s="384"/>
      <c r="T88" s="384"/>
      <c r="U88" s="384"/>
      <c r="V88" s="384"/>
      <c r="W88" s="384"/>
      <c r="X88" s="384"/>
      <c r="Y88" s="384"/>
    </row>
    <row r="89">
      <c r="A89" s="384"/>
      <c r="B89" s="384"/>
      <c r="C89" s="384"/>
      <c r="D89" s="384"/>
      <c r="E89" s="384"/>
      <c r="F89" s="384"/>
      <c r="G89" s="384"/>
      <c r="H89" s="384"/>
      <c r="I89" s="384"/>
      <c r="J89" s="384"/>
      <c r="K89" s="384"/>
      <c r="L89" s="384"/>
      <c r="M89" s="384"/>
      <c r="N89" s="384"/>
      <c r="O89" s="384"/>
      <c r="P89" s="384"/>
      <c r="Q89" s="384"/>
      <c r="R89" s="384"/>
      <c r="S89" s="384"/>
      <c r="T89" s="384"/>
      <c r="U89" s="384"/>
      <c r="V89" s="384"/>
      <c r="W89" s="384"/>
      <c r="X89" s="384"/>
      <c r="Y89" s="384"/>
    </row>
    <row r="90">
      <c r="A90" s="384"/>
      <c r="B90" s="384"/>
      <c r="C90" s="384"/>
      <c r="D90" s="384"/>
      <c r="E90" s="384"/>
      <c r="F90" s="384"/>
      <c r="G90" s="384"/>
      <c r="H90" s="384"/>
      <c r="I90" s="384"/>
      <c r="J90" s="384"/>
      <c r="K90" s="384"/>
      <c r="L90" s="384"/>
      <c r="M90" s="384"/>
      <c r="N90" s="384"/>
      <c r="O90" s="384"/>
      <c r="P90" s="384"/>
      <c r="Q90" s="384"/>
      <c r="R90" s="384"/>
      <c r="S90" s="384"/>
      <c r="T90" s="384"/>
      <c r="U90" s="384"/>
      <c r="V90" s="384"/>
      <c r="W90" s="384"/>
      <c r="X90" s="384"/>
      <c r="Y90" s="384"/>
    </row>
    <row r="91">
      <c r="A91" s="384"/>
      <c r="B91" s="384"/>
      <c r="C91" s="384"/>
      <c r="D91" s="384"/>
      <c r="E91" s="384"/>
      <c r="F91" s="384"/>
      <c r="G91" s="384"/>
      <c r="H91" s="384"/>
      <c r="I91" s="384"/>
      <c r="J91" s="384"/>
      <c r="K91" s="384"/>
      <c r="L91" s="384"/>
      <c r="M91" s="384"/>
      <c r="N91" s="384"/>
      <c r="O91" s="384"/>
      <c r="P91" s="384"/>
      <c r="Q91" s="384"/>
      <c r="R91" s="384"/>
      <c r="S91" s="384"/>
      <c r="T91" s="384"/>
      <c r="U91" s="384"/>
      <c r="V91" s="384"/>
      <c r="W91" s="384"/>
      <c r="X91" s="384"/>
      <c r="Y91" s="384"/>
    </row>
    <row r="92">
      <c r="A92" s="384"/>
      <c r="B92" s="384"/>
      <c r="C92" s="384"/>
      <c r="D92" s="384"/>
      <c r="E92" s="384"/>
      <c r="F92" s="384"/>
      <c r="G92" s="384"/>
      <c r="H92" s="384"/>
      <c r="I92" s="384"/>
      <c r="J92" s="384"/>
      <c r="K92" s="384"/>
      <c r="L92" s="384"/>
      <c r="M92" s="384"/>
      <c r="N92" s="384"/>
      <c r="O92" s="384"/>
      <c r="P92" s="384"/>
      <c r="Q92" s="384"/>
      <c r="R92" s="384"/>
      <c r="S92" s="384"/>
      <c r="T92" s="384"/>
      <c r="U92" s="384"/>
      <c r="V92" s="384"/>
      <c r="W92" s="384"/>
      <c r="X92" s="384"/>
      <c r="Y92" s="384"/>
    </row>
    <row r="93">
      <c r="A93" s="384"/>
      <c r="B93" s="384"/>
      <c r="C93" s="384"/>
      <c r="D93" s="384"/>
      <c r="E93" s="384"/>
      <c r="F93" s="384"/>
      <c r="G93" s="384"/>
      <c r="H93" s="384"/>
      <c r="I93" s="384"/>
      <c r="J93" s="384"/>
      <c r="K93" s="384"/>
      <c r="L93" s="384"/>
      <c r="M93" s="384"/>
      <c r="N93" s="384"/>
      <c r="O93" s="384"/>
      <c r="P93" s="384"/>
      <c r="Q93" s="384"/>
      <c r="R93" s="384"/>
      <c r="S93" s="384"/>
      <c r="T93" s="384"/>
      <c r="U93" s="384"/>
      <c r="V93" s="384"/>
      <c r="W93" s="384"/>
      <c r="X93" s="384"/>
      <c r="Y93" s="384"/>
    </row>
    <row r="94">
      <c r="A94" s="384"/>
      <c r="B94" s="384"/>
      <c r="C94" s="384"/>
      <c r="D94" s="384"/>
      <c r="E94" s="384"/>
      <c r="F94" s="384"/>
      <c r="G94" s="384"/>
      <c r="H94" s="384"/>
      <c r="I94" s="384"/>
      <c r="J94" s="384"/>
      <c r="K94" s="384"/>
      <c r="L94" s="384"/>
      <c r="M94" s="384"/>
      <c r="N94" s="384"/>
      <c r="O94" s="384"/>
      <c r="P94" s="384"/>
      <c r="Q94" s="384"/>
      <c r="R94" s="384"/>
      <c r="S94" s="384"/>
      <c r="T94" s="384"/>
      <c r="U94" s="384"/>
      <c r="V94" s="384"/>
      <c r="W94" s="384"/>
      <c r="X94" s="384"/>
      <c r="Y94" s="384"/>
    </row>
    <row r="95">
      <c r="A95" s="384"/>
      <c r="B95" s="384"/>
      <c r="C95" s="384"/>
      <c r="D95" s="384"/>
      <c r="E95" s="384"/>
      <c r="F95" s="384"/>
      <c r="G95" s="384"/>
      <c r="H95" s="384"/>
      <c r="I95" s="384"/>
      <c r="J95" s="384"/>
      <c r="K95" s="384"/>
      <c r="L95" s="384"/>
      <c r="M95" s="384"/>
      <c r="N95" s="384"/>
      <c r="O95" s="384"/>
      <c r="P95" s="384"/>
      <c r="Q95" s="384"/>
      <c r="R95" s="384"/>
      <c r="S95" s="384"/>
      <c r="T95" s="384"/>
      <c r="U95" s="384"/>
      <c r="V95" s="384"/>
      <c r="W95" s="384"/>
      <c r="X95" s="384"/>
      <c r="Y95" s="384"/>
    </row>
    <row r="96">
      <c r="A96" s="384"/>
      <c r="B96" s="384"/>
      <c r="C96" s="384"/>
      <c r="D96" s="384"/>
      <c r="E96" s="384"/>
      <c r="F96" s="384"/>
      <c r="G96" s="384"/>
      <c r="H96" s="384"/>
      <c r="I96" s="384"/>
      <c r="J96" s="384"/>
      <c r="K96" s="384"/>
      <c r="L96" s="384"/>
      <c r="M96" s="384"/>
      <c r="N96" s="384"/>
      <c r="O96" s="384"/>
      <c r="P96" s="384"/>
      <c r="Q96" s="384"/>
      <c r="R96" s="384"/>
      <c r="S96" s="384"/>
      <c r="T96" s="384"/>
      <c r="U96" s="384"/>
      <c r="V96" s="384"/>
      <c r="W96" s="384"/>
      <c r="X96" s="384"/>
      <c r="Y96" s="384"/>
    </row>
    <row r="97">
      <c r="A97" s="384"/>
      <c r="B97" s="384"/>
      <c r="C97" s="384"/>
      <c r="D97" s="384"/>
      <c r="E97" s="384"/>
      <c r="F97" s="384"/>
      <c r="G97" s="384"/>
      <c r="H97" s="384"/>
      <c r="I97" s="384"/>
      <c r="J97" s="384"/>
      <c r="K97" s="384"/>
      <c r="L97" s="384"/>
      <c r="M97" s="384"/>
      <c r="N97" s="384"/>
      <c r="O97" s="384"/>
      <c r="P97" s="384"/>
      <c r="Q97" s="384"/>
      <c r="R97" s="384"/>
      <c r="S97" s="384"/>
      <c r="T97" s="384"/>
      <c r="U97" s="384"/>
      <c r="V97" s="384"/>
      <c r="W97" s="384"/>
      <c r="X97" s="384"/>
      <c r="Y97" s="384"/>
    </row>
    <row r="98">
      <c r="A98" s="384"/>
      <c r="B98" s="384"/>
      <c r="C98" s="384"/>
      <c r="D98" s="384"/>
      <c r="E98" s="384"/>
      <c r="F98" s="384"/>
      <c r="G98" s="384"/>
      <c r="H98" s="384"/>
      <c r="I98" s="384"/>
      <c r="J98" s="384"/>
      <c r="K98" s="384"/>
      <c r="L98" s="384"/>
      <c r="M98" s="384"/>
      <c r="N98" s="384"/>
      <c r="O98" s="384"/>
      <c r="P98" s="384"/>
      <c r="Q98" s="384"/>
      <c r="R98" s="384"/>
      <c r="S98" s="384"/>
      <c r="T98" s="384"/>
      <c r="U98" s="384"/>
      <c r="V98" s="384"/>
      <c r="W98" s="384"/>
      <c r="X98" s="384"/>
      <c r="Y98" s="384"/>
    </row>
    <row r="99">
      <c r="A99" s="384"/>
      <c r="B99" s="384"/>
      <c r="C99" s="384"/>
      <c r="D99" s="384"/>
      <c r="E99" s="384"/>
      <c r="F99" s="384"/>
      <c r="G99" s="384"/>
      <c r="H99" s="384"/>
      <c r="I99" s="384"/>
      <c r="J99" s="384"/>
      <c r="K99" s="384"/>
      <c r="L99" s="384"/>
      <c r="M99" s="384"/>
      <c r="N99" s="384"/>
      <c r="O99" s="384"/>
      <c r="P99" s="384"/>
      <c r="Q99" s="384"/>
      <c r="R99" s="384"/>
      <c r="S99" s="384"/>
      <c r="T99" s="384"/>
      <c r="U99" s="384"/>
      <c r="V99" s="384"/>
      <c r="W99" s="384"/>
      <c r="X99" s="384"/>
      <c r="Y99" s="384"/>
    </row>
    <row r="100">
      <c r="A100" s="384"/>
      <c r="B100" s="384"/>
      <c r="C100" s="384"/>
      <c r="D100" s="384"/>
      <c r="E100" s="384"/>
      <c r="F100" s="384"/>
      <c r="G100" s="384"/>
      <c r="H100" s="384"/>
      <c r="I100" s="384"/>
      <c r="J100" s="384"/>
      <c r="K100" s="384"/>
      <c r="L100" s="384"/>
      <c r="M100" s="384"/>
      <c r="N100" s="384"/>
      <c r="O100" s="384"/>
      <c r="P100" s="384"/>
      <c r="Q100" s="384"/>
      <c r="R100" s="384"/>
      <c r="S100" s="384"/>
      <c r="T100" s="384"/>
      <c r="U100" s="384"/>
      <c r="V100" s="384"/>
      <c r="W100" s="384"/>
      <c r="X100" s="384"/>
      <c r="Y100" s="384"/>
    </row>
    <row r="101">
      <c r="A101" s="384"/>
      <c r="B101" s="384"/>
      <c r="C101" s="384"/>
      <c r="D101" s="384"/>
      <c r="E101" s="384"/>
      <c r="F101" s="384"/>
      <c r="G101" s="384"/>
      <c r="H101" s="384"/>
      <c r="I101" s="384"/>
      <c r="J101" s="384"/>
      <c r="K101" s="384"/>
      <c r="L101" s="384"/>
      <c r="M101" s="384"/>
      <c r="N101" s="384"/>
      <c r="O101" s="384"/>
      <c r="P101" s="384"/>
      <c r="Q101" s="384"/>
      <c r="R101" s="384"/>
      <c r="S101" s="384"/>
      <c r="T101" s="384"/>
      <c r="U101" s="384"/>
      <c r="V101" s="384"/>
      <c r="W101" s="384"/>
      <c r="X101" s="384"/>
      <c r="Y101" s="384"/>
    </row>
    <row r="102">
      <c r="A102" s="384"/>
      <c r="B102" s="384"/>
      <c r="C102" s="384"/>
      <c r="D102" s="384"/>
      <c r="E102" s="384"/>
      <c r="F102" s="384"/>
      <c r="G102" s="384"/>
      <c r="H102" s="384"/>
      <c r="I102" s="384"/>
      <c r="J102" s="384"/>
      <c r="K102" s="384"/>
      <c r="L102" s="384"/>
      <c r="M102" s="384"/>
      <c r="N102" s="384"/>
      <c r="O102" s="384"/>
      <c r="P102" s="384"/>
      <c r="Q102" s="384"/>
      <c r="R102" s="384"/>
      <c r="S102" s="384"/>
      <c r="T102" s="384"/>
      <c r="U102" s="384"/>
      <c r="V102" s="384"/>
      <c r="W102" s="384"/>
      <c r="X102" s="384"/>
      <c r="Y102" s="384"/>
    </row>
    <row r="103">
      <c r="A103" s="384"/>
      <c r="B103" s="384"/>
      <c r="C103" s="384"/>
      <c r="D103" s="384"/>
      <c r="E103" s="384"/>
      <c r="F103" s="384"/>
      <c r="G103" s="384"/>
      <c r="H103" s="384"/>
      <c r="I103" s="384"/>
      <c r="J103" s="384"/>
      <c r="K103" s="384"/>
      <c r="L103" s="384"/>
      <c r="M103" s="384"/>
      <c r="N103" s="384"/>
      <c r="O103" s="384"/>
      <c r="P103" s="384"/>
      <c r="Q103" s="384"/>
      <c r="R103" s="384"/>
      <c r="S103" s="384"/>
      <c r="T103" s="384"/>
      <c r="U103" s="384"/>
      <c r="V103" s="384"/>
      <c r="W103" s="384"/>
      <c r="X103" s="384"/>
      <c r="Y103" s="384"/>
    </row>
    <row r="104">
      <c r="A104" s="384"/>
      <c r="B104" s="384"/>
      <c r="C104" s="384"/>
      <c r="D104" s="384"/>
      <c r="E104" s="384"/>
      <c r="F104" s="384"/>
      <c r="G104" s="384"/>
      <c r="H104" s="384"/>
      <c r="I104" s="384"/>
      <c r="J104" s="384"/>
      <c r="K104" s="384"/>
      <c r="L104" s="384"/>
      <c r="M104" s="384"/>
      <c r="N104" s="384"/>
      <c r="O104" s="384"/>
      <c r="P104" s="384"/>
      <c r="Q104" s="384"/>
      <c r="R104" s="384"/>
      <c r="S104" s="384"/>
      <c r="T104" s="384"/>
      <c r="U104" s="384"/>
      <c r="V104" s="384"/>
      <c r="W104" s="384"/>
      <c r="X104" s="384"/>
      <c r="Y104" s="384"/>
    </row>
    <row r="105">
      <c r="A105" s="384"/>
      <c r="B105" s="384"/>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row>
    <row r="106">
      <c r="A106" s="384"/>
      <c r="B106" s="384"/>
      <c r="C106" s="384"/>
      <c r="D106" s="384"/>
      <c r="E106" s="384"/>
      <c r="F106" s="384"/>
      <c r="G106" s="384"/>
      <c r="H106" s="384"/>
      <c r="I106" s="384"/>
      <c r="J106" s="384"/>
      <c r="K106" s="384"/>
      <c r="L106" s="384"/>
      <c r="M106" s="384"/>
      <c r="N106" s="384"/>
      <c r="O106" s="384"/>
      <c r="P106" s="384"/>
      <c r="Q106" s="384"/>
      <c r="R106" s="384"/>
      <c r="S106" s="384"/>
      <c r="T106" s="384"/>
      <c r="U106" s="384"/>
      <c r="V106" s="384"/>
      <c r="W106" s="384"/>
      <c r="X106" s="384"/>
      <c r="Y106" s="384"/>
    </row>
    <row r="107">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row>
    <row r="108">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row>
  </sheetData>
  <mergeCells count="154">
    <mergeCell ref="C13:D13"/>
    <mergeCell ref="E13:F13"/>
    <mergeCell ref="J13:K13"/>
    <mergeCell ref="C14:D14"/>
    <mergeCell ref="E14:F14"/>
    <mergeCell ref="G14:H15"/>
    <mergeCell ref="J14:K14"/>
    <mergeCell ref="C16:D16"/>
    <mergeCell ref="E16:F16"/>
    <mergeCell ref="G16:H16"/>
    <mergeCell ref="G22:I22"/>
    <mergeCell ref="G23:I23"/>
    <mergeCell ref="B19:D19"/>
    <mergeCell ref="B21:E21"/>
    <mergeCell ref="G21:J21"/>
    <mergeCell ref="L21:O21"/>
    <mergeCell ref="B22:D22"/>
    <mergeCell ref="L22:N22"/>
    <mergeCell ref="B23:D23"/>
    <mergeCell ref="A1:Y1"/>
    <mergeCell ref="B2:D2"/>
    <mergeCell ref="B4:H4"/>
    <mergeCell ref="C5:D5"/>
    <mergeCell ref="E5:F5"/>
    <mergeCell ref="G5:H5"/>
    <mergeCell ref="J5:L5"/>
    <mergeCell ref="J6:K6"/>
    <mergeCell ref="J7:K8"/>
    <mergeCell ref="L7:L8"/>
    <mergeCell ref="J9:K9"/>
    <mergeCell ref="J10:K10"/>
    <mergeCell ref="J11:K11"/>
    <mergeCell ref="C8:D8"/>
    <mergeCell ref="E8:F8"/>
    <mergeCell ref="C6:D6"/>
    <mergeCell ref="E6:F6"/>
    <mergeCell ref="G6:H6"/>
    <mergeCell ref="C7:D7"/>
    <mergeCell ref="E7:F7"/>
    <mergeCell ref="G7:G9"/>
    <mergeCell ref="H7:H9"/>
    <mergeCell ref="E12:F12"/>
    <mergeCell ref="G12:H12"/>
    <mergeCell ref="J12:K12"/>
    <mergeCell ref="C9:D9"/>
    <mergeCell ref="E9:F9"/>
    <mergeCell ref="C10:D10"/>
    <mergeCell ref="E10:F10"/>
    <mergeCell ref="C11:D11"/>
    <mergeCell ref="E11:F11"/>
    <mergeCell ref="C12:D12"/>
    <mergeCell ref="L23:N23"/>
    <mergeCell ref="L24:N24"/>
    <mergeCell ref="B25:E25"/>
    <mergeCell ref="G25:J25"/>
    <mergeCell ref="L25:N25"/>
    <mergeCell ref="G26:I26"/>
    <mergeCell ref="L26:N26"/>
    <mergeCell ref="G29:I29"/>
    <mergeCell ref="G30:I30"/>
    <mergeCell ref="B26:D26"/>
    <mergeCell ref="B27:D27"/>
    <mergeCell ref="G27:I27"/>
    <mergeCell ref="B28:D28"/>
    <mergeCell ref="G28:I28"/>
    <mergeCell ref="B29:D29"/>
    <mergeCell ref="B30:D30"/>
    <mergeCell ref="G37:I37"/>
    <mergeCell ref="G38:I38"/>
    <mergeCell ref="B31:D31"/>
    <mergeCell ref="G31:I31"/>
    <mergeCell ref="B34:D34"/>
    <mergeCell ref="B36:E36"/>
    <mergeCell ref="G36:J36"/>
    <mergeCell ref="B37:D37"/>
    <mergeCell ref="B38:D38"/>
    <mergeCell ref="J45:K45"/>
    <mergeCell ref="M45:N45"/>
    <mergeCell ref="M46:N46"/>
    <mergeCell ref="B39:D39"/>
    <mergeCell ref="G39:I39"/>
    <mergeCell ref="B42:C42"/>
    <mergeCell ref="B44:K44"/>
    <mergeCell ref="M44:O44"/>
    <mergeCell ref="B45:C45"/>
    <mergeCell ref="D45:E45"/>
    <mergeCell ref="F45:G45"/>
    <mergeCell ref="H45:I45"/>
    <mergeCell ref="B46:C46"/>
    <mergeCell ref="D46:E46"/>
    <mergeCell ref="F46:G46"/>
    <mergeCell ref="H46:I46"/>
    <mergeCell ref="J46:K46"/>
    <mergeCell ref="F64:G64"/>
    <mergeCell ref="F65:G65"/>
    <mergeCell ref="F66:G66"/>
    <mergeCell ref="H50:I50"/>
    <mergeCell ref="J50:K50"/>
    <mergeCell ref="J61:L62"/>
    <mergeCell ref="F62:H62"/>
    <mergeCell ref="F63:G63"/>
    <mergeCell ref="J63:K63"/>
    <mergeCell ref="J64:K64"/>
    <mergeCell ref="F69:G69"/>
    <mergeCell ref="F70:G70"/>
    <mergeCell ref="F71:G71"/>
    <mergeCell ref="J65:K65"/>
    <mergeCell ref="J66:K66"/>
    <mergeCell ref="F67:G67"/>
    <mergeCell ref="J67:K67"/>
    <mergeCell ref="F68:G68"/>
    <mergeCell ref="J68:K68"/>
    <mergeCell ref="J69:K69"/>
    <mergeCell ref="H48:I48"/>
    <mergeCell ref="J48:K48"/>
    <mergeCell ref="B47:C47"/>
    <mergeCell ref="D47:E47"/>
    <mergeCell ref="F47:G47"/>
    <mergeCell ref="H47:I47"/>
    <mergeCell ref="J47:K47"/>
    <mergeCell ref="M47:N47"/>
    <mergeCell ref="B48:C48"/>
    <mergeCell ref="M48:N48"/>
    <mergeCell ref="D48:E48"/>
    <mergeCell ref="F48:G48"/>
    <mergeCell ref="B49:C49"/>
    <mergeCell ref="D49:K49"/>
    <mergeCell ref="B50:C50"/>
    <mergeCell ref="D50:E50"/>
    <mergeCell ref="F50:G50"/>
    <mergeCell ref="B51:C51"/>
    <mergeCell ref="D51:E51"/>
    <mergeCell ref="F51:G51"/>
    <mergeCell ref="H51:I51"/>
    <mergeCell ref="J51:K51"/>
    <mergeCell ref="B52:C52"/>
    <mergeCell ref="D52:K52"/>
    <mergeCell ref="B64:C64"/>
    <mergeCell ref="B65:C65"/>
    <mergeCell ref="B66:C66"/>
    <mergeCell ref="B67:C67"/>
    <mergeCell ref="B68:C68"/>
    <mergeCell ref="B69:C69"/>
    <mergeCell ref="B70:C70"/>
    <mergeCell ref="B71:C71"/>
    <mergeCell ref="B53:C53"/>
    <mergeCell ref="B54:C54"/>
    <mergeCell ref="B55:C55"/>
    <mergeCell ref="B56:C56"/>
    <mergeCell ref="B60:C60"/>
    <mergeCell ref="B62:D62"/>
    <mergeCell ref="B63:C63"/>
    <mergeCell ref="J70:K70"/>
    <mergeCell ref="J71:K71"/>
  </mergeCells>
  <conditionalFormatting sqref="D63:K63">
    <cfRule type="cellIs" dxfId="4" priority="1" operator="greaterThanOrEqual">
      <formula>30</formula>
    </cfRule>
  </conditionalFormatting>
  <conditionalFormatting sqref="D63:K63">
    <cfRule type="cellIs" dxfId="3" priority="2" operator="lessThan">
      <formula>30</formula>
    </cfRule>
  </conditionalFormatting>
  <conditionalFormatting sqref="D72:K72">
    <cfRule type="cellIs" dxfId="4" priority="3" operator="between">
      <formula>-0.05</formula>
      <formula>0.05</formula>
    </cfRule>
  </conditionalFormatting>
  <conditionalFormatting sqref="D72:K72">
    <cfRule type="cellIs" dxfId="5" priority="4" operator="between">
      <formula>0.0500001</formula>
      <formula>0.1</formula>
    </cfRule>
  </conditionalFormatting>
  <conditionalFormatting sqref="D72:K72">
    <cfRule type="cellIs" dxfId="3" priority="5" operator="greaterThan">
      <formula>0.1</formula>
    </cfRule>
  </conditionalFormatting>
  <conditionalFormatting sqref="D72:K72">
    <cfRule type="cellIs" dxfId="6" priority="6" operator="between">
      <formula>-0.050001</formula>
      <formula>-0.1</formula>
    </cfRule>
  </conditionalFormatting>
  <conditionalFormatting sqref="D72:K72">
    <cfRule type="cellIs" dxfId="3" priority="7" operator="lessThan">
      <formula>-0.1</formula>
    </cfRule>
  </conditionalFormatting>
  <conditionalFormatting sqref="D64 H64">
    <cfRule type="cellIs" dxfId="4" priority="8" operator="greaterThanOrEqual">
      <formula>3000</formula>
    </cfRule>
  </conditionalFormatting>
  <conditionalFormatting sqref="D64 H64">
    <cfRule type="cellIs" dxfId="7" priority="9" operator="lessThan">
      <formula>3000</formula>
    </cfRule>
  </conditionalFormatting>
  <conditionalFormatting sqref="L63:L71">
    <cfRule type="cellIs" dxfId="4" priority="10" operator="between">
      <formula>-5</formula>
      <formula>5</formula>
    </cfRule>
  </conditionalFormatting>
  <conditionalFormatting sqref="L63:L71">
    <cfRule type="cellIs" dxfId="7" priority="11" operator="notBetween">
      <formula>-5</formula>
      <formula>5</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5.13"/>
    <col customWidth="1" min="3" max="18" width="12.63"/>
    <col customWidth="1" min="19" max="19" width="5.0"/>
    <col customWidth="1" min="20" max="20" width="19.75"/>
    <col customWidth="1" min="21" max="21" width="7.63"/>
    <col customWidth="1" min="22" max="22" width="8.13"/>
    <col customWidth="1" min="23" max="23" width="6.63"/>
  </cols>
  <sheetData>
    <row r="1">
      <c r="A1" s="378" t="s">
        <v>136</v>
      </c>
    </row>
    <row r="2">
      <c r="B2" s="380" t="s">
        <v>137</v>
      </c>
      <c r="C2" s="381"/>
      <c r="D2" s="381"/>
      <c r="E2" s="381"/>
      <c r="F2" s="382"/>
      <c r="G2" s="382"/>
      <c r="H2" s="382"/>
      <c r="I2" s="382"/>
      <c r="J2" s="382"/>
      <c r="K2" s="382"/>
      <c r="L2" s="382"/>
      <c r="M2" s="382"/>
      <c r="N2" s="382"/>
      <c r="O2" s="382"/>
      <c r="P2" s="382"/>
      <c r="Q2" s="382"/>
      <c r="R2" s="382"/>
      <c r="S2" s="383"/>
      <c r="T2" s="384"/>
      <c r="U2" s="384"/>
      <c r="V2" s="384"/>
      <c r="W2" s="384"/>
      <c r="X2" s="384"/>
      <c r="Y2" s="384"/>
      <c r="Z2" s="384"/>
      <c r="AA2" s="384"/>
      <c r="AB2" s="384"/>
    </row>
    <row r="3">
      <c r="B3" s="386"/>
      <c r="C3" s="386"/>
      <c r="D3" s="386"/>
      <c r="E3" s="386"/>
      <c r="F3" s="386"/>
      <c r="G3" s="386"/>
      <c r="H3" s="386"/>
      <c r="I3" s="386"/>
      <c r="J3" s="386"/>
      <c r="K3" s="386"/>
      <c r="L3" s="386"/>
      <c r="M3" s="386"/>
      <c r="N3" s="386"/>
      <c r="O3" s="386"/>
      <c r="P3" s="386"/>
      <c r="Q3" s="386"/>
      <c r="R3" s="386"/>
      <c r="S3" s="387"/>
      <c r="T3" s="384"/>
      <c r="U3" s="384"/>
      <c r="V3" s="384"/>
      <c r="W3" s="384"/>
      <c r="X3" s="384"/>
      <c r="Y3" s="384"/>
      <c r="Z3" s="384"/>
      <c r="AA3" s="384"/>
      <c r="AB3" s="384"/>
    </row>
    <row r="4">
      <c r="B4" s="388" t="s">
        <v>1</v>
      </c>
      <c r="C4" s="150"/>
      <c r="D4" s="150"/>
      <c r="E4" s="150"/>
      <c r="F4" s="150"/>
      <c r="G4" s="150"/>
      <c r="H4" s="150"/>
      <c r="I4" s="150"/>
      <c r="J4" s="150"/>
      <c r="K4" s="150"/>
      <c r="L4" s="150"/>
      <c r="M4" s="150"/>
      <c r="N4" s="151"/>
      <c r="O4" s="386"/>
      <c r="P4" s="386"/>
      <c r="Q4" s="386"/>
      <c r="R4" s="386"/>
      <c r="S4" s="387"/>
      <c r="T4" s="384"/>
      <c r="U4" s="384"/>
      <c r="V4" s="384"/>
      <c r="W4" s="384"/>
      <c r="X4" s="384"/>
      <c r="Y4" s="384"/>
      <c r="Z4" s="384"/>
      <c r="AA4" s="384"/>
      <c r="AB4" s="384"/>
    </row>
    <row r="5">
      <c r="B5" s="389" t="s">
        <v>2</v>
      </c>
      <c r="C5" s="390" t="s">
        <v>3</v>
      </c>
      <c r="D5" s="391" t="s">
        <v>293</v>
      </c>
      <c r="E5" s="391" t="s">
        <v>294</v>
      </c>
      <c r="G5" s="391" t="s">
        <v>293</v>
      </c>
      <c r="H5" s="391" t="s">
        <v>295</v>
      </c>
      <c r="J5" s="391" t="s">
        <v>293</v>
      </c>
      <c r="K5" s="391" t="s">
        <v>138</v>
      </c>
      <c r="N5" s="13"/>
      <c r="O5" s="386"/>
      <c r="P5" s="392"/>
      <c r="Q5" s="392"/>
      <c r="R5" s="386"/>
      <c r="S5" s="387"/>
      <c r="T5" s="384"/>
      <c r="U5" s="384"/>
      <c r="V5" s="384"/>
      <c r="W5" s="384"/>
      <c r="X5" s="384"/>
      <c r="Y5" s="384"/>
      <c r="Z5" s="384"/>
      <c r="AA5" s="384"/>
      <c r="AB5" s="384"/>
    </row>
    <row r="6">
      <c r="B6" s="393"/>
      <c r="C6" s="394" t="s">
        <v>130</v>
      </c>
      <c r="D6" s="670"/>
      <c r="E6" s="394" t="s">
        <v>130</v>
      </c>
      <c r="F6" s="395" t="s">
        <v>139</v>
      </c>
      <c r="G6" s="394"/>
      <c r="H6" s="394" t="s">
        <v>130</v>
      </c>
      <c r="I6" s="395" t="s">
        <v>139</v>
      </c>
      <c r="J6" s="396"/>
      <c r="K6" s="396" t="s">
        <v>296</v>
      </c>
      <c r="L6" s="396"/>
      <c r="M6" s="396"/>
      <c r="N6" s="397"/>
      <c r="O6" s="386"/>
      <c r="P6" s="386"/>
      <c r="Q6" s="392"/>
      <c r="R6" s="386"/>
      <c r="S6" s="387"/>
      <c r="T6" s="384"/>
      <c r="U6" s="384"/>
      <c r="V6" s="384"/>
      <c r="W6" s="384"/>
      <c r="X6" s="384"/>
      <c r="Y6" s="384"/>
      <c r="Z6" s="384"/>
      <c r="AA6" s="384"/>
      <c r="AB6" s="384"/>
    </row>
    <row r="7">
      <c r="B7" s="398" t="s">
        <v>11</v>
      </c>
      <c r="C7" s="399">
        <v>1003.0</v>
      </c>
      <c r="D7" s="671">
        <f>(C7-1003)/1003</f>
        <v>0</v>
      </c>
      <c r="E7" s="399">
        <v>1855.0</v>
      </c>
      <c r="F7" s="399">
        <f t="shared" ref="F7:F17" si="1">1.15*E7</f>
        <v>2133.25</v>
      </c>
      <c r="G7" s="671">
        <f>(E7-1855)/1855</f>
        <v>0</v>
      </c>
      <c r="H7" s="399">
        <v>4000.0</v>
      </c>
      <c r="I7" s="400">
        <f t="shared" ref="I7:I17" si="2">1.15*H7</f>
        <v>4600</v>
      </c>
      <c r="J7" s="671">
        <f>(H7-4000)/4000</f>
        <v>0</v>
      </c>
      <c r="K7" s="399">
        <v>0.0</v>
      </c>
      <c r="N7" s="200"/>
      <c r="O7" s="386"/>
      <c r="P7" s="386"/>
      <c r="Q7" s="386"/>
      <c r="R7" s="386"/>
      <c r="S7" s="387"/>
      <c r="T7" s="384"/>
      <c r="U7" s="384"/>
      <c r="V7" s="384"/>
      <c r="W7" s="384"/>
      <c r="X7" s="384"/>
      <c r="Y7" s="384"/>
      <c r="Z7" s="384"/>
      <c r="AA7" s="384"/>
      <c r="AB7" s="384"/>
    </row>
    <row r="8">
      <c r="B8" s="212" t="s">
        <v>12</v>
      </c>
      <c r="C8" s="401">
        <v>715.0</v>
      </c>
      <c r="D8" s="672">
        <f>(C8-715)/715</f>
        <v>0</v>
      </c>
      <c r="E8" s="401">
        <v>3258.5</v>
      </c>
      <c r="F8" s="401">
        <f t="shared" si="1"/>
        <v>3747.275</v>
      </c>
      <c r="G8" s="672">
        <f>(E8-3258.5)/3258.5</f>
        <v>0</v>
      </c>
      <c r="H8" s="401">
        <v>6550.0</v>
      </c>
      <c r="I8" s="213">
        <f t="shared" si="2"/>
        <v>7532.5</v>
      </c>
      <c r="J8" s="672">
        <f>(H8-6550)/6550</f>
        <v>0</v>
      </c>
      <c r="N8" s="208"/>
      <c r="O8" s="386"/>
      <c r="P8" s="386"/>
      <c r="Q8" s="386"/>
      <c r="R8" s="386"/>
      <c r="S8" s="387"/>
      <c r="T8" s="384"/>
      <c r="U8" s="384"/>
      <c r="V8" s="384"/>
      <c r="W8" s="384"/>
      <c r="X8" s="384"/>
      <c r="Y8" s="384"/>
      <c r="Z8" s="384"/>
      <c r="AA8" s="384"/>
      <c r="AB8" s="384"/>
    </row>
    <row r="9">
      <c r="B9" s="398" t="s">
        <v>13</v>
      </c>
      <c r="C9" s="399">
        <v>422.0</v>
      </c>
      <c r="D9" s="671">
        <f>(C9-422)/422</f>
        <v>0</v>
      </c>
      <c r="E9" s="238">
        <v>5110.3</v>
      </c>
      <c r="F9" s="399">
        <f t="shared" si="1"/>
        <v>5876.845</v>
      </c>
      <c r="G9" s="671">
        <f>(E9-5110.3)/5110.3</f>
        <v>0</v>
      </c>
      <c r="H9" s="399">
        <v>3000.0</v>
      </c>
      <c r="I9" s="400">
        <f t="shared" si="2"/>
        <v>3450</v>
      </c>
      <c r="J9" s="671">
        <f>(H9-3000)/3000</f>
        <v>0</v>
      </c>
      <c r="N9" s="200"/>
      <c r="O9" s="386"/>
      <c r="P9" s="386"/>
      <c r="Q9" s="386"/>
      <c r="R9" s="386"/>
      <c r="S9" s="387"/>
      <c r="T9" s="384"/>
      <c r="U9" s="384"/>
      <c r="V9" s="384"/>
      <c r="W9" s="384"/>
      <c r="X9" s="384"/>
      <c r="Y9" s="384"/>
      <c r="Z9" s="384"/>
      <c r="AA9" s="384"/>
      <c r="AB9" s="384"/>
    </row>
    <row r="10">
      <c r="B10" s="212" t="s">
        <v>14</v>
      </c>
      <c r="C10" s="401">
        <v>756.0</v>
      </c>
      <c r="D10" s="672">
        <f>(C10-756)/756</f>
        <v>0</v>
      </c>
      <c r="E10" s="244">
        <v>4257.8</v>
      </c>
      <c r="F10" s="401">
        <f t="shared" si="1"/>
        <v>4896.47</v>
      </c>
      <c r="G10" s="672">
        <f>(E10-4257.8)/4257.8</f>
        <v>0</v>
      </c>
      <c r="H10" s="401">
        <v>6500.0</v>
      </c>
      <c r="I10" s="213">
        <f t="shared" si="2"/>
        <v>7475</v>
      </c>
      <c r="J10" s="672">
        <f>(H10-6500)/6500</f>
        <v>0</v>
      </c>
      <c r="K10" s="402">
        <v>2605.0</v>
      </c>
      <c r="L10" s="402"/>
      <c r="M10" s="402"/>
      <c r="N10" s="402"/>
      <c r="O10" s="386"/>
      <c r="P10" s="386"/>
      <c r="Q10" s="386"/>
      <c r="R10" s="386"/>
      <c r="S10" s="387"/>
      <c r="T10" s="384"/>
      <c r="U10" s="384"/>
      <c r="V10" s="384"/>
      <c r="W10" s="384"/>
      <c r="X10" s="384"/>
      <c r="Y10" s="384"/>
      <c r="Z10" s="384"/>
      <c r="AA10" s="384"/>
      <c r="AB10" s="384"/>
    </row>
    <row r="11">
      <c r="B11" s="408" t="s">
        <v>297</v>
      </c>
      <c r="C11" s="399">
        <v>756.0</v>
      </c>
      <c r="D11" s="671">
        <f>(C11*2-756)/756</f>
        <v>1</v>
      </c>
      <c r="E11" s="399">
        <v>4257.8</v>
      </c>
      <c r="F11" s="399">
        <f t="shared" si="1"/>
        <v>4896.47</v>
      </c>
      <c r="G11" s="671">
        <f>(2*E11-4257.8)/4257.8</f>
        <v>1</v>
      </c>
      <c r="H11" s="399">
        <v>5600.0</v>
      </c>
      <c r="I11" s="400">
        <f t="shared" si="2"/>
        <v>6440</v>
      </c>
      <c r="J11" s="671">
        <f>(2*H11-5600)/5600</f>
        <v>1</v>
      </c>
      <c r="K11" s="402">
        <v>2605.0</v>
      </c>
      <c r="L11" s="402"/>
      <c r="M11" s="402"/>
      <c r="N11" s="402"/>
      <c r="O11" s="386"/>
      <c r="P11" s="386"/>
      <c r="Q11" s="386"/>
      <c r="R11" s="386"/>
      <c r="S11" s="387"/>
      <c r="T11" s="384"/>
      <c r="U11" s="384"/>
      <c r="V11" s="384"/>
      <c r="W11" s="384"/>
      <c r="X11" s="384"/>
      <c r="Y11" s="384"/>
      <c r="Z11" s="384"/>
      <c r="AA11" s="384"/>
      <c r="AB11" s="384"/>
    </row>
    <row r="12">
      <c r="B12" s="212" t="s">
        <v>15</v>
      </c>
      <c r="C12" s="401">
        <v>388.0</v>
      </c>
      <c r="D12" s="672">
        <f>(C12-388)/38</f>
        <v>0</v>
      </c>
      <c r="E12" s="401">
        <v>8300.0</v>
      </c>
      <c r="F12" s="401">
        <f t="shared" si="1"/>
        <v>9545</v>
      </c>
      <c r="G12" s="672">
        <f>(E12-8300)/8300</f>
        <v>0</v>
      </c>
      <c r="H12" s="401">
        <v>0.0</v>
      </c>
      <c r="I12" s="213">
        <f t="shared" si="2"/>
        <v>0</v>
      </c>
      <c r="J12" s="672">
        <f>(H12-0)/5600</f>
        <v>0</v>
      </c>
      <c r="K12" s="673">
        <v>5868.0</v>
      </c>
      <c r="L12" s="673"/>
      <c r="M12" s="406"/>
      <c r="N12" s="407"/>
      <c r="O12" s="386"/>
      <c r="P12" s="386"/>
      <c r="Q12" s="386"/>
      <c r="R12" s="386"/>
      <c r="S12" s="387"/>
      <c r="T12" s="384"/>
      <c r="U12" s="384"/>
      <c r="V12" s="384"/>
      <c r="W12" s="384"/>
      <c r="X12" s="384"/>
      <c r="Y12" s="384"/>
      <c r="Z12" s="384"/>
      <c r="AA12" s="384"/>
      <c r="AB12" s="384"/>
    </row>
    <row r="13">
      <c r="B13" s="398" t="s">
        <v>16</v>
      </c>
      <c r="C13" s="399">
        <v>400.0</v>
      </c>
      <c r="D13" s="671">
        <f>(C13-334)/334</f>
        <v>0.1976047904</v>
      </c>
      <c r="E13" s="399">
        <v>2665.7</v>
      </c>
      <c r="F13" s="399">
        <f t="shared" si="1"/>
        <v>3065.555</v>
      </c>
      <c r="G13" s="671">
        <f>(E13-2665.7)/2665.7</f>
        <v>0</v>
      </c>
      <c r="H13" s="399">
        <v>4500.0</v>
      </c>
      <c r="I13" s="400">
        <f t="shared" si="2"/>
        <v>5175</v>
      </c>
      <c r="J13" s="671">
        <f>(H13-4000)/4000</f>
        <v>0.125</v>
      </c>
      <c r="K13" s="399">
        <v>0.0</v>
      </c>
      <c r="N13" s="200"/>
      <c r="O13" s="386"/>
      <c r="P13" s="386"/>
      <c r="Q13" s="386"/>
      <c r="R13" s="386"/>
      <c r="S13" s="387"/>
      <c r="T13" s="384"/>
      <c r="U13" s="384"/>
      <c r="V13" s="384"/>
      <c r="W13" s="384"/>
      <c r="X13" s="384"/>
      <c r="Y13" s="384"/>
      <c r="Z13" s="384"/>
      <c r="AA13" s="384"/>
      <c r="AB13" s="384"/>
    </row>
    <row r="14">
      <c r="B14" s="674" t="s">
        <v>17</v>
      </c>
      <c r="C14" s="401">
        <f>C13+C12+C15+0.5*(C16-250)+0.3*C10</f>
        <v>1655.8</v>
      </c>
      <c r="D14" s="672">
        <f>(C14-1655.8)/1665.8</f>
        <v>0</v>
      </c>
      <c r="E14" s="401">
        <v>160.0</v>
      </c>
      <c r="F14" s="401">
        <f t="shared" si="1"/>
        <v>184</v>
      </c>
      <c r="G14" s="672">
        <f>(E14-160)/160</f>
        <v>0</v>
      </c>
      <c r="H14" s="401">
        <v>2250.0</v>
      </c>
      <c r="I14" s="213">
        <f t="shared" si="2"/>
        <v>2587.5</v>
      </c>
      <c r="J14" s="672">
        <f>(H14-2250)/2250</f>
        <v>0</v>
      </c>
      <c r="N14" s="208"/>
      <c r="O14" s="386"/>
      <c r="P14" s="386"/>
      <c r="Q14" s="386"/>
      <c r="R14" s="386"/>
      <c r="S14" s="387"/>
      <c r="T14" s="384"/>
      <c r="AA14" s="384"/>
      <c r="AB14" s="384"/>
    </row>
    <row r="15">
      <c r="B15" s="398" t="s">
        <v>18</v>
      </c>
      <c r="C15" s="399">
        <v>388.0</v>
      </c>
      <c r="D15" s="671">
        <f>(C15-388)/388</f>
        <v>0</v>
      </c>
      <c r="E15" s="399">
        <v>8300.0</v>
      </c>
      <c r="F15" s="399">
        <f t="shared" si="1"/>
        <v>9545</v>
      </c>
      <c r="G15" s="671">
        <f>(E15-8300)/8300</f>
        <v>0</v>
      </c>
      <c r="H15" s="399">
        <v>0.0</v>
      </c>
      <c r="I15" s="400">
        <f t="shared" si="2"/>
        <v>0</v>
      </c>
      <c r="J15" s="671">
        <f>(H15-0)/5600</f>
        <v>0</v>
      </c>
      <c r="K15" s="675">
        <v>9547.0</v>
      </c>
      <c r="L15" s="409"/>
      <c r="M15" s="409"/>
      <c r="N15" s="410"/>
      <c r="O15" s="386"/>
      <c r="P15" s="386"/>
      <c r="Q15" s="386"/>
      <c r="R15" s="386"/>
      <c r="S15" s="387"/>
      <c r="T15" s="384"/>
      <c r="AA15" s="384"/>
      <c r="AB15" s="384"/>
    </row>
    <row r="16">
      <c r="B16" s="212" t="s">
        <v>19</v>
      </c>
      <c r="C16" s="401">
        <v>756.0</v>
      </c>
      <c r="D16" s="672">
        <f>(C16-756)/756</f>
        <v>0</v>
      </c>
      <c r="E16" s="401">
        <v>9100.0</v>
      </c>
      <c r="F16" s="401">
        <f t="shared" si="1"/>
        <v>10465</v>
      </c>
      <c r="G16" s="672">
        <f>(E16-9100)/9100</f>
        <v>0</v>
      </c>
      <c r="H16" s="401">
        <v>15000.0</v>
      </c>
      <c r="I16" s="213">
        <f t="shared" si="2"/>
        <v>17250</v>
      </c>
      <c r="J16" s="672">
        <f>(H16-13000)/13000</f>
        <v>0.1538461538</v>
      </c>
      <c r="K16" s="401">
        <v>0.0</v>
      </c>
      <c r="N16" s="208"/>
      <c r="O16" s="386"/>
      <c r="P16" s="386"/>
      <c r="Q16" s="386"/>
      <c r="R16" s="386"/>
      <c r="S16" s="387"/>
      <c r="T16" s="384"/>
      <c r="AA16" s="384"/>
      <c r="AB16" s="384"/>
    </row>
    <row r="17">
      <c r="B17" s="408" t="s">
        <v>239</v>
      </c>
      <c r="C17" s="399">
        <v>400.0</v>
      </c>
      <c r="D17" s="671">
        <f>((C17-288)/288)</f>
        <v>0.3888888889</v>
      </c>
      <c r="E17" s="399">
        <v>400.0</v>
      </c>
      <c r="F17" s="399">
        <f t="shared" si="1"/>
        <v>460</v>
      </c>
      <c r="G17" s="671">
        <f>(E17-288)/288</f>
        <v>0.3888888889</v>
      </c>
      <c r="H17" s="399">
        <v>600.0</v>
      </c>
      <c r="I17" s="400">
        <f t="shared" si="2"/>
        <v>690</v>
      </c>
      <c r="J17" s="671">
        <f>(H17-600)/600</f>
        <v>0</v>
      </c>
      <c r="K17" s="400"/>
      <c r="L17" s="400"/>
      <c r="M17" s="400"/>
      <c r="N17" s="676"/>
      <c r="O17" s="386"/>
      <c r="P17" s="461" t="s">
        <v>298</v>
      </c>
      <c r="Q17" s="386"/>
      <c r="R17" s="386"/>
      <c r="S17" s="387"/>
      <c r="T17" s="384"/>
      <c r="AA17" s="384"/>
      <c r="AB17" s="384"/>
    </row>
    <row r="18">
      <c r="B18" s="411" t="s">
        <v>144</v>
      </c>
      <c r="C18" s="412">
        <f>SUM(C7:C17)-C14</f>
        <v>5984</v>
      </c>
      <c r="D18" s="677">
        <f>((C18-5050)/5050)</f>
        <v>0.184950495</v>
      </c>
      <c r="E18" s="412">
        <f>SUM(E7:E17)</f>
        <v>47665.1</v>
      </c>
      <c r="F18" s="412">
        <f>SUM(F7:F16)</f>
        <v>54354.865</v>
      </c>
      <c r="G18" s="677">
        <f>(E18-43000)/43000</f>
        <v>0.1084906977</v>
      </c>
      <c r="H18" s="412">
        <f>SUM(H7:H17)</f>
        <v>48000</v>
      </c>
      <c r="I18" s="412">
        <f>SUM(I7:I16)</f>
        <v>54510</v>
      </c>
      <c r="J18" s="677">
        <f>(H18-31441)/31441</f>
        <v>0.5266689991</v>
      </c>
      <c r="K18" s="412">
        <f t="shared" ref="K18:N18" si="3">SUM(K7:K16)</f>
        <v>20625</v>
      </c>
      <c r="L18" s="412">
        <f t="shared" si="3"/>
        <v>0</v>
      </c>
      <c r="M18" s="412">
        <f t="shared" si="3"/>
        <v>0</v>
      </c>
      <c r="N18" s="413">
        <f t="shared" si="3"/>
        <v>0</v>
      </c>
      <c r="O18" s="386"/>
      <c r="P18" s="386"/>
      <c r="Q18" s="386"/>
      <c r="R18" s="386"/>
      <c r="S18" s="387"/>
      <c r="T18" s="384"/>
      <c r="AA18" s="384"/>
      <c r="AB18" s="384"/>
    </row>
    <row r="19">
      <c r="B19" s="414"/>
      <c r="C19" s="414"/>
      <c r="D19" s="415"/>
      <c r="E19" s="415"/>
      <c r="F19" s="416"/>
      <c r="G19" s="400"/>
      <c r="H19" s="400"/>
      <c r="I19" s="416"/>
      <c r="J19" s="416"/>
      <c r="K19" s="416"/>
      <c r="L19" s="416"/>
      <c r="M19" s="416"/>
      <c r="N19" s="416"/>
      <c r="O19" s="417"/>
      <c r="P19" s="417"/>
      <c r="Q19" s="417"/>
      <c r="R19" s="417"/>
      <c r="S19" s="387"/>
      <c r="T19" s="384"/>
      <c r="U19" s="384"/>
      <c r="V19" s="384"/>
      <c r="W19" s="384"/>
      <c r="X19" s="384"/>
      <c r="Y19" s="384"/>
      <c r="Z19" s="384"/>
      <c r="AA19" s="384"/>
      <c r="AB19" s="384"/>
    </row>
    <row r="20">
      <c r="B20" s="418" t="s">
        <v>145</v>
      </c>
      <c r="C20" s="150"/>
      <c r="D20" s="150"/>
      <c r="E20" s="150"/>
      <c r="F20" s="150"/>
      <c r="G20" s="150"/>
      <c r="H20" s="150"/>
      <c r="I20" s="150"/>
      <c r="J20" s="150"/>
      <c r="K20" s="150"/>
      <c r="L20" s="151"/>
      <c r="N20" s="418" t="s">
        <v>146</v>
      </c>
      <c r="O20" s="150"/>
      <c r="P20" s="151"/>
      <c r="S20" s="387"/>
      <c r="Z20" s="384"/>
      <c r="AA20" s="384"/>
      <c r="AB20" s="384"/>
    </row>
    <row r="21">
      <c r="B21" s="419" t="s">
        <v>299</v>
      </c>
      <c r="D21" s="396"/>
      <c r="E21" s="396"/>
      <c r="G21" s="396"/>
      <c r="H21" s="396"/>
      <c r="J21" s="396"/>
      <c r="K21" s="396"/>
      <c r="L21" s="13"/>
      <c r="N21" s="420" t="s">
        <v>130</v>
      </c>
      <c r="P21" s="421">
        <f>E18+H18</f>
        <v>95665.1</v>
      </c>
      <c r="S21" s="387"/>
      <c r="Z21" s="384"/>
      <c r="AA21" s="384"/>
      <c r="AB21" s="384"/>
    </row>
    <row r="22">
      <c r="B22" s="422" t="s">
        <v>130</v>
      </c>
      <c r="C22" s="395" t="s">
        <v>139</v>
      </c>
      <c r="D22" s="394"/>
      <c r="E22" s="394"/>
      <c r="F22" s="678"/>
      <c r="G22" s="394"/>
      <c r="H22" s="394"/>
      <c r="I22" s="678"/>
      <c r="J22" s="394"/>
      <c r="K22" s="394"/>
      <c r="L22" s="679"/>
      <c r="N22" s="424" t="s">
        <v>139</v>
      </c>
      <c r="O22" s="7"/>
      <c r="P22" s="425">
        <f>F18+I18</f>
        <v>108864.865</v>
      </c>
      <c r="S22" s="387"/>
      <c r="Z22" s="384"/>
      <c r="AA22" s="384"/>
      <c r="AB22" s="384"/>
    </row>
    <row r="23">
      <c r="B23" s="427">
        <f>B34+K18</f>
        <v>116290.1</v>
      </c>
      <c r="C23" s="428">
        <f>B23*1.15</f>
        <v>133733.615</v>
      </c>
      <c r="D23" s="428"/>
      <c r="E23" s="428"/>
      <c r="F23" s="428"/>
      <c r="G23" s="428"/>
      <c r="H23" s="428"/>
      <c r="I23" s="428"/>
      <c r="J23" s="428"/>
      <c r="K23" s="428"/>
      <c r="L23" s="429"/>
      <c r="S23" s="430"/>
      <c r="Z23" s="431"/>
      <c r="AA23" s="431"/>
      <c r="AB23" s="431"/>
    </row>
    <row r="24">
      <c r="B24" s="414"/>
      <c r="C24" s="414"/>
      <c r="D24" s="415"/>
      <c r="E24" s="415"/>
      <c r="F24" s="416"/>
      <c r="G24" s="400"/>
      <c r="H24" s="400"/>
      <c r="I24" s="416"/>
      <c r="J24" s="416"/>
      <c r="K24" s="416"/>
      <c r="L24" s="416"/>
      <c r="M24" s="416"/>
      <c r="N24" s="416"/>
      <c r="O24" s="416"/>
      <c r="P24" s="416"/>
      <c r="Q24" s="416"/>
      <c r="R24" s="416"/>
      <c r="S24" s="387"/>
      <c r="Z24" s="384"/>
      <c r="AA24" s="384"/>
      <c r="AB24" s="384"/>
    </row>
    <row r="25">
      <c r="B25" s="432" t="s">
        <v>22</v>
      </c>
      <c r="C25" s="150"/>
      <c r="D25" s="433"/>
      <c r="E25" s="433" t="s">
        <v>299</v>
      </c>
      <c r="F25" s="150"/>
      <c r="G25" s="433"/>
      <c r="H25" s="433"/>
      <c r="I25" s="150"/>
      <c r="J25" s="433"/>
      <c r="K25" s="433"/>
      <c r="L25" s="150"/>
      <c r="M25" s="433"/>
      <c r="N25" s="151"/>
      <c r="S25" s="387"/>
      <c r="T25" s="384"/>
      <c r="Y25" s="384"/>
      <c r="Z25" s="384"/>
      <c r="AA25" s="384"/>
      <c r="AB25" s="384"/>
    </row>
    <row r="26">
      <c r="B26" s="434"/>
      <c r="D26" s="394"/>
      <c r="E26" s="394" t="s">
        <v>130</v>
      </c>
      <c r="F26" s="395" t="s">
        <v>139</v>
      </c>
      <c r="G26" s="394"/>
      <c r="H26" s="394"/>
      <c r="I26" s="678"/>
      <c r="J26" s="394"/>
      <c r="K26" s="394"/>
      <c r="L26" s="678"/>
      <c r="M26" s="394"/>
      <c r="N26" s="679"/>
      <c r="S26" s="387"/>
      <c r="T26" s="384"/>
      <c r="Y26" s="384"/>
      <c r="Z26" s="384"/>
      <c r="AA26" s="384"/>
      <c r="AB26" s="384"/>
    </row>
    <row r="27">
      <c r="B27" s="89" t="s">
        <v>24</v>
      </c>
      <c r="D27" s="437"/>
      <c r="E27" s="431">
        <f>$B34-4000</f>
        <v>91665.1</v>
      </c>
      <c r="F27" s="437">
        <f>($B34-4000)*1.15</f>
        <v>105414.865</v>
      </c>
      <c r="G27" s="437"/>
      <c r="H27" s="437"/>
      <c r="I27" s="437"/>
      <c r="J27" s="437"/>
      <c r="K27" s="437"/>
      <c r="L27" s="437"/>
      <c r="M27" s="437"/>
      <c r="N27" s="438"/>
      <c r="S27" s="387"/>
      <c r="T27" s="384"/>
      <c r="Y27" s="384"/>
      <c r="Z27" s="384"/>
      <c r="AA27" s="384"/>
      <c r="AB27" s="384"/>
    </row>
    <row r="28">
      <c r="B28" s="436" t="s">
        <v>25</v>
      </c>
      <c r="D28" s="437"/>
      <c r="E28" s="437">
        <f t="shared" ref="E28:F28" si="4">1000*B23</f>
        <v>116290100</v>
      </c>
      <c r="F28" s="437">
        <f t="shared" si="4"/>
        <v>133733615</v>
      </c>
      <c r="G28" s="437"/>
      <c r="H28" s="437"/>
      <c r="I28" s="437"/>
      <c r="J28" s="437"/>
      <c r="K28" s="437"/>
      <c r="L28" s="437"/>
      <c r="M28" s="437"/>
      <c r="N28" s="438"/>
      <c r="S28" s="387"/>
      <c r="T28" s="384"/>
      <c r="Y28" s="384"/>
      <c r="Z28" s="384"/>
      <c r="AA28" s="384"/>
      <c r="AB28" s="384"/>
    </row>
    <row r="29">
      <c r="B29" s="97" t="s">
        <v>26</v>
      </c>
      <c r="C29" s="7"/>
      <c r="D29" s="439"/>
      <c r="E29" s="439">
        <f t="shared" ref="E29:F29" si="5">$C18</f>
        <v>5984</v>
      </c>
      <c r="F29" s="439">
        <f t="shared" si="5"/>
        <v>5984</v>
      </c>
      <c r="G29" s="439"/>
      <c r="H29" s="439"/>
      <c r="I29" s="439"/>
      <c r="J29" s="439"/>
      <c r="K29" s="439"/>
      <c r="L29" s="439"/>
      <c r="M29" s="439"/>
      <c r="N29" s="440"/>
      <c r="S29" s="387"/>
      <c r="T29" s="384"/>
      <c r="Y29" s="384"/>
      <c r="Z29" s="384"/>
      <c r="AA29" s="384"/>
      <c r="AB29" s="384"/>
    </row>
    <row r="30">
      <c r="B30" s="414"/>
      <c r="C30" s="414"/>
      <c r="D30" s="415"/>
      <c r="E30" s="415"/>
      <c r="F30" s="416"/>
      <c r="G30" s="400"/>
      <c r="H30" s="400"/>
      <c r="I30" s="416"/>
      <c r="J30" s="416"/>
      <c r="K30" s="416"/>
      <c r="L30" s="416"/>
      <c r="M30" s="416"/>
      <c r="N30" s="392"/>
      <c r="O30" s="392"/>
      <c r="P30" s="392"/>
      <c r="Q30" s="416"/>
      <c r="R30" s="416"/>
      <c r="S30" s="387"/>
      <c r="T30" s="384"/>
      <c r="Y30" s="384"/>
      <c r="Z30" s="384"/>
      <c r="AA30" s="384"/>
      <c r="AB30" s="384"/>
    </row>
    <row r="31">
      <c r="B31" s="414"/>
      <c r="C31" s="414"/>
      <c r="D31" s="415"/>
      <c r="E31" s="415"/>
      <c r="F31" s="416"/>
      <c r="G31" s="400"/>
      <c r="H31" s="400"/>
      <c r="I31" s="416"/>
      <c r="J31" s="392"/>
      <c r="K31" s="392"/>
      <c r="L31" s="392"/>
      <c r="M31" s="392"/>
      <c r="N31" s="392"/>
      <c r="O31" s="392"/>
      <c r="P31" s="392"/>
      <c r="Q31" s="392"/>
      <c r="R31" s="416"/>
      <c r="S31" s="387"/>
      <c r="T31" s="384"/>
      <c r="U31" s="384"/>
      <c r="X31" s="384"/>
      <c r="Y31" s="384"/>
      <c r="Z31" s="384"/>
      <c r="AA31" s="384"/>
      <c r="AB31" s="384"/>
    </row>
    <row r="32">
      <c r="B32" s="418" t="s">
        <v>146</v>
      </c>
      <c r="C32" s="151"/>
      <c r="F32" s="418" t="s">
        <v>17</v>
      </c>
      <c r="G32" s="150"/>
      <c r="H32" s="150"/>
      <c r="I32" s="150"/>
      <c r="J32" s="150"/>
      <c r="K32" s="150"/>
      <c r="L32" s="150"/>
      <c r="M32" s="151"/>
      <c r="O32" s="418" t="s">
        <v>147</v>
      </c>
      <c r="P32" s="150"/>
      <c r="Q32" s="151"/>
      <c r="R32" s="416"/>
      <c r="S32" s="387"/>
      <c r="T32" s="384"/>
      <c r="U32" s="384"/>
      <c r="X32" s="384"/>
      <c r="Y32" s="384"/>
      <c r="Z32" s="384"/>
      <c r="AA32" s="384"/>
      <c r="AB32" s="384"/>
    </row>
    <row r="33">
      <c r="B33" s="422" t="s">
        <v>130</v>
      </c>
      <c r="C33" s="423" t="s">
        <v>139</v>
      </c>
      <c r="F33" s="420" t="s">
        <v>300</v>
      </c>
      <c r="I33" s="441">
        <f>E14+H14</f>
        <v>2410</v>
      </c>
      <c r="J33" s="462"/>
      <c r="K33" s="420" t="s">
        <v>149</v>
      </c>
      <c r="M33" s="421">
        <f>H13+I33</f>
        <v>6910</v>
      </c>
      <c r="O33" s="420" t="s">
        <v>150</v>
      </c>
      <c r="Q33" s="421">
        <v>243.0</v>
      </c>
      <c r="R33" s="392"/>
      <c r="S33" s="387"/>
      <c r="T33" s="384"/>
      <c r="U33" s="384"/>
      <c r="V33" s="384"/>
      <c r="W33" s="384"/>
      <c r="X33" s="384"/>
      <c r="Y33" s="384"/>
      <c r="Z33" s="384"/>
      <c r="AA33" s="384"/>
      <c r="AB33" s="384"/>
    </row>
    <row r="34">
      <c r="B34" s="427">
        <f t="shared" ref="B34:C34" si="6">E18+H18</f>
        <v>95665.1</v>
      </c>
      <c r="C34" s="429">
        <f t="shared" si="6"/>
        <v>108864.865</v>
      </c>
      <c r="F34" s="442" t="s">
        <v>301</v>
      </c>
      <c r="G34" s="7"/>
      <c r="H34" s="7"/>
      <c r="I34" s="443">
        <f>F14+I14</f>
        <v>2771.5</v>
      </c>
      <c r="J34" s="680"/>
      <c r="K34" s="442" t="s">
        <v>152</v>
      </c>
      <c r="L34" s="7"/>
      <c r="M34" s="425">
        <f>I13+I34</f>
        <v>7946.5</v>
      </c>
      <c r="O34" s="442" t="s">
        <v>23</v>
      </c>
      <c r="P34" s="7"/>
      <c r="Q34" s="425">
        <f>C18/Q33</f>
        <v>24.6255144</v>
      </c>
      <c r="R34" s="392"/>
      <c r="S34" s="387"/>
      <c r="T34" s="384"/>
      <c r="U34" s="384"/>
      <c r="V34" s="384"/>
      <c r="W34" s="384"/>
      <c r="X34" s="384"/>
      <c r="Y34" s="384"/>
      <c r="Z34" s="384"/>
      <c r="AA34" s="384"/>
      <c r="AB34" s="384"/>
    </row>
    <row r="35">
      <c r="B35" s="392"/>
      <c r="C35" s="392"/>
      <c r="D35" s="392"/>
      <c r="E35" s="392"/>
      <c r="F35" s="392"/>
      <c r="G35" s="392"/>
      <c r="H35" s="392"/>
      <c r="I35" s="392"/>
      <c r="J35" s="416"/>
      <c r="K35" s="416"/>
      <c r="L35" s="416"/>
      <c r="M35" s="416"/>
      <c r="N35" s="416"/>
      <c r="O35" s="416"/>
      <c r="P35" s="416"/>
      <c r="Q35" s="416"/>
      <c r="R35" s="416"/>
      <c r="S35" s="387"/>
      <c r="T35" s="384"/>
      <c r="U35" s="384"/>
      <c r="V35" s="384"/>
      <c r="W35" s="384"/>
      <c r="X35" s="384"/>
      <c r="Y35" s="384"/>
      <c r="Z35" s="384"/>
      <c r="AA35" s="384"/>
      <c r="AB35" s="384"/>
    </row>
    <row r="36">
      <c r="B36" s="445"/>
      <c r="C36" s="445"/>
      <c r="D36" s="446"/>
      <c r="E36" s="446"/>
      <c r="F36" s="447"/>
      <c r="G36" s="448"/>
      <c r="H36" s="448"/>
      <c r="I36" s="447"/>
      <c r="J36" s="447"/>
      <c r="K36" s="447"/>
      <c r="L36" s="447"/>
      <c r="M36" s="447"/>
      <c r="N36" s="447"/>
      <c r="O36" s="447"/>
      <c r="P36" s="447"/>
      <c r="Q36" s="447"/>
      <c r="R36" s="447"/>
      <c r="S36" s="449"/>
      <c r="T36" s="384"/>
      <c r="U36" s="384"/>
      <c r="V36" s="384"/>
      <c r="W36" s="384"/>
      <c r="X36" s="384"/>
      <c r="Y36" s="384"/>
      <c r="Z36" s="384"/>
      <c r="AA36" s="384"/>
      <c r="AB36" s="384"/>
    </row>
    <row r="37">
      <c r="A37" s="379"/>
      <c r="B37" s="450"/>
      <c r="C37" s="450"/>
      <c r="D37" s="451"/>
      <c r="E37" s="451"/>
      <c r="F37" s="452"/>
      <c r="G37" s="453"/>
      <c r="H37" s="453"/>
      <c r="I37" s="452"/>
      <c r="J37" s="452"/>
      <c r="K37" s="452"/>
      <c r="L37" s="452"/>
      <c r="M37" s="452"/>
      <c r="N37" s="452"/>
      <c r="O37" s="452"/>
      <c r="P37" s="452"/>
      <c r="Q37" s="452"/>
      <c r="R37" s="452"/>
      <c r="S37" s="383"/>
      <c r="T37" s="384"/>
      <c r="U37" s="384"/>
      <c r="V37" s="384"/>
      <c r="W37" s="384"/>
      <c r="X37" s="384"/>
      <c r="Y37" s="384"/>
      <c r="Z37" s="384"/>
      <c r="AA37" s="384"/>
      <c r="AB37" s="384"/>
    </row>
    <row r="38">
      <c r="A38" s="385"/>
      <c r="B38" s="454" t="s">
        <v>153</v>
      </c>
      <c r="F38" s="416"/>
      <c r="G38" s="400"/>
      <c r="H38" s="400"/>
      <c r="I38" s="416"/>
      <c r="J38" s="416"/>
      <c r="K38" s="416"/>
      <c r="L38" s="416"/>
      <c r="M38" s="416"/>
      <c r="N38" s="416"/>
      <c r="O38" s="455" t="s">
        <v>154</v>
      </c>
      <c r="P38" s="150"/>
      <c r="Q38" s="150"/>
      <c r="R38" s="151"/>
      <c r="S38" s="387"/>
      <c r="T38" s="384"/>
      <c r="U38" s="384"/>
      <c r="V38" s="384"/>
      <c r="W38" s="384"/>
      <c r="X38" s="384"/>
      <c r="Y38" s="384"/>
      <c r="Z38" s="384"/>
      <c r="AA38" s="384"/>
      <c r="AB38" s="384"/>
    </row>
    <row r="39">
      <c r="A39" s="385"/>
      <c r="M39" s="416"/>
      <c r="N39" s="416"/>
      <c r="O39" s="456" t="s">
        <v>155</v>
      </c>
      <c r="R39" s="457">
        <v>16.0</v>
      </c>
      <c r="S39" s="387"/>
      <c r="T39" s="384"/>
      <c r="U39" s="384"/>
      <c r="V39" s="384"/>
      <c r="W39" s="384"/>
      <c r="X39" s="384"/>
      <c r="Y39" s="384"/>
      <c r="Z39" s="384"/>
      <c r="AA39" s="384"/>
      <c r="AB39" s="384"/>
    </row>
    <row r="40">
      <c r="A40" s="385"/>
      <c r="B40" s="455" t="s">
        <v>156</v>
      </c>
      <c r="C40" s="150"/>
      <c r="D40" s="150"/>
      <c r="E40" s="150"/>
      <c r="F40" s="150"/>
      <c r="G40" s="150"/>
      <c r="H40" s="150"/>
      <c r="I40" s="150"/>
      <c r="J40" s="150"/>
      <c r="K40" s="150"/>
      <c r="L40" s="151"/>
      <c r="O40" s="458" t="s">
        <v>157</v>
      </c>
      <c r="R40" s="459">
        <v>2.0</v>
      </c>
      <c r="S40" s="387"/>
      <c r="T40" s="384"/>
      <c r="U40" s="384"/>
      <c r="V40" s="384"/>
      <c r="W40" s="384"/>
      <c r="X40" s="384"/>
      <c r="Y40" s="384"/>
      <c r="Z40" s="384"/>
      <c r="AA40" s="384"/>
      <c r="AB40" s="384"/>
    </row>
    <row r="41">
      <c r="A41" s="385"/>
      <c r="B41" s="460" t="s">
        <v>49</v>
      </c>
      <c r="F41" s="462">
        <v>6500.0</v>
      </c>
      <c r="G41" s="461"/>
      <c r="H41" s="461" t="s">
        <v>57</v>
      </c>
      <c r="L41" s="459">
        <v>7500.0</v>
      </c>
      <c r="O41" s="458" t="s">
        <v>158</v>
      </c>
      <c r="R41" s="457">
        <f>1.39/R42</f>
        <v>2.78</v>
      </c>
      <c r="S41" s="387"/>
      <c r="T41" s="384"/>
      <c r="U41" s="384"/>
      <c r="V41" s="384"/>
      <c r="W41" s="384"/>
      <c r="X41" s="384"/>
      <c r="Y41" s="384"/>
      <c r="Z41" s="384"/>
      <c r="AA41" s="384"/>
      <c r="AB41" s="384"/>
    </row>
    <row r="42">
      <c r="A42" s="385"/>
      <c r="B42" s="460" t="s">
        <v>51</v>
      </c>
      <c r="F42" s="462">
        <v>2.832</v>
      </c>
      <c r="G42" s="461"/>
      <c r="H42" s="461" t="s">
        <v>58</v>
      </c>
      <c r="L42" s="463"/>
      <c r="O42" s="458" t="s">
        <v>159</v>
      </c>
      <c r="R42" s="457">
        <v>0.5</v>
      </c>
      <c r="S42" s="387"/>
      <c r="T42" s="384"/>
      <c r="U42" s="384"/>
      <c r="V42" s="384"/>
      <c r="W42" s="384"/>
      <c r="X42" s="384"/>
      <c r="Y42" s="384"/>
      <c r="Z42" s="384"/>
      <c r="AA42" s="384"/>
      <c r="AB42" s="384"/>
    </row>
    <row r="43">
      <c r="A43" s="385"/>
      <c r="B43" s="460" t="s">
        <v>53</v>
      </c>
      <c r="F43" s="462">
        <f>F42/(1+F50)</f>
        <v>1.1328</v>
      </c>
      <c r="G43" s="464"/>
      <c r="H43" s="464" t="s">
        <v>59</v>
      </c>
      <c r="L43" s="681">
        <v>1.8</v>
      </c>
      <c r="O43" s="458" t="s">
        <v>160</v>
      </c>
      <c r="R43" s="457">
        <v>0.5</v>
      </c>
      <c r="S43" s="387"/>
      <c r="T43" s="384"/>
      <c r="U43" s="384"/>
      <c r="V43" s="384"/>
      <c r="W43" s="384"/>
      <c r="X43" s="384"/>
      <c r="Y43" s="384"/>
      <c r="Z43" s="384"/>
      <c r="AA43" s="384"/>
      <c r="AB43" s="384"/>
    </row>
    <row r="44">
      <c r="A44" s="385"/>
      <c r="B44" s="460" t="s">
        <v>55</v>
      </c>
      <c r="F44" s="431">
        <f>F42-F43</f>
        <v>1.6992</v>
      </c>
      <c r="G44" s="464"/>
      <c r="H44" s="464" t="s">
        <v>60</v>
      </c>
      <c r="L44" s="435"/>
      <c r="O44" s="458" t="s">
        <v>161</v>
      </c>
      <c r="R44" s="457">
        <v>0.5</v>
      </c>
      <c r="S44" s="387"/>
      <c r="T44" s="384"/>
      <c r="U44" s="384"/>
      <c r="V44" s="384"/>
      <c r="W44" s="384"/>
      <c r="X44" s="384"/>
      <c r="Y44" s="384"/>
      <c r="Z44" s="384"/>
      <c r="AA44" s="384"/>
      <c r="AB44" s="384"/>
    </row>
    <row r="45">
      <c r="A45" s="385"/>
      <c r="B45" s="460" t="s">
        <v>162</v>
      </c>
      <c r="F45" s="431">
        <f t="shared" ref="F45:F46" si="7">1000*F43/F51</f>
        <v>1.398518519</v>
      </c>
      <c r="G45" s="464"/>
      <c r="H45" s="464" t="s">
        <v>163</v>
      </c>
      <c r="L45" s="435"/>
      <c r="O45" s="456" t="s">
        <v>164</v>
      </c>
      <c r="R45" s="435">
        <f>R39-R40-R41-R43</f>
        <v>10.72</v>
      </c>
      <c r="S45" s="387"/>
      <c r="T45" s="384"/>
      <c r="U45" s="384"/>
      <c r="V45" s="384"/>
      <c r="W45" s="384"/>
      <c r="X45" s="384"/>
      <c r="Y45" s="384"/>
      <c r="Z45" s="384"/>
      <c r="AA45" s="384"/>
      <c r="AB45" s="384"/>
    </row>
    <row r="46">
      <c r="A46" s="385"/>
      <c r="B46" s="465" t="s">
        <v>165</v>
      </c>
      <c r="C46" s="7"/>
      <c r="D46" s="7"/>
      <c r="E46" s="7"/>
      <c r="F46" s="428">
        <f t="shared" si="7"/>
        <v>1.489219982</v>
      </c>
      <c r="G46" s="466"/>
      <c r="H46" s="466" t="s">
        <v>166</v>
      </c>
      <c r="I46" s="7"/>
      <c r="J46" s="7"/>
      <c r="K46" s="7"/>
      <c r="L46" s="429"/>
      <c r="O46" s="456" t="s">
        <v>167</v>
      </c>
      <c r="R46" s="457">
        <f>R45/R39</f>
        <v>0.67</v>
      </c>
      <c r="S46" s="387"/>
      <c r="T46" s="384"/>
      <c r="U46" s="384"/>
      <c r="V46" s="384"/>
      <c r="W46" s="384"/>
      <c r="X46" s="384"/>
      <c r="Y46" s="384"/>
      <c r="Z46" s="384"/>
      <c r="AA46" s="384"/>
      <c r="AB46" s="384"/>
    </row>
    <row r="47">
      <c r="A47" s="385"/>
      <c r="B47" s="384"/>
      <c r="C47" s="384"/>
      <c r="D47" s="384"/>
      <c r="E47" s="384" t="s">
        <v>94</v>
      </c>
      <c r="F47" s="384"/>
      <c r="G47" s="386"/>
      <c r="H47" s="386"/>
      <c r="I47" s="386"/>
      <c r="O47" s="467" t="s">
        <v>168</v>
      </c>
      <c r="P47" s="7"/>
      <c r="Q47" s="7"/>
      <c r="R47" s="429">
        <f>R45+R44+R42</f>
        <v>11.72</v>
      </c>
      <c r="S47" s="387"/>
      <c r="T47" s="384"/>
      <c r="U47" s="384"/>
      <c r="X47" s="384"/>
      <c r="Y47" s="384"/>
      <c r="Z47" s="384"/>
      <c r="AA47" s="384"/>
      <c r="AB47" s="384"/>
    </row>
    <row r="48">
      <c r="A48" s="385"/>
      <c r="B48" s="455" t="s">
        <v>169</v>
      </c>
      <c r="C48" s="150"/>
      <c r="D48" s="150"/>
      <c r="E48" s="150"/>
      <c r="F48" s="151"/>
      <c r="I48" s="468" t="s">
        <v>170</v>
      </c>
      <c r="J48" s="469"/>
      <c r="K48" s="469"/>
      <c r="L48" s="469"/>
      <c r="M48" s="470"/>
      <c r="O48" s="462"/>
      <c r="P48" s="462"/>
      <c r="Q48" s="462"/>
      <c r="R48" s="462"/>
      <c r="S48" s="387"/>
      <c r="T48" s="384"/>
      <c r="U48" s="384"/>
      <c r="AA48" s="384"/>
      <c r="AB48" s="384"/>
    </row>
    <row r="49">
      <c r="A49" s="385"/>
      <c r="B49" s="471" t="s">
        <v>63</v>
      </c>
      <c r="F49" s="457">
        <v>113.6</v>
      </c>
      <c r="I49" s="472" t="s">
        <v>302</v>
      </c>
      <c r="M49" s="473">
        <v>29000.0</v>
      </c>
      <c r="O49" s="455" t="s">
        <v>172</v>
      </c>
      <c r="P49" s="150"/>
      <c r="Q49" s="150"/>
      <c r="R49" s="151"/>
      <c r="S49" s="387"/>
      <c r="T49" s="384"/>
      <c r="U49" s="384"/>
      <c r="X49" s="384"/>
      <c r="Y49" s="384"/>
      <c r="Z49" s="384"/>
      <c r="AA49" s="384"/>
      <c r="AB49" s="384"/>
    </row>
    <row r="50">
      <c r="A50" s="385"/>
      <c r="B50" s="460" t="s">
        <v>173</v>
      </c>
      <c r="F50" s="457">
        <v>1.5</v>
      </c>
      <c r="I50" s="472" t="s">
        <v>174</v>
      </c>
      <c r="M50" s="474">
        <f>F56*F41</f>
        <v>46789.5951</v>
      </c>
      <c r="N50" s="384"/>
      <c r="O50" s="456" t="s">
        <v>155</v>
      </c>
      <c r="R50" s="457">
        <f>R39</f>
        <v>16</v>
      </c>
      <c r="S50" s="387"/>
      <c r="T50" s="384"/>
      <c r="U50" s="384"/>
      <c r="X50" s="384"/>
      <c r="Y50" s="384"/>
      <c r="Z50" s="384"/>
      <c r="AA50" s="384"/>
      <c r="AB50" s="384"/>
    </row>
    <row r="51">
      <c r="A51" s="385"/>
      <c r="B51" s="460" t="s">
        <v>46</v>
      </c>
      <c r="F51" s="435">
        <v>810.0</v>
      </c>
      <c r="I51" s="472" t="s">
        <v>175</v>
      </c>
      <c r="M51" s="474" t="str">
        <f>F58*L41</f>
        <v>#DIV/0!</v>
      </c>
      <c r="N51" s="384"/>
      <c r="O51" s="458" t="s">
        <v>157</v>
      </c>
      <c r="R51" s="459">
        <f>R50-R59</f>
        <v>6.407407407</v>
      </c>
      <c r="S51" s="387"/>
      <c r="T51" s="384"/>
      <c r="U51" s="384"/>
      <c r="V51" s="386"/>
      <c r="W51" s="386"/>
      <c r="X51" s="384"/>
      <c r="Y51" s="384"/>
      <c r="Z51" s="384"/>
      <c r="AA51" s="384"/>
      <c r="AB51" s="384"/>
    </row>
    <row r="52">
      <c r="A52" s="385"/>
      <c r="B52" s="475" t="s">
        <v>47</v>
      </c>
      <c r="C52" s="7"/>
      <c r="D52" s="7"/>
      <c r="E52" s="7"/>
      <c r="F52" s="429">
        <v>1141.0</v>
      </c>
      <c r="I52" s="472" t="s">
        <v>176</v>
      </c>
      <c r="M52" s="473">
        <v>235.0</v>
      </c>
      <c r="N52" s="384"/>
      <c r="O52" s="458" t="s">
        <v>158</v>
      </c>
      <c r="R52" s="457">
        <f t="shared" ref="R52:R55" si="8">R41</f>
        <v>2.78</v>
      </c>
      <c r="S52" s="387"/>
      <c r="T52" s="384"/>
      <c r="U52" s="384"/>
      <c r="X52" s="384"/>
      <c r="Y52" s="384"/>
      <c r="Z52" s="384"/>
      <c r="AA52" s="384"/>
      <c r="AB52" s="384"/>
    </row>
    <row r="53">
      <c r="A53" s="385"/>
      <c r="I53" s="476" t="s">
        <v>177</v>
      </c>
      <c r="J53" s="477"/>
      <c r="K53" s="477"/>
      <c r="L53" s="477"/>
      <c r="M53" s="478">
        <v>255.0</v>
      </c>
      <c r="N53" s="384"/>
      <c r="O53" s="458" t="s">
        <v>159</v>
      </c>
      <c r="R53" s="457">
        <f t="shared" si="8"/>
        <v>0.5</v>
      </c>
      <c r="S53" s="387"/>
      <c r="T53" s="384"/>
      <c r="U53" s="384"/>
      <c r="X53" s="384"/>
      <c r="Y53" s="384"/>
      <c r="Z53" s="384"/>
      <c r="AA53" s="384"/>
      <c r="AB53" s="384"/>
    </row>
    <row r="54">
      <c r="A54" s="385"/>
      <c r="B54" s="455" t="s">
        <v>178</v>
      </c>
      <c r="C54" s="150"/>
      <c r="D54" s="150"/>
      <c r="E54" s="150"/>
      <c r="F54" s="151"/>
      <c r="N54" s="384"/>
      <c r="O54" s="458" t="s">
        <v>160</v>
      </c>
      <c r="R54" s="457">
        <f t="shared" si="8"/>
        <v>0.5</v>
      </c>
      <c r="S54" s="387"/>
      <c r="T54" s="384"/>
      <c r="U54" s="384"/>
      <c r="X54" s="384"/>
      <c r="Y54" s="384"/>
      <c r="Z54" s="384"/>
      <c r="AA54" s="384"/>
      <c r="AB54" s="384"/>
    </row>
    <row r="55">
      <c r="A55" s="385"/>
      <c r="B55" s="460" t="s">
        <v>179</v>
      </c>
      <c r="F55" s="457">
        <v>0.4</v>
      </c>
      <c r="I55" s="455" t="s">
        <v>180</v>
      </c>
      <c r="J55" s="150"/>
      <c r="K55" s="150"/>
      <c r="L55" s="150"/>
      <c r="M55" s="151"/>
      <c r="N55" s="384"/>
      <c r="O55" s="458" t="s">
        <v>161</v>
      </c>
      <c r="R55" s="457">
        <f t="shared" si="8"/>
        <v>0.5</v>
      </c>
      <c r="S55" s="387"/>
      <c r="T55" s="384"/>
      <c r="U55" s="384"/>
      <c r="X55" s="384"/>
      <c r="Y55" s="384"/>
      <c r="Z55" s="384"/>
      <c r="AA55" s="384"/>
      <c r="AB55" s="384"/>
    </row>
    <row r="56">
      <c r="A56" s="385"/>
      <c r="B56" s="460" t="s">
        <v>181</v>
      </c>
      <c r="F56" s="457">
        <f>R45/F46</f>
        <v>7.198399247</v>
      </c>
      <c r="I56" s="460" t="s">
        <v>182</v>
      </c>
      <c r="M56" s="457">
        <f>F57*F43</f>
        <v>5.054030769</v>
      </c>
      <c r="N56" s="384"/>
      <c r="O56" s="456" t="s">
        <v>183</v>
      </c>
      <c r="R56" s="435">
        <f>M58/F52*1000</f>
        <v>6.644212229</v>
      </c>
      <c r="S56" s="387"/>
      <c r="T56" s="384"/>
      <c r="U56" s="384"/>
      <c r="X56" s="384"/>
      <c r="Y56" s="384"/>
      <c r="Z56" s="384"/>
      <c r="AA56" s="384"/>
      <c r="AB56" s="384"/>
    </row>
    <row r="57">
      <c r="A57" s="385"/>
      <c r="B57" s="460" t="s">
        <v>184</v>
      </c>
      <c r="F57" s="457">
        <f>M49/F41</f>
        <v>4.461538462</v>
      </c>
      <c r="I57" s="460" t="s">
        <v>185</v>
      </c>
      <c r="M57" s="435">
        <f>F59*L43</f>
        <v>6.96</v>
      </c>
      <c r="N57" s="384"/>
      <c r="O57" s="456" t="s">
        <v>186</v>
      </c>
      <c r="R57" s="435">
        <f>M57/F51*1000</f>
        <v>8.592592593</v>
      </c>
      <c r="S57" s="387"/>
      <c r="T57" s="384"/>
      <c r="U57" s="384"/>
      <c r="V57" s="384"/>
      <c r="W57" s="384"/>
      <c r="X57" s="384"/>
      <c r="Y57" s="384"/>
      <c r="Z57" s="384"/>
      <c r="AA57" s="384"/>
      <c r="AB57" s="384"/>
    </row>
    <row r="58">
      <c r="A58" s="385"/>
      <c r="B58" s="460" t="s">
        <v>187</v>
      </c>
      <c r="F58" s="457" t="str">
        <f>R45/MAX(L46,L45)</f>
        <v>#DIV/0!</v>
      </c>
      <c r="I58" s="460" t="s">
        <v>188</v>
      </c>
      <c r="M58" s="435">
        <f>F57*F44</f>
        <v>7.581046154</v>
      </c>
      <c r="N58" s="384"/>
      <c r="O58" s="456" t="s">
        <v>167</v>
      </c>
      <c r="R58" s="457">
        <f>R56/R50</f>
        <v>0.4152632643</v>
      </c>
      <c r="S58" s="387"/>
      <c r="T58" s="384"/>
      <c r="U58" s="384"/>
      <c r="V58" s="384"/>
      <c r="W58" s="384"/>
      <c r="X58" s="384"/>
      <c r="Y58" s="384"/>
      <c r="Z58" s="384"/>
      <c r="AA58" s="384"/>
      <c r="AB58" s="384"/>
    </row>
    <row r="59">
      <c r="A59" s="385"/>
      <c r="B59" s="465" t="s">
        <v>189</v>
      </c>
      <c r="C59" s="7"/>
      <c r="D59" s="7"/>
      <c r="E59" s="7"/>
      <c r="F59" s="479">
        <f>M49/L41</f>
        <v>3.866666667</v>
      </c>
      <c r="G59" s="386"/>
      <c r="H59" s="386"/>
      <c r="I59" s="465" t="s">
        <v>190</v>
      </c>
      <c r="J59" s="7"/>
      <c r="K59" s="7"/>
      <c r="L59" s="7"/>
      <c r="M59" s="429">
        <f>F59*L44</f>
        <v>0</v>
      </c>
      <c r="N59" s="384"/>
      <c r="O59" s="467" t="s">
        <v>168</v>
      </c>
      <c r="P59" s="7"/>
      <c r="Q59" s="7"/>
      <c r="R59" s="429">
        <f>MAX(R56,R57)+R55+R53</f>
        <v>9.592592593</v>
      </c>
      <c r="S59" s="387"/>
      <c r="T59" s="384"/>
      <c r="U59" s="384"/>
      <c r="V59" s="384"/>
      <c r="W59" s="384"/>
      <c r="X59" s="384"/>
      <c r="Y59" s="384"/>
      <c r="Z59" s="384"/>
      <c r="AA59" s="384"/>
      <c r="AB59" s="384"/>
    </row>
    <row r="60">
      <c r="A60" s="444"/>
      <c r="B60" s="386"/>
      <c r="C60" s="386"/>
      <c r="D60" s="386"/>
      <c r="E60" s="386"/>
      <c r="F60" s="386"/>
      <c r="G60" s="386"/>
      <c r="H60" s="386"/>
      <c r="I60" s="386"/>
      <c r="J60" s="384"/>
      <c r="K60" s="384"/>
      <c r="L60" s="384"/>
      <c r="M60" s="384"/>
      <c r="N60" s="480"/>
      <c r="O60" s="480"/>
      <c r="P60" s="480"/>
      <c r="Q60" s="480"/>
      <c r="R60" s="480"/>
      <c r="S60" s="449"/>
      <c r="T60" s="384"/>
      <c r="U60" s="384"/>
      <c r="V60" s="384"/>
      <c r="W60" s="384"/>
      <c r="X60" s="384"/>
      <c r="Y60" s="384"/>
      <c r="Z60" s="384"/>
      <c r="AA60" s="384"/>
      <c r="AB60" s="384"/>
    </row>
    <row r="61">
      <c r="A61" s="379"/>
      <c r="B61" s="481"/>
      <c r="C61" s="481"/>
      <c r="D61" s="481"/>
      <c r="E61" s="481"/>
      <c r="F61" s="481"/>
      <c r="G61" s="481"/>
      <c r="H61" s="481"/>
      <c r="I61" s="481"/>
      <c r="J61" s="481"/>
      <c r="K61" s="481"/>
      <c r="L61" s="481"/>
      <c r="M61" s="481"/>
      <c r="N61" s="481"/>
      <c r="O61" s="481"/>
      <c r="P61" s="481"/>
      <c r="Q61" s="481"/>
      <c r="R61" s="481"/>
      <c r="S61" s="383"/>
      <c r="T61" s="384"/>
      <c r="U61" s="384"/>
      <c r="V61" s="384"/>
      <c r="W61" s="384"/>
      <c r="X61" s="384"/>
      <c r="Y61" s="384"/>
      <c r="Z61" s="384"/>
      <c r="AA61" s="384"/>
      <c r="AB61" s="384"/>
    </row>
    <row r="62">
      <c r="A62" s="385"/>
      <c r="B62" s="454" t="s">
        <v>191</v>
      </c>
      <c r="D62" s="384"/>
      <c r="E62" s="384"/>
      <c r="F62" s="384"/>
      <c r="G62" s="384"/>
      <c r="H62" s="384"/>
      <c r="I62" s="384"/>
      <c r="J62" s="384"/>
      <c r="K62" s="384"/>
      <c r="L62" s="384"/>
      <c r="M62" s="384"/>
      <c r="N62" s="384"/>
      <c r="O62" s="384"/>
      <c r="P62" s="384"/>
      <c r="Q62" s="384"/>
      <c r="R62" s="384"/>
      <c r="S62" s="387"/>
      <c r="T62" s="384"/>
      <c r="U62" s="384"/>
      <c r="V62" s="384"/>
      <c r="W62" s="384"/>
      <c r="X62" s="384"/>
      <c r="Y62" s="384"/>
      <c r="Z62" s="384"/>
      <c r="AA62" s="384"/>
      <c r="AB62" s="384"/>
    </row>
    <row r="63">
      <c r="A63" s="385"/>
      <c r="B63" s="392"/>
      <c r="C63" s="392"/>
      <c r="D63" s="392"/>
      <c r="E63" s="392"/>
      <c r="I63" s="392"/>
      <c r="J63" s="384"/>
      <c r="K63" s="384"/>
      <c r="L63" s="384"/>
      <c r="M63" s="384"/>
      <c r="N63" s="384"/>
      <c r="O63" s="384"/>
      <c r="P63" s="384"/>
      <c r="Q63" s="384"/>
      <c r="R63" s="384"/>
      <c r="S63" s="387"/>
      <c r="T63" s="384"/>
      <c r="U63" s="384"/>
      <c r="V63" s="384"/>
      <c r="W63" s="384"/>
      <c r="X63" s="384"/>
      <c r="Y63" s="384"/>
      <c r="Z63" s="384"/>
      <c r="AA63" s="384"/>
      <c r="AB63" s="384"/>
    </row>
    <row r="64">
      <c r="A64" s="385"/>
      <c r="B64" s="482" t="s">
        <v>65</v>
      </c>
      <c r="C64" s="150"/>
      <c r="D64" s="150"/>
      <c r="E64" s="150"/>
      <c r="F64" s="150"/>
      <c r="G64" s="150"/>
      <c r="H64" s="150"/>
      <c r="I64" s="151"/>
      <c r="L64" s="483" t="s">
        <v>66</v>
      </c>
      <c r="M64" s="150"/>
      <c r="N64" s="150"/>
      <c r="O64" s="150"/>
      <c r="P64" s="150"/>
      <c r="Q64" s="151"/>
      <c r="R64" s="384"/>
      <c r="S64" s="387"/>
      <c r="T64" s="384"/>
      <c r="U64" s="384"/>
      <c r="V64" s="384"/>
      <c r="W64" s="384"/>
      <c r="X64" s="384"/>
      <c r="Y64" s="384"/>
      <c r="Z64" s="384"/>
      <c r="AA64" s="384"/>
      <c r="AB64" s="384"/>
    </row>
    <row r="65">
      <c r="A65" s="385"/>
      <c r="B65" s="484" t="s">
        <v>192</v>
      </c>
      <c r="D65" s="396"/>
      <c r="E65" s="396" t="s">
        <v>140</v>
      </c>
      <c r="F65" s="396" t="s">
        <v>142</v>
      </c>
      <c r="G65" s="396"/>
      <c r="H65" s="396" t="s">
        <v>141</v>
      </c>
      <c r="I65" s="397" t="s">
        <v>143</v>
      </c>
      <c r="L65" s="485" t="s">
        <v>68</v>
      </c>
      <c r="N65" s="396" t="s">
        <v>140</v>
      </c>
      <c r="O65" s="396" t="s">
        <v>142</v>
      </c>
      <c r="P65" s="396" t="s">
        <v>141</v>
      </c>
      <c r="Q65" s="397" t="s">
        <v>143</v>
      </c>
      <c r="S65" s="486"/>
      <c r="U65" s="384"/>
      <c r="V65" s="384"/>
      <c r="W65" s="384"/>
      <c r="X65" s="384"/>
      <c r="Y65" s="384"/>
      <c r="Z65" s="384"/>
      <c r="AA65" s="384"/>
      <c r="AB65" s="384"/>
    </row>
    <row r="66">
      <c r="A66" s="385"/>
      <c r="B66" s="487" t="s">
        <v>69</v>
      </c>
      <c r="D66" s="488"/>
      <c r="E66" s="488">
        <f>K10+K12+K15</f>
        <v>18020</v>
      </c>
      <c r="F66" s="488">
        <f>M10+M12+M15</f>
        <v>0</v>
      </c>
      <c r="G66" s="488"/>
      <c r="H66" s="488">
        <f>L10+L12+L15</f>
        <v>0</v>
      </c>
      <c r="I66" s="489">
        <f>N10+N12+N15</f>
        <v>0</v>
      </c>
      <c r="L66" s="490" t="s">
        <v>70</v>
      </c>
      <c r="M66" s="7"/>
      <c r="N66" s="428">
        <f>F49/25.84</f>
        <v>4.39628483</v>
      </c>
      <c r="O66" s="428">
        <f t="shared" ref="O66:Q66" si="9">N66</f>
        <v>4.39628483</v>
      </c>
      <c r="P66" s="428">
        <f t="shared" si="9"/>
        <v>4.39628483</v>
      </c>
      <c r="Q66" s="429">
        <f t="shared" si="9"/>
        <v>4.39628483</v>
      </c>
      <c r="S66" s="486"/>
      <c r="X66" s="4"/>
    </row>
    <row r="67">
      <c r="A67" s="385"/>
      <c r="B67" s="487" t="s">
        <v>71</v>
      </c>
      <c r="D67" s="488"/>
      <c r="E67" s="488">
        <f>SUM(C10:C16)-C14</f>
        <v>3444</v>
      </c>
      <c r="F67" s="488">
        <f>E67</f>
        <v>3444</v>
      </c>
      <c r="G67" s="488"/>
      <c r="H67" s="488">
        <f>E67</f>
        <v>3444</v>
      </c>
      <c r="I67" s="489">
        <f>H67</f>
        <v>3444</v>
      </c>
      <c r="L67" s="431"/>
      <c r="M67" s="431"/>
      <c r="N67" s="431"/>
      <c r="O67" s="431"/>
      <c r="P67" s="431"/>
      <c r="S67" s="486"/>
      <c r="X67" s="4"/>
    </row>
    <row r="68">
      <c r="A68" s="385"/>
      <c r="B68" s="487" t="s">
        <v>73</v>
      </c>
      <c r="D68" s="488"/>
      <c r="E68" s="488">
        <f t="shared" ref="E68:F68" si="10">E66</f>
        <v>18020</v>
      </c>
      <c r="F68" s="488">
        <f t="shared" si="10"/>
        <v>0</v>
      </c>
      <c r="G68" s="488"/>
      <c r="H68" s="488">
        <f t="shared" ref="H68:I68" si="11">H66</f>
        <v>0</v>
      </c>
      <c r="I68" s="489">
        <f t="shared" si="11"/>
        <v>0</v>
      </c>
      <c r="L68" s="431"/>
      <c r="M68" s="431"/>
      <c r="N68" s="431"/>
      <c r="O68" s="431"/>
      <c r="P68" s="431"/>
      <c r="S68" s="486"/>
      <c r="X68" s="4"/>
    </row>
    <row r="69">
      <c r="A69" s="385"/>
      <c r="B69" s="491" t="s">
        <v>75</v>
      </c>
      <c r="C69" s="7"/>
      <c r="D69" s="492"/>
      <c r="E69" s="492">
        <f>F56</f>
        <v>7.198399247</v>
      </c>
      <c r="F69" s="492">
        <f>F57</f>
        <v>4.461538462</v>
      </c>
      <c r="G69" s="492"/>
      <c r="H69" s="492" t="str">
        <f>F58</f>
        <v>#DIV/0!</v>
      </c>
      <c r="I69" s="429">
        <f>F59</f>
        <v>3.866666667</v>
      </c>
      <c r="L69" s="168"/>
      <c r="M69" s="493"/>
      <c r="N69" s="493"/>
      <c r="O69" s="493"/>
      <c r="P69" s="384"/>
      <c r="Q69" s="384"/>
      <c r="S69" s="486"/>
      <c r="X69" s="4"/>
    </row>
    <row r="70">
      <c r="A70" s="444"/>
      <c r="B70" s="480"/>
      <c r="C70" s="480"/>
      <c r="D70" s="480"/>
      <c r="E70" s="480"/>
      <c r="F70" s="494"/>
      <c r="G70" s="494"/>
      <c r="H70" s="494"/>
      <c r="I70" s="480"/>
      <c r="J70" s="494"/>
      <c r="K70" s="494"/>
      <c r="L70" s="480"/>
      <c r="M70" s="480"/>
      <c r="N70" s="480"/>
      <c r="O70" s="480"/>
      <c r="P70" s="480"/>
      <c r="Q70" s="480"/>
      <c r="R70" s="480"/>
      <c r="S70" s="495"/>
      <c r="X70" s="4"/>
      <c r="Y70" s="4"/>
      <c r="Z70" s="4"/>
      <c r="AA70" s="62"/>
      <c r="AB70" s="62"/>
    </row>
    <row r="71">
      <c r="A71" s="379"/>
      <c r="B71" s="481"/>
      <c r="C71" s="481"/>
      <c r="D71" s="481"/>
      <c r="E71" s="481"/>
      <c r="F71" s="496"/>
      <c r="G71" s="496"/>
      <c r="H71" s="496"/>
      <c r="I71" s="481"/>
      <c r="J71" s="496"/>
      <c r="K71" s="496"/>
      <c r="L71" s="481"/>
      <c r="M71" s="481"/>
      <c r="N71" s="481"/>
      <c r="O71" s="481"/>
      <c r="P71" s="496"/>
      <c r="Q71" s="481"/>
      <c r="R71" s="481"/>
      <c r="S71" s="497"/>
      <c r="X71" s="4"/>
      <c r="Y71" s="4"/>
      <c r="Z71" s="4"/>
      <c r="AA71" s="62"/>
      <c r="AB71" s="62"/>
    </row>
    <row r="72">
      <c r="A72" s="385"/>
      <c r="B72" s="454" t="s">
        <v>193</v>
      </c>
      <c r="D72" s="384"/>
      <c r="E72" s="384"/>
      <c r="F72" s="384"/>
      <c r="G72" s="384"/>
      <c r="H72" s="384"/>
      <c r="I72" s="384"/>
      <c r="J72" s="384"/>
      <c r="K72" s="384"/>
      <c r="L72" s="384"/>
      <c r="M72" s="384"/>
      <c r="N72" s="384"/>
      <c r="O72" s="384"/>
      <c r="Q72" s="384"/>
      <c r="R72" s="384"/>
      <c r="S72" s="486"/>
      <c r="X72" s="4"/>
      <c r="Y72" s="4"/>
      <c r="Z72" s="4"/>
      <c r="AA72" s="62"/>
      <c r="AB72" s="62"/>
    </row>
    <row r="73">
      <c r="A73" s="385"/>
      <c r="B73" s="414"/>
      <c r="C73" s="414"/>
      <c r="D73" s="414"/>
      <c r="E73" s="414"/>
      <c r="F73" s="414"/>
      <c r="G73" s="414"/>
      <c r="H73" s="414"/>
      <c r="I73" s="414"/>
      <c r="J73" s="414"/>
      <c r="K73" s="414"/>
      <c r="L73" s="414"/>
      <c r="M73" s="414"/>
      <c r="N73" s="414"/>
      <c r="O73" s="384"/>
      <c r="P73" s="384"/>
      <c r="Q73" s="384"/>
      <c r="R73" s="384"/>
      <c r="S73" s="387"/>
      <c r="T73" s="384"/>
      <c r="U73" s="384"/>
      <c r="V73" s="384"/>
      <c r="W73" s="384"/>
      <c r="Z73" s="384"/>
      <c r="AA73" s="384"/>
      <c r="AB73" s="384"/>
    </row>
    <row r="74">
      <c r="A74" s="385"/>
      <c r="B74" s="483" t="s">
        <v>77</v>
      </c>
      <c r="C74" s="150"/>
      <c r="D74" s="150"/>
      <c r="E74" s="150"/>
      <c r="F74" s="150"/>
      <c r="G74" s="150"/>
      <c r="H74" s="150"/>
      <c r="I74" s="150"/>
      <c r="J74" s="150"/>
      <c r="K74" s="150"/>
      <c r="L74" s="150"/>
      <c r="M74" s="150"/>
      <c r="N74" s="151"/>
      <c r="O74" s="384"/>
      <c r="P74" s="455" t="s">
        <v>194</v>
      </c>
      <c r="Q74" s="150"/>
      <c r="R74" s="151"/>
      <c r="S74" s="387"/>
      <c r="T74" s="384"/>
      <c r="U74" s="384"/>
      <c r="V74" s="384"/>
      <c r="W74" s="384"/>
      <c r="Z74" s="384"/>
      <c r="AA74" s="384"/>
      <c r="AB74" s="384"/>
    </row>
    <row r="75">
      <c r="A75" s="385"/>
      <c r="B75" s="498" t="s">
        <v>29</v>
      </c>
      <c r="D75" s="394"/>
      <c r="E75" s="394" t="s">
        <v>140</v>
      </c>
      <c r="G75" s="394"/>
      <c r="H75" s="394" t="s">
        <v>142</v>
      </c>
      <c r="J75" s="394"/>
      <c r="K75" s="394" t="s">
        <v>141</v>
      </c>
      <c r="M75" s="394" t="s">
        <v>143</v>
      </c>
      <c r="N75" s="13"/>
      <c r="O75" s="414"/>
      <c r="P75" s="499" t="s">
        <v>195</v>
      </c>
      <c r="R75" s="13"/>
      <c r="S75" s="387"/>
      <c r="T75" s="384"/>
      <c r="U75" s="384"/>
      <c r="V75" s="384"/>
      <c r="W75" s="384"/>
      <c r="Z75" s="384"/>
      <c r="AA75" s="384"/>
      <c r="AB75" s="384"/>
    </row>
    <row r="76">
      <c r="A76" s="385"/>
      <c r="B76" s="434"/>
      <c r="D76" s="394"/>
      <c r="E76" s="394" t="s">
        <v>130</v>
      </c>
      <c r="F76" s="500" t="s">
        <v>139</v>
      </c>
      <c r="G76" s="394"/>
      <c r="H76" s="394" t="s">
        <v>130</v>
      </c>
      <c r="I76" s="500" t="s">
        <v>139</v>
      </c>
      <c r="J76" s="394"/>
      <c r="K76" s="394" t="s">
        <v>130</v>
      </c>
      <c r="L76" s="500" t="s">
        <v>139</v>
      </c>
      <c r="M76" s="394" t="s">
        <v>130</v>
      </c>
      <c r="N76" s="501" t="s">
        <v>139</v>
      </c>
      <c r="O76" s="502"/>
      <c r="P76" s="434"/>
      <c r="R76" s="13"/>
      <c r="S76" s="486"/>
      <c r="U76" s="384"/>
      <c r="V76" s="384"/>
      <c r="W76" s="384"/>
      <c r="Z76" s="384"/>
      <c r="AA76" s="384"/>
      <c r="AB76" s="384"/>
    </row>
    <row r="77">
      <c r="A77" s="385"/>
      <c r="B77" s="126" t="s">
        <v>83</v>
      </c>
      <c r="D77" s="236"/>
      <c r="E77" s="236">
        <v>27.1</v>
      </c>
      <c r="F77" s="236">
        <v>25.5</v>
      </c>
      <c r="G77" s="236"/>
      <c r="H77" s="236">
        <v>31.0</v>
      </c>
      <c r="I77" s="236">
        <v>28.9</v>
      </c>
      <c r="J77" s="236"/>
      <c r="K77" s="236">
        <v>35.1</v>
      </c>
      <c r="L77" s="236">
        <v>33.1</v>
      </c>
      <c r="M77" s="236">
        <v>39.3</v>
      </c>
      <c r="N77" s="249">
        <v>37.2</v>
      </c>
      <c r="O77" s="502"/>
      <c r="P77" s="434"/>
      <c r="R77" s="13"/>
      <c r="S77" s="486"/>
      <c r="U77" s="384"/>
      <c r="V77" s="384"/>
      <c r="W77" s="384"/>
      <c r="Z77" s="384"/>
      <c r="AA77" s="384"/>
      <c r="AB77" s="384"/>
    </row>
    <row r="78">
      <c r="A78" s="385"/>
      <c r="B78" s="503" t="s">
        <v>86</v>
      </c>
      <c r="D78" s="504"/>
      <c r="E78" s="504">
        <v>13412.0</v>
      </c>
      <c r="F78" s="504">
        <v>11288.0</v>
      </c>
      <c r="G78" s="504"/>
      <c r="H78" s="504">
        <v>4574.0</v>
      </c>
      <c r="I78" s="504">
        <v>3692.0</v>
      </c>
      <c r="J78" s="504"/>
      <c r="K78" s="504">
        <v>12600.0</v>
      </c>
      <c r="L78" s="504">
        <v>11923.0</v>
      </c>
      <c r="M78" s="504">
        <v>4530.0</v>
      </c>
      <c r="N78" s="505">
        <v>3999.0</v>
      </c>
      <c r="O78" s="502"/>
      <c r="P78" s="499" t="s">
        <v>196</v>
      </c>
      <c r="R78" s="13"/>
      <c r="S78" s="486"/>
      <c r="U78" s="384"/>
      <c r="V78" s="384"/>
      <c r="W78" s="384"/>
      <c r="Z78" s="384"/>
      <c r="AA78" s="384"/>
      <c r="AB78" s="384"/>
    </row>
    <row r="79">
      <c r="A79" s="385"/>
      <c r="B79" s="126" t="s">
        <v>89</v>
      </c>
      <c r="D79" s="506"/>
      <c r="E79" s="506">
        <v>539.0</v>
      </c>
      <c r="F79" s="506">
        <v>487.0</v>
      </c>
      <c r="G79" s="507"/>
      <c r="H79" s="507">
        <v>317.0</v>
      </c>
      <c r="I79" s="507">
        <v>279.0</v>
      </c>
      <c r="J79" s="506"/>
      <c r="K79" s="506">
        <v>618.0</v>
      </c>
      <c r="L79" s="506">
        <v>559.0</v>
      </c>
      <c r="M79" s="507">
        <v>344.0</v>
      </c>
      <c r="N79" s="508">
        <v>304.0</v>
      </c>
      <c r="O79" s="502"/>
      <c r="P79" s="434"/>
      <c r="R79" s="13"/>
      <c r="S79" s="486"/>
      <c r="U79" s="384"/>
      <c r="V79" s="384"/>
      <c r="W79" s="384"/>
      <c r="Z79" s="384"/>
      <c r="AA79" s="384"/>
      <c r="AB79" s="384"/>
    </row>
    <row r="80">
      <c r="A80" s="509"/>
      <c r="B80" s="126" t="s">
        <v>92</v>
      </c>
      <c r="D80" s="510"/>
      <c r="E80" s="510">
        <v>33.0</v>
      </c>
      <c r="F80" s="510">
        <v>28.3</v>
      </c>
      <c r="G80" s="510"/>
      <c r="H80" s="510">
        <v>41.6</v>
      </c>
      <c r="I80" s="510">
        <v>36.2</v>
      </c>
      <c r="J80" s="510"/>
      <c r="K80" s="510">
        <v>53.0</v>
      </c>
      <c r="L80" s="510">
        <v>47.6</v>
      </c>
      <c r="M80" s="510">
        <v>68.3</v>
      </c>
      <c r="N80" s="511">
        <v>60.1</v>
      </c>
      <c r="O80" s="512"/>
      <c r="P80" s="434"/>
      <c r="R80" s="13"/>
      <c r="S80" s="513"/>
      <c r="T80" s="514"/>
      <c r="U80" s="515"/>
      <c r="V80" s="515"/>
      <c r="W80" s="515"/>
      <c r="X80" s="514"/>
      <c r="Y80" s="514"/>
      <c r="Z80" s="515"/>
      <c r="AA80" s="515"/>
      <c r="AB80" s="515"/>
    </row>
    <row r="81">
      <c r="A81" s="385"/>
      <c r="B81" s="143" t="s">
        <v>197</v>
      </c>
      <c r="D81" s="510"/>
      <c r="E81" s="510">
        <v>56.9</v>
      </c>
      <c r="F81" s="510">
        <v>43.7</v>
      </c>
      <c r="G81" s="516"/>
      <c r="H81" s="516">
        <v>32.5</v>
      </c>
      <c r="I81" s="516">
        <v>31.1</v>
      </c>
      <c r="J81" s="510"/>
      <c r="K81" s="510">
        <v>41.0</v>
      </c>
      <c r="L81" s="510">
        <v>50.8</v>
      </c>
      <c r="M81" s="516">
        <v>30.8</v>
      </c>
      <c r="N81" s="517">
        <v>29.6</v>
      </c>
      <c r="O81" s="502"/>
      <c r="P81" s="434"/>
      <c r="R81" s="13"/>
      <c r="S81" s="486"/>
      <c r="V81" s="384"/>
      <c r="W81" s="384"/>
      <c r="X81" s="384"/>
      <c r="Y81" s="384"/>
      <c r="Z81" s="384"/>
      <c r="AA81" s="384"/>
      <c r="AB81" s="384"/>
    </row>
    <row r="82">
      <c r="A82" s="385"/>
      <c r="B82" s="126" t="s">
        <v>90</v>
      </c>
      <c r="D82" s="236"/>
      <c r="E82" s="236">
        <v>1.686</v>
      </c>
      <c r="F82" s="236">
        <v>1.511</v>
      </c>
      <c r="G82" s="236"/>
      <c r="H82" s="236">
        <v>0.944</v>
      </c>
      <c r="I82" s="236">
        <v>0.829</v>
      </c>
      <c r="J82" s="236"/>
      <c r="K82" s="236">
        <v>1.901</v>
      </c>
      <c r="L82" s="236">
        <v>1.712</v>
      </c>
      <c r="M82" s="236">
        <v>1.021</v>
      </c>
      <c r="N82" s="249">
        <v>0.901</v>
      </c>
      <c r="O82" s="414"/>
      <c r="P82" s="434"/>
      <c r="R82" s="13"/>
      <c r="S82" s="387"/>
      <c r="V82" s="384"/>
      <c r="W82" s="384"/>
      <c r="X82" s="384"/>
      <c r="Y82" s="384"/>
      <c r="Z82" s="384"/>
      <c r="AA82" s="384"/>
      <c r="AB82" s="384"/>
    </row>
    <row r="83">
      <c r="A83" s="385"/>
      <c r="B83" s="490" t="s">
        <v>93</v>
      </c>
      <c r="C83" s="7"/>
      <c r="D83" s="518"/>
      <c r="E83" s="518">
        <f t="shared" ref="E83:F83" si="12">E80/9.81</f>
        <v>3.363914373</v>
      </c>
      <c r="F83" s="518">
        <f t="shared" si="12"/>
        <v>2.884811417</v>
      </c>
      <c r="G83" s="518"/>
      <c r="H83" s="518">
        <f t="shared" ref="H83:I83" si="13">H80/9.81</f>
        <v>4.240570846</v>
      </c>
      <c r="I83" s="518">
        <f t="shared" si="13"/>
        <v>3.69011213</v>
      </c>
      <c r="J83" s="518"/>
      <c r="K83" s="518">
        <f t="shared" ref="K83:N83" si="14">K80/9.81</f>
        <v>5.402650357</v>
      </c>
      <c r="L83" s="518">
        <f t="shared" si="14"/>
        <v>4.852191641</v>
      </c>
      <c r="M83" s="518">
        <f t="shared" si="14"/>
        <v>6.962283384</v>
      </c>
      <c r="N83" s="519">
        <f t="shared" si="14"/>
        <v>6.126401631</v>
      </c>
      <c r="O83" s="502"/>
      <c r="P83" s="499" t="s">
        <v>198</v>
      </c>
      <c r="R83" s="13"/>
      <c r="S83" s="486"/>
      <c r="U83" s="384"/>
      <c r="V83" s="384"/>
      <c r="W83" s="384"/>
      <c r="X83" s="384"/>
      <c r="Y83" s="384"/>
      <c r="Z83" s="384"/>
      <c r="AA83" s="384"/>
      <c r="AB83" s="384"/>
    </row>
    <row r="84">
      <c r="A84" s="385"/>
      <c r="B84" s="502"/>
      <c r="C84" s="502"/>
      <c r="D84" s="502"/>
      <c r="E84" s="502"/>
      <c r="F84" s="502"/>
      <c r="G84" s="502"/>
      <c r="H84" s="502"/>
      <c r="I84" s="414"/>
      <c r="J84" s="414"/>
      <c r="K84" s="414"/>
      <c r="L84" s="414"/>
      <c r="M84" s="414"/>
      <c r="N84" s="414"/>
      <c r="O84" s="74"/>
      <c r="P84" s="434"/>
      <c r="R84" s="13"/>
      <c r="S84" s="520"/>
      <c r="V84" s="384"/>
      <c r="W84" s="384"/>
      <c r="X84" s="384"/>
      <c r="Y84" s="384"/>
      <c r="Z84" s="384"/>
      <c r="AA84" s="384"/>
      <c r="AB84" s="384"/>
    </row>
    <row r="85">
      <c r="A85" s="385"/>
      <c r="B85" s="483" t="s">
        <v>78</v>
      </c>
      <c r="C85" s="150"/>
      <c r="D85" s="150"/>
      <c r="E85" s="150"/>
      <c r="F85" s="150"/>
      <c r="G85" s="150"/>
      <c r="H85" s="150"/>
      <c r="I85" s="150"/>
      <c r="J85" s="150"/>
      <c r="K85" s="150"/>
      <c r="L85" s="150"/>
      <c r="M85" s="150"/>
      <c r="N85" s="151"/>
      <c r="O85" s="414"/>
      <c r="P85" s="499" t="s">
        <v>199</v>
      </c>
      <c r="R85" s="13"/>
      <c r="S85" s="387"/>
      <c r="V85" s="384"/>
      <c r="W85" s="384"/>
      <c r="X85" s="384"/>
      <c r="Y85" s="384"/>
      <c r="Z85" s="384"/>
      <c r="AA85" s="384"/>
      <c r="AB85" s="384"/>
    </row>
    <row r="86">
      <c r="A86" s="385"/>
      <c r="B86" s="498" t="s">
        <v>29</v>
      </c>
      <c r="D86" s="394"/>
      <c r="E86" s="394" t="s">
        <v>140</v>
      </c>
      <c r="G86" s="394"/>
      <c r="H86" s="394" t="s">
        <v>142</v>
      </c>
      <c r="J86" s="394"/>
      <c r="K86" s="394" t="s">
        <v>141</v>
      </c>
      <c r="M86" s="394" t="s">
        <v>143</v>
      </c>
      <c r="N86" s="13"/>
      <c r="O86" s="414"/>
      <c r="P86" s="434"/>
      <c r="R86" s="13"/>
      <c r="S86" s="387"/>
      <c r="V86" s="384"/>
      <c r="W86" s="384"/>
      <c r="X86" s="384"/>
      <c r="Y86" s="384"/>
      <c r="Z86" s="384"/>
      <c r="AA86" s="384"/>
      <c r="AB86" s="384"/>
    </row>
    <row r="87">
      <c r="A87" s="385"/>
      <c r="B87" s="434"/>
      <c r="D87" s="394"/>
      <c r="E87" s="394" t="s">
        <v>130</v>
      </c>
      <c r="F87" s="500" t="s">
        <v>139</v>
      </c>
      <c r="G87" s="394"/>
      <c r="H87" s="394" t="s">
        <v>130</v>
      </c>
      <c r="I87" s="500" t="s">
        <v>139</v>
      </c>
      <c r="J87" s="394"/>
      <c r="K87" s="394" t="s">
        <v>130</v>
      </c>
      <c r="L87" s="500" t="s">
        <v>139</v>
      </c>
      <c r="M87" s="394" t="s">
        <v>130</v>
      </c>
      <c r="N87" s="501" t="s">
        <v>139</v>
      </c>
      <c r="O87" s="384"/>
      <c r="P87" s="499" t="s">
        <v>200</v>
      </c>
      <c r="R87" s="13"/>
      <c r="S87" s="387"/>
      <c r="V87" s="384"/>
      <c r="W87" s="384"/>
      <c r="X87" s="384"/>
      <c r="Y87" s="384"/>
      <c r="Z87" s="384"/>
      <c r="AA87" s="384"/>
      <c r="AB87" s="384"/>
    </row>
    <row r="88">
      <c r="A88" s="385"/>
      <c r="B88" s="521" t="s">
        <v>81</v>
      </c>
      <c r="D88" s="522"/>
      <c r="E88" s="522">
        <v>38262.0</v>
      </c>
      <c r="F88" s="522">
        <v>34104.0</v>
      </c>
      <c r="G88" s="522"/>
      <c r="H88" s="522">
        <v>15231.0</v>
      </c>
      <c r="I88" s="522">
        <v>13071.0</v>
      </c>
      <c r="J88" s="522"/>
      <c r="K88" s="522">
        <v>38006.0</v>
      </c>
      <c r="L88" s="522">
        <v>34775.0</v>
      </c>
      <c r="M88" s="522">
        <v>15047.0</v>
      </c>
      <c r="N88" s="523">
        <v>13440.0</v>
      </c>
      <c r="O88" s="384"/>
      <c r="P88" s="434"/>
      <c r="R88" s="13"/>
      <c r="S88" s="387"/>
      <c r="V88" s="384"/>
      <c r="W88" s="384"/>
      <c r="X88" s="384"/>
      <c r="Y88" s="384"/>
      <c r="Z88" s="384"/>
      <c r="AA88" s="384"/>
      <c r="AB88" s="384"/>
    </row>
    <row r="89">
      <c r="A89" s="385"/>
      <c r="B89" s="524" t="s">
        <v>84</v>
      </c>
      <c r="D89" s="525"/>
      <c r="E89" s="525">
        <v>1762.1</v>
      </c>
      <c r="F89" s="525">
        <v>1602.3</v>
      </c>
      <c r="G89" s="525"/>
      <c r="H89" s="525">
        <v>1069.0</v>
      </c>
      <c r="I89" s="525">
        <v>939.5</v>
      </c>
      <c r="J89" s="525"/>
      <c r="K89" s="525">
        <v>1984.1</v>
      </c>
      <c r="L89" s="525">
        <v>1806.3</v>
      </c>
      <c r="M89" s="525">
        <v>1142.5</v>
      </c>
      <c r="N89" s="526">
        <v>1014.4</v>
      </c>
      <c r="O89" s="384"/>
      <c r="P89" s="434"/>
      <c r="R89" s="13"/>
      <c r="S89" s="387"/>
      <c r="V89" s="384"/>
      <c r="W89" s="384"/>
      <c r="X89" s="384"/>
      <c r="Y89" s="384"/>
      <c r="Z89" s="384"/>
      <c r="AA89" s="384"/>
      <c r="AB89" s="384"/>
    </row>
    <row r="90">
      <c r="A90" s="509"/>
      <c r="B90" s="527" t="s">
        <v>197</v>
      </c>
      <c r="D90" s="528"/>
      <c r="E90" s="528">
        <v>52.7</v>
      </c>
      <c r="F90" s="528">
        <v>51.1</v>
      </c>
      <c r="G90" s="528"/>
      <c r="H90" s="528">
        <v>32.8</v>
      </c>
      <c r="I90" s="528">
        <v>31.3</v>
      </c>
      <c r="J90" s="528"/>
      <c r="K90" s="528">
        <v>48.7</v>
      </c>
      <c r="L90" s="528">
        <v>47.7</v>
      </c>
      <c r="M90" s="528">
        <v>31.1</v>
      </c>
      <c r="N90" s="529">
        <v>30.1</v>
      </c>
      <c r="O90" s="515"/>
      <c r="P90" s="434"/>
      <c r="R90" s="13"/>
      <c r="S90" s="530"/>
      <c r="T90" s="515"/>
      <c r="U90" s="515"/>
      <c r="V90" s="515"/>
      <c r="W90" s="515"/>
      <c r="X90" s="515"/>
      <c r="Y90" s="515"/>
      <c r="Z90" s="515"/>
      <c r="AA90" s="515"/>
      <c r="AB90" s="515"/>
    </row>
    <row r="91">
      <c r="A91" s="385"/>
      <c r="B91" s="527" t="s">
        <v>201</v>
      </c>
      <c r="D91" s="531"/>
      <c r="E91" s="531">
        <v>1.678</v>
      </c>
      <c r="F91" s="531">
        <v>1.5157</v>
      </c>
      <c r="G91" s="531"/>
      <c r="H91" s="531">
        <v>0.9718</v>
      </c>
      <c r="I91" s="531">
        <v>0.8524</v>
      </c>
      <c r="J91" s="531"/>
      <c r="K91" s="531">
        <v>1.86</v>
      </c>
      <c r="L91" s="531">
        <v>1.686</v>
      </c>
      <c r="M91" s="531">
        <v>1.0341</v>
      </c>
      <c r="N91" s="532">
        <v>0.9171</v>
      </c>
      <c r="O91" s="384"/>
      <c r="P91" s="499" t="s">
        <v>202</v>
      </c>
      <c r="R91" s="13"/>
      <c r="S91" s="387"/>
      <c r="T91" s="384"/>
      <c r="U91" s="384"/>
      <c r="V91" s="384"/>
      <c r="W91" s="384"/>
      <c r="X91" s="384"/>
      <c r="Y91" s="384"/>
      <c r="Z91" s="384"/>
      <c r="AA91" s="384"/>
      <c r="AB91" s="384"/>
    </row>
    <row r="92">
      <c r="A92" s="385"/>
      <c r="B92" s="527" t="s">
        <v>203</v>
      </c>
      <c r="D92" s="531"/>
      <c r="E92" s="531">
        <v>91.7</v>
      </c>
      <c r="F92" s="531">
        <v>86.4</v>
      </c>
      <c r="G92" s="531"/>
      <c r="H92" s="531">
        <v>101.8</v>
      </c>
      <c r="I92" s="531">
        <v>94.6</v>
      </c>
      <c r="J92" s="531"/>
      <c r="K92" s="531">
        <v>116.1</v>
      </c>
      <c r="L92" s="531">
        <v>111.2</v>
      </c>
      <c r="M92" s="531">
        <v>129.4</v>
      </c>
      <c r="N92" s="532">
        <v>123.0</v>
      </c>
      <c r="O92" s="384"/>
      <c r="P92" s="434"/>
      <c r="R92" s="13"/>
      <c r="S92" s="387"/>
      <c r="T92" s="384"/>
      <c r="U92" s="384"/>
      <c r="V92" s="384"/>
      <c r="W92" s="384"/>
      <c r="X92" s="384"/>
      <c r="Y92" s="384"/>
      <c r="Z92" s="384"/>
      <c r="AA92" s="384"/>
      <c r="AB92" s="384"/>
    </row>
    <row r="93">
      <c r="A93" s="385"/>
      <c r="B93" s="527" t="s">
        <v>204</v>
      </c>
      <c r="D93" s="531"/>
      <c r="E93" s="531">
        <f t="shared" ref="E93:F93" si="15">E92/3.281</f>
        <v>27.9487961</v>
      </c>
      <c r="F93" s="531">
        <f t="shared" si="15"/>
        <v>26.33343493</v>
      </c>
      <c r="G93" s="531"/>
      <c r="H93" s="531">
        <f t="shared" ref="H93:I93" si="16">H92/3.281</f>
        <v>31.02712588</v>
      </c>
      <c r="I93" s="531">
        <f t="shared" si="16"/>
        <v>28.83267297</v>
      </c>
      <c r="J93" s="531"/>
      <c r="K93" s="531">
        <f t="shared" ref="K93:N93" si="17">K92/3.281</f>
        <v>35.38555319</v>
      </c>
      <c r="L93" s="531">
        <f t="shared" si="17"/>
        <v>33.89210607</v>
      </c>
      <c r="M93" s="531">
        <f t="shared" si="17"/>
        <v>39.43919537</v>
      </c>
      <c r="N93" s="532">
        <f t="shared" si="17"/>
        <v>37.48857056</v>
      </c>
      <c r="O93" s="384"/>
      <c r="P93" s="434"/>
      <c r="R93" s="13"/>
      <c r="S93" s="387"/>
      <c r="T93" s="384"/>
      <c r="U93" s="384"/>
      <c r="V93" s="384"/>
      <c r="W93" s="384"/>
      <c r="X93" s="384"/>
      <c r="Y93" s="384"/>
      <c r="Z93" s="384"/>
      <c r="AA93" s="384"/>
      <c r="AB93" s="384"/>
    </row>
    <row r="94">
      <c r="A94" s="385"/>
      <c r="B94" s="521" t="s">
        <v>86</v>
      </c>
      <c r="D94" s="522"/>
      <c r="E94" s="522">
        <f t="shared" ref="E94:F94" si="18">E88/3.281</f>
        <v>11661.68851</v>
      </c>
      <c r="F94" s="522">
        <f t="shared" si="18"/>
        <v>10394.39195</v>
      </c>
      <c r="G94" s="522"/>
      <c r="H94" s="522">
        <f t="shared" ref="H94:I94" si="19">H88/3.281</f>
        <v>4642.182262</v>
      </c>
      <c r="I94" s="522">
        <f t="shared" si="19"/>
        <v>3983.846388</v>
      </c>
      <c r="J94" s="522"/>
      <c r="K94" s="522">
        <f t="shared" ref="K94:N94" si="20">K88/3.281</f>
        <v>11583.66352</v>
      </c>
      <c r="L94" s="522">
        <f t="shared" si="20"/>
        <v>10598.90277</v>
      </c>
      <c r="M94" s="522">
        <f t="shared" si="20"/>
        <v>4586.101798</v>
      </c>
      <c r="N94" s="523">
        <f t="shared" si="20"/>
        <v>4096.3121</v>
      </c>
      <c r="O94" s="384"/>
      <c r="P94" s="434"/>
      <c r="R94" s="13"/>
      <c r="S94" s="387"/>
      <c r="T94" s="384"/>
      <c r="U94" s="384"/>
      <c r="V94" s="384"/>
      <c r="W94" s="384"/>
      <c r="X94" s="384"/>
      <c r="Y94" s="384"/>
      <c r="Z94" s="384"/>
      <c r="AA94" s="384"/>
      <c r="AB94" s="384"/>
    </row>
    <row r="95">
      <c r="A95" s="385"/>
      <c r="B95" s="490" t="s">
        <v>89</v>
      </c>
      <c r="C95" s="7"/>
      <c r="D95" s="518"/>
      <c r="E95" s="518">
        <f t="shared" ref="E95:F95" si="21">E89/3.281</f>
        <v>537.0618714</v>
      </c>
      <c r="F95" s="518">
        <f t="shared" si="21"/>
        <v>488.3572082</v>
      </c>
      <c r="G95" s="518"/>
      <c r="H95" s="518">
        <f t="shared" ref="H95:I95" si="22">H89/3.281</f>
        <v>325.8153002</v>
      </c>
      <c r="I95" s="518">
        <f t="shared" si="22"/>
        <v>286.3456263</v>
      </c>
      <c r="J95" s="518"/>
      <c r="K95" s="518">
        <f t="shared" ref="K95:N95" si="23">K89/3.281</f>
        <v>604.7241695</v>
      </c>
      <c r="L95" s="518">
        <f t="shared" si="23"/>
        <v>550.533374</v>
      </c>
      <c r="M95" s="518">
        <f t="shared" si="23"/>
        <v>348.217007</v>
      </c>
      <c r="N95" s="519">
        <f t="shared" si="23"/>
        <v>309.1740323</v>
      </c>
      <c r="O95" s="384"/>
      <c r="P95" s="434"/>
      <c r="R95" s="13"/>
      <c r="S95" s="387"/>
      <c r="T95" s="384"/>
      <c r="U95" s="384"/>
      <c r="V95" s="384"/>
      <c r="W95" s="384"/>
      <c r="X95" s="384"/>
      <c r="Y95" s="384"/>
      <c r="Z95" s="384"/>
      <c r="AA95" s="384"/>
      <c r="AB95" s="384"/>
    </row>
    <row r="96">
      <c r="A96" s="509"/>
      <c r="B96" s="384"/>
      <c r="C96" s="384"/>
      <c r="D96" s="384"/>
      <c r="E96" s="384"/>
      <c r="F96" s="384"/>
      <c r="G96" s="384"/>
      <c r="H96" s="384"/>
      <c r="I96" s="384"/>
      <c r="J96" s="384"/>
      <c r="K96" s="384"/>
      <c r="L96" s="384"/>
      <c r="M96" s="384"/>
      <c r="N96" s="384"/>
      <c r="O96" s="515"/>
      <c r="P96" s="499" t="s">
        <v>205</v>
      </c>
      <c r="R96" s="13"/>
      <c r="S96" s="530"/>
      <c r="T96" s="515"/>
      <c r="U96" s="515"/>
      <c r="V96" s="515"/>
      <c r="W96" s="515"/>
      <c r="X96" s="515"/>
      <c r="Y96" s="515"/>
      <c r="Z96" s="515"/>
      <c r="AA96" s="515"/>
      <c r="AB96" s="515"/>
    </row>
    <row r="97">
      <c r="A97" s="385"/>
      <c r="B97" s="384"/>
      <c r="C97" s="384"/>
      <c r="D97" s="384"/>
      <c r="E97" s="384"/>
      <c r="F97" s="384"/>
      <c r="G97" s="384"/>
      <c r="H97" s="384"/>
      <c r="I97" s="384"/>
      <c r="J97" s="384"/>
      <c r="K97" s="384"/>
      <c r="L97" s="384"/>
      <c r="M97" s="384"/>
      <c r="N97" s="384"/>
      <c r="O97" s="384"/>
      <c r="P97" s="434"/>
      <c r="R97" s="13"/>
      <c r="S97" s="387"/>
      <c r="T97" s="384"/>
      <c r="U97" s="384"/>
      <c r="V97" s="384"/>
      <c r="W97" s="384"/>
      <c r="X97" s="384"/>
      <c r="Y97" s="384"/>
      <c r="Z97" s="384"/>
      <c r="AA97" s="384"/>
      <c r="AB97" s="384"/>
    </row>
    <row r="98">
      <c r="A98" s="385"/>
      <c r="B98" s="533" t="s">
        <v>206</v>
      </c>
      <c r="C98" s="150"/>
      <c r="D98" s="150"/>
      <c r="E98" s="150"/>
      <c r="F98" s="150"/>
      <c r="G98" s="150"/>
      <c r="H98" s="150"/>
      <c r="I98" s="150"/>
      <c r="J98" s="150"/>
      <c r="K98" s="150"/>
      <c r="L98" s="150"/>
      <c r="M98" s="150"/>
      <c r="N98" s="151"/>
      <c r="O98" s="384"/>
      <c r="P98" s="434"/>
      <c r="R98" s="13"/>
      <c r="S98" s="387"/>
      <c r="T98" s="384"/>
      <c r="U98" s="384"/>
      <c r="V98" s="384"/>
      <c r="W98" s="384"/>
      <c r="X98" s="384"/>
      <c r="Y98" s="384"/>
      <c r="Z98" s="384"/>
      <c r="AA98" s="384"/>
      <c r="AB98" s="384"/>
    </row>
    <row r="99">
      <c r="A99" s="385"/>
      <c r="B99" s="498" t="s">
        <v>29</v>
      </c>
      <c r="D99" s="394"/>
      <c r="E99" s="394" t="s">
        <v>140</v>
      </c>
      <c r="G99" s="394"/>
      <c r="H99" s="394" t="s">
        <v>142</v>
      </c>
      <c r="J99" s="394"/>
      <c r="K99" s="394" t="s">
        <v>141</v>
      </c>
      <c r="M99" s="394" t="s">
        <v>143</v>
      </c>
      <c r="N99" s="13"/>
      <c r="O99" s="384"/>
      <c r="P99" s="434"/>
      <c r="R99" s="13"/>
      <c r="S99" s="387"/>
      <c r="T99" s="384"/>
      <c r="U99" s="384"/>
      <c r="V99" s="384"/>
      <c r="W99" s="534"/>
      <c r="X99" s="384"/>
      <c r="Y99" s="384"/>
      <c r="Z99" s="384"/>
      <c r="AA99" s="384"/>
      <c r="AB99" s="384"/>
    </row>
    <row r="100">
      <c r="A100" s="385"/>
      <c r="B100" s="434"/>
      <c r="D100" s="394"/>
      <c r="E100" s="394" t="s">
        <v>130</v>
      </c>
      <c r="F100" s="500" t="s">
        <v>139</v>
      </c>
      <c r="G100" s="394"/>
      <c r="H100" s="394" t="s">
        <v>130</v>
      </c>
      <c r="I100" s="500" t="s">
        <v>139</v>
      </c>
      <c r="J100" s="394"/>
      <c r="K100" s="394" t="s">
        <v>130</v>
      </c>
      <c r="L100" s="500" t="s">
        <v>139</v>
      </c>
      <c r="M100" s="394" t="s">
        <v>130</v>
      </c>
      <c r="N100" s="501" t="s">
        <v>139</v>
      </c>
      <c r="O100" s="384"/>
      <c r="P100" s="434"/>
      <c r="R100" s="13"/>
      <c r="S100" s="387"/>
      <c r="T100" s="384"/>
      <c r="U100" s="384"/>
      <c r="V100" s="384"/>
      <c r="W100" s="384"/>
      <c r="X100" s="384"/>
      <c r="Y100" s="384"/>
      <c r="Z100" s="384"/>
      <c r="AA100" s="384"/>
      <c r="AB100" s="384"/>
    </row>
    <row r="101">
      <c r="A101" s="385"/>
      <c r="B101" s="535" t="s">
        <v>82</v>
      </c>
      <c r="D101" s="536"/>
      <c r="E101" s="536">
        <f t="shared" ref="E101:F101" si="24">-(E78-E94)/E78</f>
        <v>-0.1305033918</v>
      </c>
      <c r="F101" s="536">
        <f t="shared" si="24"/>
        <v>-0.0791644265</v>
      </c>
      <c r="G101" s="536"/>
      <c r="H101" s="536">
        <f t="shared" ref="H101:I101" si="25">-(H78-H94)/H78</f>
        <v>0.01490648481</v>
      </c>
      <c r="I101" s="536">
        <f t="shared" si="25"/>
        <v>0.07904831752</v>
      </c>
      <c r="J101" s="536"/>
      <c r="K101" s="536">
        <f t="shared" ref="K101:N101" si="26">-(K78-K94)/K78</f>
        <v>-0.08066162562</v>
      </c>
      <c r="L101" s="536">
        <f t="shared" si="26"/>
        <v>-0.1110540322</v>
      </c>
      <c r="M101" s="536">
        <f t="shared" si="26"/>
        <v>0.01238450292</v>
      </c>
      <c r="N101" s="537">
        <f t="shared" si="26"/>
        <v>0.02433410852</v>
      </c>
      <c r="O101" s="384"/>
      <c r="P101" s="434"/>
      <c r="R101" s="13"/>
      <c r="S101" s="387"/>
      <c r="T101" s="384"/>
      <c r="U101" s="384"/>
      <c r="V101" s="384"/>
      <c r="W101" s="384"/>
      <c r="X101" s="384"/>
      <c r="Y101" s="384"/>
      <c r="Z101" s="384"/>
      <c r="AA101" s="384"/>
      <c r="AB101" s="384"/>
    </row>
    <row r="102">
      <c r="A102" s="385"/>
      <c r="B102" s="538" t="s">
        <v>207</v>
      </c>
      <c r="D102" s="536"/>
      <c r="E102" s="536">
        <f t="shared" ref="E102:F102" si="27">-(E82-E91)/E82</f>
        <v>-0.004744958482</v>
      </c>
      <c r="F102" s="536">
        <f t="shared" si="27"/>
        <v>0.003110522833</v>
      </c>
      <c r="G102" s="536"/>
      <c r="H102" s="536">
        <f t="shared" ref="H102:I102" si="28">-(H82-H91)/H82</f>
        <v>0.02944915254</v>
      </c>
      <c r="I102" s="536">
        <f t="shared" si="28"/>
        <v>0.02822677925</v>
      </c>
      <c r="J102" s="536"/>
      <c r="K102" s="536">
        <f t="shared" ref="K102:N102" si="29">-(K82-K91)/K82</f>
        <v>-0.021567596</v>
      </c>
      <c r="L102" s="536">
        <f t="shared" si="29"/>
        <v>-0.01518691589</v>
      </c>
      <c r="M102" s="536">
        <f t="shared" si="29"/>
        <v>0.01283055828</v>
      </c>
      <c r="N102" s="537">
        <f t="shared" si="29"/>
        <v>0.01786903441</v>
      </c>
      <c r="O102" s="384"/>
      <c r="P102" s="539"/>
      <c r="R102" s="13"/>
      <c r="S102" s="387"/>
      <c r="T102" s="384"/>
      <c r="U102" s="384"/>
      <c r="V102" s="384"/>
      <c r="W102" s="384"/>
      <c r="X102" s="384"/>
      <c r="Y102" s="384"/>
      <c r="Z102" s="384"/>
      <c r="AA102" s="384"/>
      <c r="AB102" s="384"/>
    </row>
    <row r="103">
      <c r="A103" s="385"/>
      <c r="B103" s="538" t="s">
        <v>208</v>
      </c>
      <c r="D103" s="536"/>
      <c r="E103" s="536">
        <f t="shared" ref="E103:F103" si="30">-(E81-E90)/E81</f>
        <v>-0.07381370826</v>
      </c>
      <c r="F103" s="536">
        <f t="shared" si="30"/>
        <v>0.1693363844</v>
      </c>
      <c r="G103" s="536"/>
      <c r="H103" s="536">
        <f t="shared" ref="H103:I103" si="31">-(H81-H90)/H81</f>
        <v>0.009230769231</v>
      </c>
      <c r="I103" s="536">
        <f t="shared" si="31"/>
        <v>0.006430868167</v>
      </c>
      <c r="J103" s="536"/>
      <c r="K103" s="536">
        <f t="shared" ref="K103:N103" si="32">-(K81-K90)/K81</f>
        <v>0.187804878</v>
      </c>
      <c r="L103" s="536">
        <f t="shared" si="32"/>
        <v>-0.06102362205</v>
      </c>
      <c r="M103" s="536">
        <f t="shared" si="32"/>
        <v>0.00974025974</v>
      </c>
      <c r="N103" s="537">
        <f t="shared" si="32"/>
        <v>0.01689189189</v>
      </c>
      <c r="O103" s="384"/>
      <c r="P103" s="539"/>
      <c r="R103" s="13"/>
      <c r="S103" s="387"/>
      <c r="T103" s="384"/>
      <c r="U103" s="384"/>
      <c r="V103" s="384"/>
      <c r="W103" s="384"/>
      <c r="X103" s="384"/>
      <c r="Y103" s="384"/>
      <c r="Z103" s="384"/>
      <c r="AA103" s="384"/>
      <c r="AB103" s="384"/>
    </row>
    <row r="104">
      <c r="A104" s="385"/>
      <c r="B104" s="540" t="s">
        <v>209</v>
      </c>
      <c r="C104" s="7"/>
      <c r="D104" s="541"/>
      <c r="E104" s="541">
        <f t="shared" ref="E104:F104" si="33">-(E77-E93)/E77</f>
        <v>0.03132088925</v>
      </c>
      <c r="F104" s="541">
        <f t="shared" si="33"/>
        <v>0.03268372268</v>
      </c>
      <c r="G104" s="541"/>
      <c r="H104" s="541">
        <f t="shared" ref="H104:I104" si="34">-(H77-H93)/H77</f>
        <v>0.0008750282664</v>
      </c>
      <c r="I104" s="541">
        <f t="shared" si="34"/>
        <v>-0.002329655171</v>
      </c>
      <c r="J104" s="541"/>
      <c r="K104" s="541">
        <f t="shared" ref="K104:N104" si="35">-(K77-K93)/K77</f>
        <v>0.008135418376</v>
      </c>
      <c r="L104" s="541">
        <f t="shared" si="35"/>
        <v>0.02393069683</v>
      </c>
      <c r="M104" s="541">
        <f t="shared" si="35"/>
        <v>0.003541866852</v>
      </c>
      <c r="N104" s="542">
        <f t="shared" si="35"/>
        <v>0.007757273058</v>
      </c>
      <c r="O104" s="384"/>
      <c r="P104" s="543"/>
      <c r="Q104" s="7"/>
      <c r="R104" s="8"/>
      <c r="S104" s="486"/>
      <c r="AA104" s="384"/>
      <c r="AB104" s="384"/>
    </row>
    <row r="105">
      <c r="A105" s="385"/>
      <c r="O105" s="384"/>
      <c r="R105" s="384"/>
      <c r="S105" s="486"/>
      <c r="AA105" s="384"/>
      <c r="AB105" s="384"/>
    </row>
    <row r="106">
      <c r="A106" s="444"/>
      <c r="B106" s="494"/>
      <c r="C106" s="494"/>
      <c r="D106" s="494"/>
      <c r="E106" s="494"/>
      <c r="F106" s="494"/>
      <c r="G106" s="494"/>
      <c r="H106" s="494"/>
      <c r="I106" s="494"/>
      <c r="J106" s="494"/>
      <c r="K106" s="494"/>
      <c r="L106" s="494"/>
      <c r="M106" s="494"/>
      <c r="N106" s="494"/>
      <c r="O106" s="480"/>
      <c r="P106" s="494"/>
      <c r="Q106" s="494"/>
      <c r="R106" s="480"/>
      <c r="S106" s="495"/>
      <c r="AA106" s="384"/>
      <c r="AB106" s="384"/>
    </row>
    <row r="107">
      <c r="A107" s="384"/>
      <c r="B107" s="384"/>
      <c r="C107" s="384"/>
      <c r="D107" s="384"/>
      <c r="E107" s="384"/>
      <c r="F107" s="384"/>
      <c r="G107" s="384"/>
      <c r="H107" s="384"/>
      <c r="I107" s="384"/>
      <c r="J107" s="384"/>
      <c r="K107" s="384"/>
      <c r="L107" s="384"/>
      <c r="M107" s="384"/>
      <c r="N107" s="384"/>
      <c r="O107" s="384"/>
      <c r="R107" s="384"/>
      <c r="AA107" s="384"/>
      <c r="AB107" s="384"/>
    </row>
    <row r="108">
      <c r="A108" s="384"/>
      <c r="B108" s="384"/>
      <c r="C108" s="384"/>
      <c r="D108" s="384"/>
      <c r="E108" s="384"/>
      <c r="F108" s="384"/>
      <c r="G108" s="384"/>
      <c r="H108" s="384"/>
      <c r="I108" s="384"/>
      <c r="J108" s="384"/>
      <c r="K108" s="384"/>
      <c r="L108" s="384"/>
      <c r="M108" s="384"/>
      <c r="N108" s="384"/>
      <c r="O108" s="384"/>
      <c r="P108" s="384"/>
      <c r="Q108" s="384"/>
      <c r="R108" s="384"/>
      <c r="AA108" s="384"/>
      <c r="AB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c r="Z109" s="384"/>
      <c r="AA109" s="384"/>
      <c r="AB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c r="Z110" s="384"/>
      <c r="AA110" s="384"/>
      <c r="AB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c r="Z111" s="384"/>
      <c r="AA111" s="384"/>
      <c r="AB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c r="Z112" s="384"/>
      <c r="AA112" s="384"/>
      <c r="AB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c r="Z113" s="384"/>
      <c r="AA113" s="384"/>
      <c r="AB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c r="AA114" s="384"/>
      <c r="AB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c r="Z115" s="384"/>
      <c r="AA115" s="384"/>
      <c r="AB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c r="Z116" s="384"/>
      <c r="AA116" s="384"/>
      <c r="AB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c r="Z117" s="384"/>
      <c r="AA117" s="384"/>
      <c r="AB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c r="Z118" s="384"/>
      <c r="AA118" s="384"/>
      <c r="AB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c r="Z119" s="384"/>
      <c r="AA119" s="384"/>
      <c r="AB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c r="Z120" s="384"/>
      <c r="AA120" s="384"/>
      <c r="AB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c r="Z121" s="384"/>
      <c r="AA121" s="384"/>
      <c r="AB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c r="Z122" s="384"/>
      <c r="AA122" s="384"/>
      <c r="AB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c r="Z123" s="384"/>
      <c r="AA123" s="384"/>
      <c r="AB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c r="Z124" s="384"/>
      <c r="AA124" s="384"/>
      <c r="AB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c r="Z125" s="384"/>
      <c r="AA125" s="384"/>
      <c r="AB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c r="Z126" s="384"/>
      <c r="AA126" s="384"/>
      <c r="AB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c r="Z127" s="384"/>
      <c r="AA127" s="384"/>
      <c r="AB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c r="Z128" s="384"/>
      <c r="AA128" s="384"/>
      <c r="AB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c r="Z129" s="384"/>
      <c r="AA129" s="384"/>
      <c r="AB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c r="Z130" s="384"/>
      <c r="AA130" s="384"/>
      <c r="AB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c r="Z131" s="384"/>
      <c r="AA131" s="384"/>
      <c r="AB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c r="Z132" s="384"/>
      <c r="AA132" s="384"/>
      <c r="AB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c r="Z133" s="384"/>
      <c r="AA133" s="384"/>
      <c r="AB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c r="Z134" s="384"/>
      <c r="AA134" s="384"/>
      <c r="AB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c r="Z135" s="384"/>
      <c r="AA135" s="384"/>
      <c r="AB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c r="Z136" s="384"/>
      <c r="AA136" s="384"/>
      <c r="AB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c r="Z137" s="384"/>
      <c r="AA137" s="384"/>
      <c r="AB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c r="Z138" s="384"/>
      <c r="AA138" s="384"/>
      <c r="AB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c r="Z139" s="384"/>
      <c r="AA139" s="384"/>
      <c r="AB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c r="Z140" s="384"/>
      <c r="AA140" s="384"/>
      <c r="AB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c r="Z141" s="384"/>
      <c r="AA141" s="384"/>
      <c r="AB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c r="Z142" s="384"/>
      <c r="AA142" s="384"/>
      <c r="AB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c r="Z143" s="384"/>
      <c r="AA143" s="384"/>
      <c r="AB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c r="Z144" s="384"/>
      <c r="AA144" s="384"/>
      <c r="AB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c r="Z145" s="384"/>
      <c r="AA145" s="384"/>
      <c r="AB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c r="Z146" s="384"/>
      <c r="AA146" s="384"/>
      <c r="AB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c r="Z147" s="384"/>
      <c r="AA147" s="384"/>
      <c r="AB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c r="Z148" s="384"/>
      <c r="AA148" s="384"/>
      <c r="AB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c r="Z149" s="384"/>
      <c r="AA149" s="384"/>
      <c r="AB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c r="Z150" s="384"/>
      <c r="AA150" s="384"/>
      <c r="AB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c r="Z151" s="384"/>
      <c r="AA151" s="384"/>
      <c r="AB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c r="Z152" s="384"/>
      <c r="AA152" s="384"/>
      <c r="AB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c r="Z153" s="384"/>
      <c r="AA153" s="384"/>
      <c r="AB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c r="Z154" s="384"/>
      <c r="AA154" s="384"/>
      <c r="AB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c r="Z155" s="384"/>
      <c r="AA155" s="384"/>
      <c r="AB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c r="Z156" s="384"/>
      <c r="AA156" s="384"/>
      <c r="AB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c r="Z157" s="384"/>
      <c r="AA157" s="384"/>
      <c r="AB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c r="Z158" s="384"/>
      <c r="AA158" s="384"/>
      <c r="AB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c r="Z159" s="384"/>
      <c r="AA159" s="384"/>
      <c r="AB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c r="Z160" s="384"/>
      <c r="AA160" s="384"/>
      <c r="AB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c r="Z161" s="384"/>
      <c r="AA161" s="384"/>
      <c r="AB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c r="Z162" s="384"/>
      <c r="AA162" s="384"/>
      <c r="AB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c r="Z163" s="384"/>
      <c r="AA163" s="384"/>
      <c r="AB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c r="Z164" s="384"/>
      <c r="AA164" s="384"/>
      <c r="AB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c r="Z165" s="384"/>
      <c r="AA165" s="384"/>
      <c r="AB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c r="Z166" s="384"/>
      <c r="AA166" s="384"/>
      <c r="AB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c r="Z167" s="384"/>
      <c r="AA167" s="384"/>
      <c r="AB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c r="Z168" s="384"/>
      <c r="AA168" s="384"/>
      <c r="AB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c r="Z169" s="384"/>
      <c r="AA169" s="384"/>
      <c r="AB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c r="Z170" s="384"/>
      <c r="AA170" s="384"/>
      <c r="AB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c r="Z171" s="384"/>
      <c r="AA171" s="384"/>
      <c r="AB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c r="Z172" s="384"/>
      <c r="AA172" s="384"/>
      <c r="AB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c r="Z173" s="384"/>
      <c r="AA173" s="384"/>
      <c r="AB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c r="Z174" s="384"/>
      <c r="AA174" s="384"/>
      <c r="AB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c r="Z175" s="384"/>
      <c r="AA175" s="384"/>
      <c r="AB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c r="Z176" s="384"/>
      <c r="AA176" s="384"/>
      <c r="AB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c r="Z177" s="384"/>
      <c r="AA177" s="384"/>
      <c r="AB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c r="Z178" s="384"/>
      <c r="AA178" s="384"/>
      <c r="AB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c r="Z179" s="384"/>
      <c r="AA179" s="384"/>
      <c r="AB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c r="Z180" s="384"/>
      <c r="AA180" s="384"/>
      <c r="AB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c r="Z181" s="384"/>
      <c r="AA181" s="384"/>
      <c r="AB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c r="Z182" s="384"/>
      <c r="AA182" s="384"/>
      <c r="AB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c r="Z183" s="384"/>
      <c r="AA183" s="384"/>
      <c r="AB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c r="Z184" s="384"/>
      <c r="AA184" s="384"/>
      <c r="AB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c r="Z185" s="384"/>
      <c r="AA185" s="384"/>
      <c r="AB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c r="Z186" s="384"/>
      <c r="AA186" s="384"/>
      <c r="AB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c r="Z187" s="384"/>
      <c r="AA187" s="384"/>
      <c r="AB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c r="Z188" s="384"/>
      <c r="AA188" s="384"/>
      <c r="AB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c r="Z189" s="384"/>
      <c r="AA189" s="384"/>
      <c r="AB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c r="Z190" s="384"/>
      <c r="AA190" s="384"/>
      <c r="AB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c r="Z191" s="384"/>
      <c r="AA191" s="384"/>
      <c r="AB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c r="Z192" s="384"/>
      <c r="AA192" s="384"/>
      <c r="AB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c r="Z193" s="384"/>
      <c r="AA193" s="384"/>
      <c r="AB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c r="Z194" s="384"/>
      <c r="AA194" s="384"/>
      <c r="AB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c r="Z195" s="384"/>
      <c r="AA195" s="384"/>
      <c r="AB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c r="Z196" s="384"/>
      <c r="AA196" s="384"/>
      <c r="AB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c r="Z197" s="384"/>
      <c r="AA197" s="384"/>
      <c r="AB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c r="Z198" s="384"/>
      <c r="AA198" s="384"/>
      <c r="AB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c r="Z199" s="384"/>
      <c r="AA199" s="384"/>
      <c r="AB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c r="Z200" s="384"/>
      <c r="AA200" s="384"/>
      <c r="AB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c r="Z201" s="384"/>
      <c r="AA201" s="384"/>
      <c r="AB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c r="Z202" s="384"/>
      <c r="AA202" s="384"/>
      <c r="AB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c r="Z203" s="384"/>
      <c r="AA203" s="384"/>
      <c r="AB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c r="Z204" s="384"/>
      <c r="AA204" s="384"/>
      <c r="AB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c r="Z205" s="384"/>
      <c r="AA205" s="384"/>
      <c r="AB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c r="Z206" s="384"/>
      <c r="AA206" s="384"/>
      <c r="AB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c r="Z207" s="384"/>
      <c r="AA207" s="384"/>
      <c r="AB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c r="Z208" s="384"/>
      <c r="AA208" s="384"/>
      <c r="AB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c r="Z209" s="384"/>
      <c r="AA209" s="384"/>
      <c r="AB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c r="Z210" s="384"/>
      <c r="AA210" s="384"/>
      <c r="AB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c r="Z211" s="384"/>
      <c r="AA211" s="384"/>
      <c r="AB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c r="Z212" s="384"/>
      <c r="AA212" s="384"/>
      <c r="AB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c r="Z213" s="384"/>
      <c r="AA213" s="384"/>
      <c r="AB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c r="Z214" s="384"/>
      <c r="AA214" s="384"/>
      <c r="AB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c r="Z215" s="384"/>
      <c r="AA215" s="384"/>
      <c r="AB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c r="Z216" s="384"/>
      <c r="AA216" s="384"/>
      <c r="AB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c r="Z217" s="384"/>
      <c r="AA217" s="384"/>
      <c r="AB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c r="Z218" s="384"/>
      <c r="AA218" s="384"/>
      <c r="AB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c r="Z219" s="384"/>
      <c r="AA219" s="384"/>
      <c r="AB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c r="Z220" s="384"/>
      <c r="AA220" s="384"/>
      <c r="AB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c r="Z221" s="384"/>
      <c r="AA221" s="384"/>
      <c r="AB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c r="Z222" s="384"/>
      <c r="AA222" s="384"/>
      <c r="AB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c r="Z223" s="384"/>
      <c r="AA223" s="384"/>
      <c r="AB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c r="Z224" s="384"/>
      <c r="AA224" s="384"/>
      <c r="AB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c r="Z225" s="384"/>
      <c r="AA225" s="384"/>
      <c r="AB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c r="Z226" s="384"/>
      <c r="AA226" s="384"/>
      <c r="AB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c r="Z227" s="384"/>
      <c r="AA227" s="384"/>
      <c r="AB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c r="Z228" s="384"/>
      <c r="AA228" s="384"/>
      <c r="AB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c r="Z229" s="384"/>
      <c r="AA229" s="384"/>
      <c r="AB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c r="Z230" s="384"/>
      <c r="AA230" s="384"/>
      <c r="AB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c r="Z231" s="384"/>
      <c r="AA231" s="384"/>
      <c r="AB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c r="Z232" s="384"/>
      <c r="AA232" s="384"/>
      <c r="AB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c r="Z233" s="384"/>
      <c r="AA233" s="384"/>
      <c r="AB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c r="Z234" s="384"/>
      <c r="AA234" s="384"/>
      <c r="AB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c r="Z235" s="384"/>
      <c r="AA235" s="384"/>
      <c r="AB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c r="Z236" s="384"/>
      <c r="AA236" s="384"/>
      <c r="AB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c r="Z237" s="384"/>
      <c r="AA237" s="384"/>
      <c r="AB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c r="Z238" s="384"/>
      <c r="AA238" s="384"/>
      <c r="AB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c r="Z239" s="384"/>
      <c r="AA239" s="384"/>
      <c r="AB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c r="Z240" s="384"/>
      <c r="AA240" s="384"/>
      <c r="AB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c r="Z241" s="384"/>
      <c r="AA241" s="384"/>
      <c r="AB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c r="Z242" s="384"/>
      <c r="AA242" s="384"/>
      <c r="AB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c r="Z243" s="384"/>
      <c r="AA243" s="384"/>
      <c r="AB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c r="Z244" s="384"/>
      <c r="AA244" s="384"/>
      <c r="AB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c r="Z245" s="384"/>
      <c r="AA245" s="384"/>
      <c r="AB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c r="Z246" s="384"/>
      <c r="AA246" s="384"/>
      <c r="AB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c r="Z247" s="384"/>
      <c r="AA247" s="384"/>
      <c r="AB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c r="Z248" s="384"/>
      <c r="AA248" s="384"/>
      <c r="AB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c r="Z249" s="384"/>
      <c r="AA249" s="384"/>
      <c r="AB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c r="Z250" s="384"/>
      <c r="AA250" s="384"/>
      <c r="AB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c r="Z251" s="384"/>
      <c r="AA251" s="384"/>
      <c r="AB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c r="Z252" s="384"/>
      <c r="AA252" s="384"/>
      <c r="AB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c r="Z253" s="384"/>
      <c r="AA253" s="384"/>
      <c r="AB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c r="Z254" s="384"/>
      <c r="AA254" s="384"/>
      <c r="AB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c r="Z255" s="384"/>
      <c r="AA255" s="384"/>
      <c r="AB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c r="Z256" s="384"/>
      <c r="AA256" s="384"/>
      <c r="AB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c r="Z257" s="384"/>
      <c r="AA257" s="384"/>
      <c r="AB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c r="Z258" s="384"/>
      <c r="AA258" s="384"/>
      <c r="AB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c r="Z259" s="384"/>
      <c r="AA259" s="384"/>
      <c r="AB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c r="Z260" s="384"/>
      <c r="AA260" s="384"/>
      <c r="AB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c r="Z261" s="384"/>
      <c r="AA261" s="384"/>
      <c r="AB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c r="Z262" s="384"/>
      <c r="AA262" s="384"/>
      <c r="AB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c r="Z263" s="384"/>
      <c r="AA263" s="384"/>
      <c r="AB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c r="Z264" s="384"/>
      <c r="AA264" s="384"/>
      <c r="AB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c r="Z265" s="384"/>
      <c r="AA265" s="384"/>
      <c r="AB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c r="Z266" s="384"/>
      <c r="AA266" s="384"/>
      <c r="AB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c r="Z267" s="384"/>
      <c r="AA267" s="384"/>
      <c r="AB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c r="Z268" s="384"/>
      <c r="AA268" s="384"/>
      <c r="AB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c r="Z269" s="384"/>
      <c r="AA269" s="384"/>
      <c r="AB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c r="Z270" s="384"/>
      <c r="AA270" s="384"/>
      <c r="AB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c r="Z271" s="384"/>
      <c r="AA271" s="384"/>
      <c r="AB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c r="Z272" s="384"/>
      <c r="AA272" s="384"/>
      <c r="AB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c r="Z273" s="384"/>
      <c r="AA273" s="384"/>
      <c r="AB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c r="Z274" s="384"/>
      <c r="AA274" s="384"/>
      <c r="AB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c r="Z275" s="384"/>
      <c r="AA275" s="384"/>
      <c r="AB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c r="Z276" s="384"/>
      <c r="AA276" s="384"/>
      <c r="AB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c r="Z277" s="384"/>
      <c r="AA277" s="384"/>
      <c r="AB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c r="Z278" s="384"/>
      <c r="AA278" s="384"/>
      <c r="AB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c r="Z279" s="384"/>
      <c r="AA279" s="384"/>
      <c r="AB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c r="Z280" s="384"/>
      <c r="AA280" s="384"/>
      <c r="AB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c r="Z281" s="384"/>
      <c r="AA281" s="384"/>
      <c r="AB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c r="Z282" s="384"/>
      <c r="AA282" s="384"/>
      <c r="AB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c r="Z283" s="384"/>
      <c r="AA283" s="384"/>
      <c r="AB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c r="Z284" s="384"/>
      <c r="AA284" s="384"/>
      <c r="AB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c r="Z285" s="384"/>
      <c r="AA285" s="384"/>
      <c r="AB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c r="Z286" s="384"/>
      <c r="AA286" s="384"/>
      <c r="AB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c r="Z287" s="384"/>
      <c r="AA287" s="384"/>
      <c r="AB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c r="Z288" s="384"/>
      <c r="AA288" s="384"/>
      <c r="AB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c r="Z289" s="384"/>
      <c r="AA289" s="384"/>
      <c r="AB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c r="Z290" s="384"/>
      <c r="AA290" s="384"/>
      <c r="AB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c r="Z291" s="384"/>
      <c r="AA291" s="384"/>
      <c r="AB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c r="Z292" s="384"/>
      <c r="AA292" s="384"/>
      <c r="AB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c r="Z293" s="384"/>
      <c r="AA293" s="384"/>
      <c r="AB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c r="Z294" s="384"/>
      <c r="AA294" s="384"/>
      <c r="AB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c r="Z295" s="384"/>
      <c r="AA295" s="384"/>
      <c r="AB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c r="Z296" s="384"/>
      <c r="AA296" s="384"/>
      <c r="AB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c r="Z297" s="384"/>
      <c r="AA297" s="384"/>
      <c r="AB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c r="Z298" s="384"/>
      <c r="AA298" s="384"/>
      <c r="AB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c r="Z299" s="384"/>
      <c r="AA299" s="384"/>
      <c r="AB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c r="Z300" s="384"/>
      <c r="AA300" s="384"/>
      <c r="AB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c r="Z301" s="384"/>
      <c r="AA301" s="384"/>
      <c r="AB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c r="Z302" s="384"/>
      <c r="AA302" s="384"/>
      <c r="AB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c r="Z303" s="384"/>
      <c r="AA303" s="384"/>
      <c r="AB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c r="Z304" s="384"/>
      <c r="AA304" s="384"/>
      <c r="AB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c r="Z305" s="384"/>
      <c r="AA305" s="384"/>
      <c r="AB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c r="Z306" s="384"/>
      <c r="AA306" s="384"/>
      <c r="AB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c r="Z307" s="384"/>
      <c r="AA307" s="384"/>
      <c r="AB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c r="Z308" s="384"/>
      <c r="AA308" s="384"/>
      <c r="AB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c r="Z309" s="384"/>
      <c r="AA309" s="384"/>
      <c r="AB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c r="Z310" s="384"/>
      <c r="AA310" s="384"/>
      <c r="AB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c r="Z311" s="384"/>
      <c r="AA311" s="384"/>
      <c r="AB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c r="Z312" s="384"/>
      <c r="AA312" s="384"/>
      <c r="AB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c r="Z313" s="384"/>
      <c r="AA313" s="384"/>
      <c r="AB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c r="Z314" s="384"/>
      <c r="AA314" s="384"/>
      <c r="AB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c r="Z315" s="384"/>
      <c r="AA315" s="384"/>
      <c r="AB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c r="Z316" s="384"/>
      <c r="AA316" s="384"/>
      <c r="AB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c r="Z317" s="384"/>
      <c r="AA317" s="384"/>
      <c r="AB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c r="Z318" s="384"/>
      <c r="AA318" s="384"/>
      <c r="AB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c r="Z319" s="384"/>
      <c r="AA319" s="384"/>
      <c r="AB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c r="Z320" s="384"/>
      <c r="AA320" s="384"/>
      <c r="AB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c r="Z321" s="384"/>
      <c r="AA321" s="384"/>
      <c r="AB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c r="Z322" s="384"/>
      <c r="AA322" s="384"/>
      <c r="AB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c r="Z323" s="384"/>
      <c r="AA323" s="384"/>
      <c r="AB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c r="Z324" s="384"/>
      <c r="AA324" s="384"/>
      <c r="AB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c r="Z325" s="384"/>
      <c r="AA325" s="384"/>
      <c r="AB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c r="Z326" s="384"/>
      <c r="AA326" s="384"/>
      <c r="AB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c r="Z327" s="384"/>
      <c r="AA327" s="384"/>
      <c r="AB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c r="Z328" s="384"/>
      <c r="AA328" s="384"/>
      <c r="AB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c r="Z329" s="384"/>
      <c r="AA329" s="384"/>
      <c r="AB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c r="Z330" s="384"/>
      <c r="AA330" s="384"/>
      <c r="AB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c r="Z331" s="384"/>
      <c r="AA331" s="384"/>
      <c r="AB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c r="Z332" s="384"/>
      <c r="AA332" s="384"/>
      <c r="AB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c r="Z333" s="384"/>
      <c r="AA333" s="384"/>
      <c r="AB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c r="Z334" s="384"/>
      <c r="AA334" s="384"/>
      <c r="AB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c r="Z335" s="384"/>
      <c r="AA335" s="384"/>
      <c r="AB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c r="Z336" s="384"/>
      <c r="AA336" s="384"/>
      <c r="AB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c r="Z337" s="384"/>
      <c r="AA337" s="384"/>
      <c r="AB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c r="Z338" s="384"/>
      <c r="AA338" s="384"/>
      <c r="AB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c r="Z339" s="384"/>
      <c r="AA339" s="384"/>
      <c r="AB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c r="Z340" s="384"/>
      <c r="AA340" s="384"/>
      <c r="AB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c r="Z341" s="384"/>
      <c r="AA341" s="384"/>
      <c r="AB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c r="Z342" s="384"/>
      <c r="AA342" s="384"/>
      <c r="AB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c r="Z343" s="384"/>
      <c r="AA343" s="384"/>
      <c r="AB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c r="Z344" s="384"/>
      <c r="AA344" s="384"/>
      <c r="AB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c r="Z345" s="384"/>
      <c r="AA345" s="384"/>
      <c r="AB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c r="Z346" s="384"/>
      <c r="AA346" s="384"/>
      <c r="AB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c r="Z347" s="384"/>
      <c r="AA347" s="384"/>
      <c r="AB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c r="Z348" s="384"/>
      <c r="AA348" s="384"/>
      <c r="AB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c r="Z349" s="384"/>
      <c r="AA349" s="384"/>
      <c r="AB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c r="Z350" s="384"/>
      <c r="AA350" s="384"/>
      <c r="AB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c r="Z351" s="384"/>
      <c r="AA351" s="384"/>
      <c r="AB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c r="Z352" s="384"/>
      <c r="AA352" s="384"/>
      <c r="AB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c r="Z353" s="384"/>
      <c r="AA353" s="384"/>
      <c r="AB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c r="Z354" s="384"/>
      <c r="AA354" s="384"/>
      <c r="AB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c r="Z355" s="384"/>
      <c r="AA355" s="384"/>
      <c r="AB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c r="Z356" s="384"/>
      <c r="AA356" s="384"/>
      <c r="AB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c r="Z357" s="384"/>
      <c r="AA357" s="384"/>
      <c r="AB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c r="Z358" s="384"/>
      <c r="AA358" s="384"/>
      <c r="AB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c r="Z359" s="384"/>
      <c r="AA359" s="384"/>
      <c r="AB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c r="Z360" s="384"/>
      <c r="AA360" s="384"/>
      <c r="AB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c r="Z361" s="384"/>
      <c r="AA361" s="384"/>
      <c r="AB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c r="Z362" s="384"/>
      <c r="AA362" s="384"/>
      <c r="AB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c r="Z363" s="384"/>
      <c r="AA363" s="384"/>
      <c r="AB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c r="Z364" s="384"/>
      <c r="AA364" s="384"/>
      <c r="AB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c r="Z365" s="384"/>
      <c r="AA365" s="384"/>
      <c r="AB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c r="Z366" s="384"/>
      <c r="AA366" s="384"/>
      <c r="AB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c r="Z367" s="384"/>
      <c r="AA367" s="384"/>
      <c r="AB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c r="Z368" s="384"/>
      <c r="AA368" s="384"/>
      <c r="AB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c r="Z369" s="384"/>
      <c r="AA369" s="384"/>
      <c r="AB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c r="Z370" s="384"/>
      <c r="AA370" s="384"/>
      <c r="AB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c r="Z371" s="384"/>
      <c r="AA371" s="384"/>
      <c r="AB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c r="Z372" s="384"/>
      <c r="AA372" s="384"/>
      <c r="AB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c r="Z373" s="384"/>
      <c r="AA373" s="384"/>
      <c r="AB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c r="Z374" s="384"/>
      <c r="AA374" s="384"/>
      <c r="AB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c r="Z375" s="384"/>
      <c r="AA375" s="384"/>
      <c r="AB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c r="Z376" s="384"/>
      <c r="AA376" s="384"/>
      <c r="AB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c r="Z377" s="384"/>
      <c r="AA377" s="384"/>
      <c r="AB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c r="Z378" s="384"/>
      <c r="AA378" s="384"/>
      <c r="AB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c r="Z379" s="384"/>
      <c r="AA379" s="384"/>
      <c r="AB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c r="Z380" s="384"/>
      <c r="AA380" s="384"/>
      <c r="AB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c r="Z381" s="384"/>
      <c r="AA381" s="384"/>
      <c r="AB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c r="Z382" s="384"/>
      <c r="AA382" s="384"/>
      <c r="AB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c r="Z383" s="384"/>
      <c r="AA383" s="384"/>
      <c r="AB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c r="Z384" s="384"/>
      <c r="AA384" s="384"/>
      <c r="AB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c r="Z385" s="384"/>
      <c r="AA385" s="384"/>
      <c r="AB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c r="Z386" s="384"/>
      <c r="AA386" s="384"/>
      <c r="AB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c r="Z387" s="384"/>
      <c r="AA387" s="384"/>
      <c r="AB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c r="Z388" s="384"/>
      <c r="AA388" s="384"/>
      <c r="AB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c r="Z389" s="384"/>
      <c r="AA389" s="384"/>
      <c r="AB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c r="Z390" s="384"/>
      <c r="AA390" s="384"/>
      <c r="AB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c r="Z391" s="384"/>
      <c r="AA391" s="384"/>
      <c r="AB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c r="Z392" s="384"/>
      <c r="AA392" s="384"/>
      <c r="AB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c r="Z393" s="384"/>
      <c r="AA393" s="384"/>
      <c r="AB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c r="Z394" s="384"/>
      <c r="AA394" s="384"/>
      <c r="AB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c r="Z395" s="384"/>
      <c r="AA395" s="384"/>
      <c r="AB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c r="Z396" s="384"/>
      <c r="AA396" s="384"/>
      <c r="AB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c r="Z397" s="384"/>
      <c r="AA397" s="384"/>
      <c r="AB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c r="Z398" s="384"/>
      <c r="AA398" s="384"/>
      <c r="AB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c r="Z399" s="384"/>
      <c r="AA399" s="384"/>
      <c r="AB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c r="Z400" s="384"/>
      <c r="AA400" s="384"/>
      <c r="AB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c r="Z401" s="384"/>
      <c r="AA401" s="384"/>
      <c r="AB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c r="Z402" s="384"/>
      <c r="AA402" s="384"/>
      <c r="AB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c r="Z403" s="384"/>
      <c r="AA403" s="384"/>
      <c r="AB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c r="Z404" s="384"/>
      <c r="AA404" s="384"/>
      <c r="AB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c r="Z405" s="384"/>
      <c r="AA405" s="384"/>
      <c r="AB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c r="Z406" s="384"/>
      <c r="AA406" s="384"/>
      <c r="AB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c r="Z407" s="384"/>
      <c r="AA407" s="384"/>
      <c r="AB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c r="Z408" s="384"/>
      <c r="AA408" s="384"/>
      <c r="AB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c r="Z409" s="384"/>
      <c r="AA409" s="384"/>
      <c r="AB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c r="Z410" s="384"/>
      <c r="AA410" s="384"/>
      <c r="AB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c r="Z411" s="384"/>
      <c r="AA411" s="384"/>
      <c r="AB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c r="Z412" s="384"/>
      <c r="AA412" s="384"/>
      <c r="AB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c r="Z413" s="384"/>
      <c r="AA413" s="384"/>
      <c r="AB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c r="Z414" s="384"/>
      <c r="AA414" s="384"/>
      <c r="AB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c r="Z415" s="384"/>
      <c r="AA415" s="384"/>
      <c r="AB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c r="Z416" s="384"/>
      <c r="AA416" s="384"/>
      <c r="AB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c r="Z417" s="384"/>
      <c r="AA417" s="384"/>
      <c r="AB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c r="Z418" s="384"/>
      <c r="AA418" s="384"/>
      <c r="AB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c r="Z419" s="384"/>
      <c r="AA419" s="384"/>
      <c r="AB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c r="Z420" s="384"/>
      <c r="AA420" s="384"/>
      <c r="AB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c r="Z421" s="384"/>
      <c r="AA421" s="384"/>
      <c r="AB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c r="Z422" s="384"/>
      <c r="AA422" s="384"/>
      <c r="AB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c r="Z423" s="384"/>
      <c r="AA423" s="384"/>
      <c r="AB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c r="Z424" s="384"/>
      <c r="AA424" s="384"/>
      <c r="AB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c r="Z425" s="384"/>
      <c r="AA425" s="384"/>
      <c r="AB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c r="Z426" s="384"/>
      <c r="AA426" s="384"/>
      <c r="AB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c r="Z427" s="384"/>
      <c r="AA427" s="384"/>
      <c r="AB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c r="Z428" s="384"/>
      <c r="AA428" s="384"/>
      <c r="AB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c r="Z429" s="384"/>
      <c r="AA429" s="384"/>
      <c r="AB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c r="Z430" s="384"/>
      <c r="AA430" s="384"/>
      <c r="AB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c r="Z431" s="384"/>
      <c r="AA431" s="384"/>
      <c r="AB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c r="Z432" s="384"/>
      <c r="AA432" s="384"/>
      <c r="AB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c r="Z433" s="384"/>
      <c r="AA433" s="384"/>
      <c r="AB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c r="Z434" s="384"/>
      <c r="AA434" s="384"/>
      <c r="AB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c r="Z435" s="384"/>
      <c r="AA435" s="384"/>
      <c r="AB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c r="Z436" s="384"/>
      <c r="AA436" s="384"/>
      <c r="AB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c r="Z437" s="384"/>
      <c r="AA437" s="384"/>
      <c r="AB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c r="Z438" s="384"/>
      <c r="AA438" s="384"/>
      <c r="AB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c r="Z439" s="384"/>
      <c r="AA439" s="384"/>
      <c r="AB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c r="Z440" s="384"/>
      <c r="AA440" s="384"/>
      <c r="AB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c r="Z441" s="384"/>
      <c r="AA441" s="384"/>
      <c r="AB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c r="Z442" s="384"/>
      <c r="AA442" s="384"/>
      <c r="AB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c r="Z443" s="384"/>
      <c r="AA443" s="384"/>
      <c r="AB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c r="Z444" s="384"/>
      <c r="AA444" s="384"/>
      <c r="AB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c r="Z445" s="384"/>
      <c r="AA445" s="384"/>
      <c r="AB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c r="Z446" s="384"/>
      <c r="AA446" s="384"/>
      <c r="AB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c r="Z447" s="384"/>
      <c r="AA447" s="384"/>
      <c r="AB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c r="Z448" s="384"/>
      <c r="AA448" s="384"/>
      <c r="AB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c r="Z449" s="384"/>
      <c r="AA449" s="384"/>
      <c r="AB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c r="Z450" s="384"/>
      <c r="AA450" s="384"/>
      <c r="AB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c r="Z451" s="384"/>
      <c r="AA451" s="384"/>
      <c r="AB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c r="Z452" s="384"/>
      <c r="AA452" s="384"/>
      <c r="AB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c r="Z453" s="384"/>
      <c r="AA453" s="384"/>
      <c r="AB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c r="Z454" s="384"/>
      <c r="AA454" s="384"/>
      <c r="AB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c r="Z455" s="384"/>
      <c r="AA455" s="384"/>
      <c r="AB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c r="Z456" s="384"/>
      <c r="AA456" s="384"/>
      <c r="AB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c r="Z457" s="384"/>
      <c r="AA457" s="384"/>
      <c r="AB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c r="Z458" s="384"/>
      <c r="AA458" s="384"/>
      <c r="AB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c r="Z459" s="384"/>
      <c r="AA459" s="384"/>
      <c r="AB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c r="Z460" s="384"/>
      <c r="AA460" s="384"/>
      <c r="AB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c r="Z461" s="384"/>
      <c r="AA461" s="384"/>
      <c r="AB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c r="Z462" s="384"/>
      <c r="AA462" s="384"/>
      <c r="AB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c r="Z463" s="384"/>
      <c r="AA463" s="384"/>
      <c r="AB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c r="Z464" s="384"/>
      <c r="AA464" s="384"/>
      <c r="AB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c r="Z465" s="384"/>
      <c r="AA465" s="384"/>
      <c r="AB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c r="Z466" s="384"/>
      <c r="AA466" s="384"/>
      <c r="AB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c r="Z467" s="384"/>
      <c r="AA467" s="384"/>
      <c r="AB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c r="Z468" s="384"/>
      <c r="AA468" s="384"/>
      <c r="AB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c r="Z469" s="384"/>
      <c r="AA469" s="384"/>
      <c r="AB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c r="Z470" s="384"/>
      <c r="AA470" s="384"/>
      <c r="AB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c r="Z471" s="384"/>
      <c r="AA471" s="384"/>
      <c r="AB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c r="Z472" s="384"/>
      <c r="AA472" s="384"/>
      <c r="AB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c r="Z473" s="384"/>
      <c r="AA473" s="384"/>
      <c r="AB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c r="Z474" s="384"/>
      <c r="AA474" s="384"/>
      <c r="AB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c r="Z475" s="384"/>
      <c r="AA475" s="384"/>
      <c r="AB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c r="Z476" s="384"/>
      <c r="AA476" s="384"/>
      <c r="AB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c r="Z477" s="384"/>
      <c r="AA477" s="384"/>
      <c r="AB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c r="Z478" s="384"/>
      <c r="AA478" s="384"/>
      <c r="AB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c r="Z479" s="384"/>
      <c r="AA479" s="384"/>
      <c r="AB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c r="Z480" s="384"/>
      <c r="AA480" s="384"/>
      <c r="AB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c r="Z481" s="384"/>
      <c r="AA481" s="384"/>
      <c r="AB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c r="Z482" s="384"/>
      <c r="AA482" s="384"/>
      <c r="AB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c r="Z483" s="384"/>
      <c r="AA483" s="384"/>
      <c r="AB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c r="Z484" s="384"/>
      <c r="AA484" s="384"/>
      <c r="AB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c r="Z485" s="384"/>
      <c r="AA485" s="384"/>
      <c r="AB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c r="Z486" s="384"/>
      <c r="AA486" s="384"/>
      <c r="AB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c r="Z487" s="384"/>
      <c r="AA487" s="384"/>
      <c r="AB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c r="Z488" s="384"/>
      <c r="AA488" s="384"/>
      <c r="AB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c r="Z489" s="384"/>
      <c r="AA489" s="384"/>
      <c r="AB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c r="Z490" s="384"/>
      <c r="AA490" s="384"/>
      <c r="AB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c r="Z491" s="384"/>
      <c r="AA491" s="384"/>
      <c r="AB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c r="Z492" s="384"/>
      <c r="AA492" s="384"/>
      <c r="AB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c r="Z493" s="384"/>
      <c r="AA493" s="384"/>
      <c r="AB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c r="Z494" s="384"/>
      <c r="AA494" s="384"/>
      <c r="AB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c r="Z495" s="384"/>
      <c r="AA495" s="384"/>
      <c r="AB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c r="Z496" s="384"/>
      <c r="AA496" s="384"/>
      <c r="AB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c r="Z497" s="384"/>
      <c r="AA497" s="384"/>
      <c r="AB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c r="Z498" s="384"/>
      <c r="AA498" s="384"/>
      <c r="AB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c r="Z499" s="384"/>
      <c r="AA499" s="384"/>
      <c r="AB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c r="Z500" s="384"/>
      <c r="AA500" s="384"/>
      <c r="AB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c r="Z501" s="384"/>
      <c r="AA501" s="384"/>
      <c r="AB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c r="Z502" s="384"/>
      <c r="AA502" s="384"/>
      <c r="AB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c r="Z503" s="384"/>
      <c r="AA503" s="384"/>
      <c r="AB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c r="Z504" s="384"/>
      <c r="AA504" s="384"/>
      <c r="AB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c r="Z505" s="384"/>
      <c r="AA505" s="384"/>
      <c r="AB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c r="Z506" s="384"/>
      <c r="AA506" s="384"/>
      <c r="AB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c r="Z507" s="384"/>
      <c r="AA507" s="384"/>
      <c r="AB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c r="Z508" s="384"/>
      <c r="AA508" s="384"/>
      <c r="AB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c r="Z509" s="384"/>
      <c r="AA509" s="384"/>
      <c r="AB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c r="Z510" s="384"/>
      <c r="AA510" s="384"/>
      <c r="AB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c r="Z511" s="384"/>
      <c r="AA511" s="384"/>
      <c r="AB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c r="Z512" s="384"/>
      <c r="AA512" s="384"/>
      <c r="AB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c r="Z513" s="384"/>
      <c r="AA513" s="384"/>
      <c r="AB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c r="Z514" s="384"/>
      <c r="AA514" s="384"/>
      <c r="AB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c r="Z515" s="384"/>
      <c r="AA515" s="384"/>
      <c r="AB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c r="Z516" s="384"/>
      <c r="AA516" s="384"/>
      <c r="AB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c r="Z517" s="384"/>
      <c r="AA517" s="384"/>
      <c r="AB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c r="Z518" s="384"/>
      <c r="AA518" s="384"/>
      <c r="AB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c r="Z519" s="384"/>
      <c r="AA519" s="384"/>
      <c r="AB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c r="Z520" s="384"/>
      <c r="AA520" s="384"/>
      <c r="AB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c r="Z521" s="384"/>
      <c r="AA521" s="384"/>
      <c r="AB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c r="Z522" s="384"/>
      <c r="AA522" s="384"/>
      <c r="AB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c r="Z523" s="384"/>
      <c r="AA523" s="384"/>
      <c r="AB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c r="Z524" s="384"/>
      <c r="AA524" s="384"/>
      <c r="AB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c r="Z525" s="384"/>
      <c r="AA525" s="384"/>
      <c r="AB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c r="Z526" s="384"/>
      <c r="AA526" s="384"/>
      <c r="AB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c r="Z527" s="384"/>
      <c r="AA527" s="384"/>
      <c r="AB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c r="Z528" s="384"/>
      <c r="AA528" s="384"/>
      <c r="AB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c r="Z529" s="384"/>
      <c r="AA529" s="384"/>
      <c r="AB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c r="Z530" s="384"/>
      <c r="AA530" s="384"/>
      <c r="AB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c r="Z531" s="384"/>
      <c r="AA531" s="384"/>
      <c r="AB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c r="Z532" s="384"/>
      <c r="AA532" s="384"/>
      <c r="AB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c r="Z533" s="384"/>
      <c r="AA533" s="384"/>
      <c r="AB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c r="Z534" s="384"/>
      <c r="AA534" s="384"/>
      <c r="AB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c r="Z535" s="384"/>
      <c r="AA535" s="384"/>
      <c r="AB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c r="Z536" s="384"/>
      <c r="AA536" s="384"/>
      <c r="AB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c r="Z537" s="384"/>
      <c r="AA537" s="384"/>
      <c r="AB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c r="Z538" s="384"/>
      <c r="AA538" s="384"/>
      <c r="AB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c r="Z539" s="384"/>
      <c r="AA539" s="384"/>
      <c r="AB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c r="Z540" s="384"/>
      <c r="AA540" s="384"/>
      <c r="AB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c r="Z541" s="384"/>
      <c r="AA541" s="384"/>
      <c r="AB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c r="Z542" s="384"/>
      <c r="AA542" s="384"/>
      <c r="AB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c r="Z543" s="384"/>
      <c r="AA543" s="384"/>
      <c r="AB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c r="Z544" s="384"/>
      <c r="AA544" s="384"/>
      <c r="AB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c r="Z545" s="384"/>
      <c r="AA545" s="384"/>
      <c r="AB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c r="Z546" s="384"/>
      <c r="AA546" s="384"/>
      <c r="AB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c r="Z547" s="384"/>
      <c r="AA547" s="384"/>
      <c r="AB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c r="Z548" s="384"/>
      <c r="AA548" s="384"/>
      <c r="AB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c r="Z549" s="384"/>
      <c r="AA549" s="384"/>
      <c r="AB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c r="Z550" s="384"/>
      <c r="AA550" s="384"/>
      <c r="AB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c r="Z551" s="384"/>
      <c r="AA551" s="384"/>
      <c r="AB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c r="Z552" s="384"/>
      <c r="AA552" s="384"/>
      <c r="AB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c r="Z553" s="384"/>
      <c r="AA553" s="384"/>
      <c r="AB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c r="Z554" s="384"/>
      <c r="AA554" s="384"/>
      <c r="AB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c r="Z555" s="384"/>
      <c r="AA555" s="384"/>
      <c r="AB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c r="Z556" s="384"/>
      <c r="AA556" s="384"/>
      <c r="AB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c r="Z557" s="384"/>
      <c r="AA557" s="384"/>
      <c r="AB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c r="Z558" s="384"/>
      <c r="AA558" s="384"/>
      <c r="AB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c r="Z559" s="384"/>
      <c r="AA559" s="384"/>
      <c r="AB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c r="Z560" s="384"/>
      <c r="AA560" s="384"/>
      <c r="AB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c r="Z561" s="384"/>
      <c r="AA561" s="384"/>
      <c r="AB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c r="Z562" s="384"/>
      <c r="AA562" s="384"/>
      <c r="AB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c r="Z563" s="384"/>
      <c r="AA563" s="384"/>
      <c r="AB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c r="Z564" s="384"/>
      <c r="AA564" s="384"/>
      <c r="AB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c r="Z565" s="384"/>
      <c r="AA565" s="384"/>
      <c r="AB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c r="Z566" s="384"/>
      <c r="AA566" s="384"/>
      <c r="AB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c r="Z567" s="384"/>
      <c r="AA567" s="384"/>
      <c r="AB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c r="Z568" s="384"/>
      <c r="AA568" s="384"/>
      <c r="AB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c r="Z569" s="384"/>
      <c r="AA569" s="384"/>
      <c r="AB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c r="Z570" s="384"/>
      <c r="AA570" s="384"/>
      <c r="AB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c r="Z571" s="384"/>
      <c r="AA571" s="384"/>
      <c r="AB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c r="Z572" s="384"/>
      <c r="AA572" s="384"/>
      <c r="AB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c r="Z573" s="384"/>
      <c r="AA573" s="384"/>
      <c r="AB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c r="Z574" s="384"/>
      <c r="AA574" s="384"/>
      <c r="AB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c r="Z575" s="384"/>
      <c r="AA575" s="384"/>
      <c r="AB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c r="Z576" s="384"/>
      <c r="AA576" s="384"/>
      <c r="AB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c r="Z577" s="384"/>
      <c r="AA577" s="384"/>
      <c r="AB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c r="Z578" s="384"/>
      <c r="AA578" s="384"/>
      <c r="AB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c r="Z579" s="384"/>
      <c r="AA579" s="384"/>
      <c r="AB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c r="Z580" s="384"/>
      <c r="AA580" s="384"/>
      <c r="AB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c r="Z581" s="384"/>
      <c r="AA581" s="384"/>
      <c r="AB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c r="Z582" s="384"/>
      <c r="AA582" s="384"/>
      <c r="AB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c r="Z583" s="384"/>
      <c r="AA583" s="384"/>
      <c r="AB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c r="Z584" s="384"/>
      <c r="AA584" s="384"/>
      <c r="AB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c r="Z585" s="384"/>
      <c r="AA585" s="384"/>
      <c r="AB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c r="Z586" s="384"/>
      <c r="AA586" s="384"/>
      <c r="AB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c r="Z587" s="384"/>
      <c r="AA587" s="384"/>
      <c r="AB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c r="Z588" s="384"/>
      <c r="AA588" s="384"/>
      <c r="AB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c r="Z589" s="384"/>
      <c r="AA589" s="384"/>
      <c r="AB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c r="Z590" s="384"/>
      <c r="AA590" s="384"/>
      <c r="AB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c r="Z591" s="384"/>
      <c r="AA591" s="384"/>
      <c r="AB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c r="Z592" s="384"/>
      <c r="AA592" s="384"/>
      <c r="AB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c r="Z593" s="384"/>
      <c r="AA593" s="384"/>
      <c r="AB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c r="Z594" s="384"/>
      <c r="AA594" s="384"/>
      <c r="AB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c r="Z595" s="384"/>
      <c r="AA595" s="384"/>
      <c r="AB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c r="Z596" s="384"/>
      <c r="AA596" s="384"/>
      <c r="AB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c r="Z597" s="384"/>
      <c r="AA597" s="384"/>
      <c r="AB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c r="Z598" s="384"/>
      <c r="AA598" s="384"/>
      <c r="AB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c r="Z599" s="384"/>
      <c r="AA599" s="384"/>
      <c r="AB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c r="Z600" s="384"/>
      <c r="AA600" s="384"/>
      <c r="AB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c r="Z601" s="384"/>
      <c r="AA601" s="384"/>
      <c r="AB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c r="Z602" s="384"/>
      <c r="AA602" s="384"/>
      <c r="AB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c r="Z603" s="384"/>
      <c r="AA603" s="384"/>
      <c r="AB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c r="Z604" s="384"/>
      <c r="AA604" s="384"/>
      <c r="AB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c r="Z605" s="384"/>
      <c r="AA605" s="384"/>
      <c r="AB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c r="Z606" s="384"/>
      <c r="AA606" s="384"/>
      <c r="AB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c r="Z607" s="384"/>
      <c r="AA607" s="384"/>
      <c r="AB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c r="Z608" s="384"/>
      <c r="AA608" s="384"/>
      <c r="AB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c r="Z609" s="384"/>
      <c r="AA609" s="384"/>
      <c r="AB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c r="Z610" s="384"/>
      <c r="AA610" s="384"/>
      <c r="AB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c r="Z611" s="384"/>
      <c r="AA611" s="384"/>
      <c r="AB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c r="Z612" s="384"/>
      <c r="AA612" s="384"/>
      <c r="AB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c r="Z613" s="384"/>
      <c r="AA613" s="384"/>
      <c r="AB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c r="Z614" s="384"/>
      <c r="AA614" s="384"/>
      <c r="AB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c r="Z615" s="384"/>
      <c r="AA615" s="384"/>
      <c r="AB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c r="Z616" s="384"/>
      <c r="AA616" s="384"/>
      <c r="AB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c r="Z617" s="384"/>
      <c r="AA617" s="384"/>
      <c r="AB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c r="Z618" s="384"/>
      <c r="AA618" s="384"/>
      <c r="AB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c r="Z619" s="384"/>
      <c r="AA619" s="384"/>
      <c r="AB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c r="Z620" s="384"/>
      <c r="AA620" s="384"/>
      <c r="AB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c r="Z621" s="384"/>
      <c r="AA621" s="384"/>
      <c r="AB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c r="Z622" s="384"/>
      <c r="AA622" s="384"/>
      <c r="AB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c r="Z623" s="384"/>
      <c r="AA623" s="384"/>
      <c r="AB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c r="Z624" s="384"/>
      <c r="AA624" s="384"/>
      <c r="AB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c r="Z625" s="384"/>
      <c r="AA625" s="384"/>
      <c r="AB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c r="Z626" s="384"/>
      <c r="AA626" s="384"/>
      <c r="AB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c r="Z627" s="384"/>
      <c r="AA627" s="384"/>
      <c r="AB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c r="Z628" s="384"/>
      <c r="AA628" s="384"/>
      <c r="AB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c r="Z629" s="384"/>
      <c r="AA629" s="384"/>
      <c r="AB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c r="Z630" s="384"/>
      <c r="AA630" s="384"/>
      <c r="AB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c r="Z631" s="384"/>
      <c r="AA631" s="384"/>
      <c r="AB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c r="Z632" s="384"/>
      <c r="AA632" s="384"/>
      <c r="AB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c r="Z633" s="384"/>
      <c r="AA633" s="384"/>
      <c r="AB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c r="Z634" s="384"/>
      <c r="AA634" s="384"/>
      <c r="AB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c r="Z635" s="384"/>
      <c r="AA635" s="384"/>
      <c r="AB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c r="Z636" s="384"/>
      <c r="AA636" s="384"/>
      <c r="AB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c r="Z637" s="384"/>
      <c r="AA637" s="384"/>
      <c r="AB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c r="Z638" s="384"/>
      <c r="AA638" s="384"/>
      <c r="AB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c r="Z639" s="384"/>
      <c r="AA639" s="384"/>
      <c r="AB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c r="Z640" s="384"/>
      <c r="AA640" s="384"/>
      <c r="AB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c r="Z641" s="384"/>
      <c r="AA641" s="384"/>
      <c r="AB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c r="Z642" s="384"/>
      <c r="AA642" s="384"/>
      <c r="AB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c r="Z643" s="384"/>
      <c r="AA643" s="384"/>
      <c r="AB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c r="Z644" s="384"/>
      <c r="AA644" s="384"/>
      <c r="AB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c r="Z645" s="384"/>
      <c r="AA645" s="384"/>
      <c r="AB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c r="Z646" s="384"/>
      <c r="AA646" s="384"/>
      <c r="AB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c r="Z647" s="384"/>
      <c r="AA647" s="384"/>
      <c r="AB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c r="Z648" s="384"/>
      <c r="AA648" s="384"/>
      <c r="AB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c r="Z649" s="384"/>
      <c r="AA649" s="384"/>
      <c r="AB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c r="Z650" s="384"/>
      <c r="AA650" s="384"/>
      <c r="AB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c r="Z651" s="384"/>
      <c r="AA651" s="384"/>
      <c r="AB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c r="Z652" s="384"/>
      <c r="AA652" s="384"/>
      <c r="AB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c r="Z653" s="384"/>
      <c r="AA653" s="384"/>
      <c r="AB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c r="Z654" s="384"/>
      <c r="AA654" s="384"/>
      <c r="AB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c r="Z655" s="384"/>
      <c r="AA655" s="384"/>
      <c r="AB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c r="Z656" s="384"/>
      <c r="AA656" s="384"/>
      <c r="AB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c r="Z657" s="384"/>
      <c r="AA657" s="384"/>
      <c r="AB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c r="Z658" s="384"/>
      <c r="AA658" s="384"/>
      <c r="AB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c r="Z659" s="384"/>
      <c r="AA659" s="384"/>
      <c r="AB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c r="Z660" s="384"/>
      <c r="AA660" s="384"/>
      <c r="AB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c r="Z661" s="384"/>
      <c r="AA661" s="384"/>
      <c r="AB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c r="Z662" s="384"/>
      <c r="AA662" s="384"/>
      <c r="AB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c r="Z663" s="384"/>
      <c r="AA663" s="384"/>
      <c r="AB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c r="Z664" s="384"/>
      <c r="AA664" s="384"/>
      <c r="AB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c r="Z665" s="384"/>
      <c r="AA665" s="384"/>
      <c r="AB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c r="Z666" s="384"/>
      <c r="AA666" s="384"/>
      <c r="AB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c r="Z667" s="384"/>
      <c r="AA667" s="384"/>
      <c r="AB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c r="Z668" s="384"/>
      <c r="AA668" s="384"/>
      <c r="AB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c r="Z669" s="384"/>
      <c r="AA669" s="384"/>
      <c r="AB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c r="Z670" s="384"/>
      <c r="AA670" s="384"/>
      <c r="AB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c r="Z671" s="384"/>
      <c r="AA671" s="384"/>
      <c r="AB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c r="Z672" s="384"/>
      <c r="AA672" s="384"/>
      <c r="AB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c r="Z673" s="384"/>
      <c r="AA673" s="384"/>
      <c r="AB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c r="Z674" s="384"/>
      <c r="AA674" s="384"/>
      <c r="AB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c r="Z675" s="384"/>
      <c r="AA675" s="384"/>
      <c r="AB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c r="Z676" s="384"/>
      <c r="AA676" s="384"/>
      <c r="AB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c r="Z677" s="384"/>
      <c r="AA677" s="384"/>
      <c r="AB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c r="Z678" s="384"/>
      <c r="AA678" s="384"/>
      <c r="AB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c r="Z679" s="384"/>
      <c r="AA679" s="384"/>
      <c r="AB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c r="Z680" s="384"/>
      <c r="AA680" s="384"/>
      <c r="AB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c r="Z681" s="384"/>
      <c r="AA681" s="384"/>
      <c r="AB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c r="Z682" s="384"/>
      <c r="AA682" s="384"/>
      <c r="AB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c r="Z683" s="384"/>
      <c r="AA683" s="384"/>
      <c r="AB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c r="Z684" s="384"/>
      <c r="AA684" s="384"/>
      <c r="AB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c r="Z685" s="384"/>
      <c r="AA685" s="384"/>
      <c r="AB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c r="Z686" s="384"/>
      <c r="AA686" s="384"/>
      <c r="AB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c r="Z687" s="384"/>
      <c r="AA687" s="384"/>
      <c r="AB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c r="Z688" s="384"/>
      <c r="AA688" s="384"/>
      <c r="AB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c r="Z689" s="384"/>
      <c r="AA689" s="384"/>
      <c r="AB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c r="Z690" s="384"/>
      <c r="AA690" s="384"/>
      <c r="AB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c r="Z691" s="384"/>
      <c r="AA691" s="384"/>
      <c r="AB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c r="Z692" s="384"/>
      <c r="AA692" s="384"/>
      <c r="AB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c r="Z693" s="384"/>
      <c r="AA693" s="384"/>
      <c r="AB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c r="Z694" s="384"/>
      <c r="AA694" s="384"/>
      <c r="AB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c r="Z695" s="384"/>
      <c r="AA695" s="384"/>
      <c r="AB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c r="Z696" s="384"/>
      <c r="AA696" s="384"/>
      <c r="AB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c r="Z697" s="384"/>
      <c r="AA697" s="384"/>
      <c r="AB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c r="Z698" s="384"/>
      <c r="AA698" s="384"/>
      <c r="AB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c r="Z699" s="384"/>
      <c r="AA699" s="384"/>
      <c r="AB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c r="Z700" s="384"/>
      <c r="AA700" s="384"/>
      <c r="AB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c r="Z701" s="384"/>
      <c r="AA701" s="384"/>
      <c r="AB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c r="Z702" s="384"/>
      <c r="AA702" s="384"/>
      <c r="AB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c r="Z703" s="384"/>
      <c r="AA703" s="384"/>
      <c r="AB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c r="Z704" s="384"/>
      <c r="AA704" s="384"/>
      <c r="AB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c r="Z705" s="384"/>
      <c r="AA705" s="384"/>
      <c r="AB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c r="Z706" s="384"/>
      <c r="AA706" s="384"/>
      <c r="AB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c r="Z707" s="384"/>
      <c r="AA707" s="384"/>
      <c r="AB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c r="Z708" s="384"/>
      <c r="AA708" s="384"/>
      <c r="AB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c r="Z709" s="384"/>
      <c r="AA709" s="384"/>
      <c r="AB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c r="Z710" s="384"/>
      <c r="AA710" s="384"/>
      <c r="AB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c r="Z711" s="384"/>
      <c r="AA711" s="384"/>
      <c r="AB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c r="Z712" s="384"/>
      <c r="AA712" s="384"/>
      <c r="AB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c r="Z713" s="384"/>
      <c r="AA713" s="384"/>
      <c r="AB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c r="Z714" s="384"/>
      <c r="AA714" s="384"/>
      <c r="AB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c r="Z715" s="384"/>
      <c r="AA715" s="384"/>
      <c r="AB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c r="Z716" s="384"/>
      <c r="AA716" s="384"/>
      <c r="AB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c r="Z717" s="384"/>
      <c r="AA717" s="384"/>
      <c r="AB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c r="Z718" s="384"/>
      <c r="AA718" s="384"/>
      <c r="AB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c r="Z719" s="384"/>
      <c r="AA719" s="384"/>
      <c r="AB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c r="Z720" s="384"/>
      <c r="AA720" s="384"/>
      <c r="AB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c r="Z721" s="384"/>
      <c r="AA721" s="384"/>
      <c r="AB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c r="Z722" s="384"/>
      <c r="AA722" s="384"/>
      <c r="AB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c r="Z723" s="384"/>
      <c r="AA723" s="384"/>
      <c r="AB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c r="Z724" s="384"/>
      <c r="AA724" s="384"/>
      <c r="AB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c r="Z725" s="384"/>
      <c r="AA725" s="384"/>
      <c r="AB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c r="Z726" s="384"/>
      <c r="AA726" s="384"/>
      <c r="AB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c r="Z727" s="384"/>
      <c r="AA727" s="384"/>
      <c r="AB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c r="Z728" s="384"/>
      <c r="AA728" s="384"/>
      <c r="AB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c r="Z729" s="384"/>
      <c r="AA729" s="384"/>
      <c r="AB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c r="Z730" s="384"/>
      <c r="AA730" s="384"/>
      <c r="AB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c r="Z731" s="384"/>
      <c r="AA731" s="384"/>
      <c r="AB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c r="Z732" s="384"/>
      <c r="AA732" s="384"/>
      <c r="AB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c r="Z733" s="384"/>
      <c r="AA733" s="384"/>
      <c r="AB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c r="Z734" s="384"/>
      <c r="AA734" s="384"/>
      <c r="AB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c r="Z735" s="384"/>
      <c r="AA735" s="384"/>
      <c r="AB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c r="Z736" s="384"/>
      <c r="AA736" s="384"/>
      <c r="AB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c r="Z737" s="384"/>
      <c r="AA737" s="384"/>
      <c r="AB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c r="Z738" s="384"/>
      <c r="AA738" s="384"/>
      <c r="AB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c r="Z739" s="384"/>
      <c r="AA739" s="384"/>
      <c r="AB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c r="Z740" s="384"/>
      <c r="AA740" s="384"/>
      <c r="AB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c r="Z741" s="384"/>
      <c r="AA741" s="384"/>
      <c r="AB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c r="Z742" s="384"/>
      <c r="AA742" s="384"/>
      <c r="AB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c r="Z743" s="384"/>
      <c r="AA743" s="384"/>
      <c r="AB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c r="Z744" s="384"/>
      <c r="AA744" s="384"/>
      <c r="AB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c r="Z745" s="384"/>
      <c r="AA745" s="384"/>
      <c r="AB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c r="Z746" s="384"/>
      <c r="AA746" s="384"/>
      <c r="AB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c r="Z747" s="384"/>
      <c r="AA747" s="384"/>
      <c r="AB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c r="Z748" s="384"/>
      <c r="AA748" s="384"/>
      <c r="AB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c r="Z749" s="384"/>
      <c r="AA749" s="384"/>
      <c r="AB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c r="Z750" s="384"/>
      <c r="AA750" s="384"/>
      <c r="AB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c r="Z751" s="384"/>
      <c r="AA751" s="384"/>
      <c r="AB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c r="Z752" s="384"/>
      <c r="AA752" s="384"/>
      <c r="AB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c r="Z753" s="384"/>
      <c r="AA753" s="384"/>
      <c r="AB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c r="Z754" s="384"/>
      <c r="AA754" s="384"/>
      <c r="AB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c r="Z755" s="384"/>
      <c r="AA755" s="384"/>
      <c r="AB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c r="Z756" s="384"/>
      <c r="AA756" s="384"/>
      <c r="AB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c r="Z757" s="384"/>
      <c r="AA757" s="384"/>
      <c r="AB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c r="Z758" s="384"/>
      <c r="AA758" s="384"/>
      <c r="AB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c r="Z759" s="384"/>
      <c r="AA759" s="384"/>
      <c r="AB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c r="Z760" s="384"/>
      <c r="AA760" s="384"/>
      <c r="AB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c r="Z761" s="384"/>
      <c r="AA761" s="384"/>
      <c r="AB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c r="Z762" s="384"/>
      <c r="AA762" s="384"/>
      <c r="AB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c r="Z763" s="384"/>
      <c r="AA763" s="384"/>
      <c r="AB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c r="Z764" s="384"/>
      <c r="AA764" s="384"/>
      <c r="AB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c r="Z765" s="384"/>
      <c r="AA765" s="384"/>
      <c r="AB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c r="Z766" s="384"/>
      <c r="AA766" s="384"/>
      <c r="AB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c r="Z767" s="384"/>
      <c r="AA767" s="384"/>
      <c r="AB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c r="Z768" s="384"/>
      <c r="AA768" s="384"/>
      <c r="AB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c r="Z769" s="384"/>
      <c r="AA769" s="384"/>
      <c r="AB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c r="Z770" s="384"/>
      <c r="AA770" s="384"/>
      <c r="AB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c r="Z771" s="384"/>
      <c r="AA771" s="384"/>
      <c r="AB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c r="Z772" s="384"/>
      <c r="AA772" s="384"/>
      <c r="AB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c r="Z773" s="384"/>
      <c r="AA773" s="384"/>
      <c r="AB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c r="Z774" s="384"/>
      <c r="AA774" s="384"/>
      <c r="AB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c r="Z775" s="384"/>
      <c r="AA775" s="384"/>
      <c r="AB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c r="Z776" s="384"/>
      <c r="AA776" s="384"/>
      <c r="AB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c r="Z777" s="384"/>
      <c r="AA777" s="384"/>
      <c r="AB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c r="Z778" s="384"/>
      <c r="AA778" s="384"/>
      <c r="AB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c r="Z779" s="384"/>
      <c r="AA779" s="384"/>
      <c r="AB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c r="Z780" s="384"/>
      <c r="AA780" s="384"/>
      <c r="AB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c r="Z781" s="384"/>
      <c r="AA781" s="384"/>
      <c r="AB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c r="Z782" s="384"/>
      <c r="AA782" s="384"/>
      <c r="AB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c r="Z783" s="384"/>
      <c r="AA783" s="384"/>
      <c r="AB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c r="Z784" s="384"/>
      <c r="AA784" s="384"/>
      <c r="AB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c r="Z785" s="384"/>
      <c r="AA785" s="384"/>
      <c r="AB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c r="Z786" s="384"/>
      <c r="AA786" s="384"/>
      <c r="AB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c r="Z787" s="384"/>
      <c r="AA787" s="384"/>
      <c r="AB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c r="Z788" s="384"/>
      <c r="AA788" s="384"/>
      <c r="AB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c r="Z789" s="384"/>
      <c r="AA789" s="384"/>
      <c r="AB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c r="Z790" s="384"/>
      <c r="AA790" s="384"/>
      <c r="AB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c r="Z791" s="384"/>
      <c r="AA791" s="384"/>
      <c r="AB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c r="Z792" s="384"/>
      <c r="AA792" s="384"/>
      <c r="AB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c r="Z793" s="384"/>
      <c r="AA793" s="384"/>
      <c r="AB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c r="Z794" s="384"/>
      <c r="AA794" s="384"/>
      <c r="AB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c r="Z795" s="384"/>
      <c r="AA795" s="384"/>
      <c r="AB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c r="Z796" s="384"/>
      <c r="AA796" s="384"/>
      <c r="AB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c r="Z797" s="384"/>
      <c r="AA797" s="384"/>
      <c r="AB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c r="Z798" s="384"/>
      <c r="AA798" s="384"/>
      <c r="AB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c r="Z799" s="384"/>
      <c r="AA799" s="384"/>
      <c r="AB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c r="Z800" s="384"/>
      <c r="AA800" s="384"/>
      <c r="AB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c r="Z801" s="384"/>
      <c r="AA801" s="384"/>
      <c r="AB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c r="Z802" s="384"/>
      <c r="AA802" s="384"/>
      <c r="AB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c r="Z803" s="384"/>
      <c r="AA803" s="384"/>
      <c r="AB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c r="Z804" s="384"/>
      <c r="AA804" s="384"/>
      <c r="AB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c r="Z805" s="384"/>
      <c r="AA805" s="384"/>
      <c r="AB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c r="Z806" s="384"/>
      <c r="AA806" s="384"/>
      <c r="AB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c r="Z807" s="384"/>
      <c r="AA807" s="384"/>
      <c r="AB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c r="Z808" s="384"/>
      <c r="AA808" s="384"/>
      <c r="AB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c r="Z809" s="384"/>
      <c r="AA809" s="384"/>
      <c r="AB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c r="Z810" s="384"/>
      <c r="AA810" s="384"/>
      <c r="AB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c r="Z811" s="384"/>
      <c r="AA811" s="384"/>
      <c r="AB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c r="Z812" s="384"/>
      <c r="AA812" s="384"/>
      <c r="AB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c r="Z813" s="384"/>
      <c r="AA813" s="384"/>
      <c r="AB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c r="Z814" s="384"/>
      <c r="AA814" s="384"/>
      <c r="AB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c r="Z815" s="384"/>
      <c r="AA815" s="384"/>
      <c r="AB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c r="Z816" s="384"/>
      <c r="AA816" s="384"/>
      <c r="AB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c r="Z817" s="384"/>
      <c r="AA817" s="384"/>
      <c r="AB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c r="Z818" s="384"/>
      <c r="AA818" s="384"/>
      <c r="AB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c r="Z819" s="384"/>
      <c r="AA819" s="384"/>
      <c r="AB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c r="Z820" s="384"/>
      <c r="AA820" s="384"/>
      <c r="AB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c r="Z821" s="384"/>
      <c r="AA821" s="384"/>
      <c r="AB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c r="Z822" s="384"/>
      <c r="AA822" s="384"/>
      <c r="AB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c r="Z823" s="384"/>
      <c r="AA823" s="384"/>
      <c r="AB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c r="Z824" s="384"/>
      <c r="AA824" s="384"/>
      <c r="AB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c r="Z825" s="384"/>
      <c r="AA825" s="384"/>
      <c r="AB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c r="Z826" s="384"/>
      <c r="AA826" s="384"/>
      <c r="AB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c r="Z827" s="384"/>
      <c r="AA827" s="384"/>
      <c r="AB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c r="Z828" s="384"/>
      <c r="AA828" s="384"/>
      <c r="AB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c r="Z829" s="384"/>
      <c r="AA829" s="384"/>
      <c r="AB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c r="Z830" s="384"/>
      <c r="AA830" s="384"/>
      <c r="AB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c r="Z831" s="384"/>
      <c r="AA831" s="384"/>
      <c r="AB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c r="Z832" s="384"/>
      <c r="AA832" s="384"/>
      <c r="AB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c r="Z833" s="384"/>
      <c r="AA833" s="384"/>
      <c r="AB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c r="Z834" s="384"/>
      <c r="AA834" s="384"/>
      <c r="AB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c r="Z835" s="384"/>
      <c r="AA835" s="384"/>
      <c r="AB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c r="Z836" s="384"/>
      <c r="AA836" s="384"/>
      <c r="AB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c r="Z837" s="384"/>
      <c r="AA837" s="384"/>
      <c r="AB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c r="Z838" s="384"/>
      <c r="AA838" s="384"/>
      <c r="AB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c r="Z839" s="384"/>
      <c r="AA839" s="384"/>
      <c r="AB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c r="Z840" s="384"/>
      <c r="AA840" s="384"/>
      <c r="AB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c r="Z841" s="384"/>
      <c r="AA841" s="384"/>
      <c r="AB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c r="Z842" s="384"/>
      <c r="AA842" s="384"/>
      <c r="AB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c r="Z843" s="384"/>
      <c r="AA843" s="384"/>
      <c r="AB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c r="Z844" s="384"/>
      <c r="AA844" s="384"/>
      <c r="AB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c r="Z845" s="384"/>
      <c r="AA845" s="384"/>
      <c r="AB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c r="Z846" s="384"/>
      <c r="AA846" s="384"/>
      <c r="AB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c r="Z847" s="384"/>
      <c r="AA847" s="384"/>
      <c r="AB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c r="Z848" s="384"/>
      <c r="AA848" s="384"/>
      <c r="AB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c r="Z849" s="384"/>
      <c r="AA849" s="384"/>
      <c r="AB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c r="Z850" s="384"/>
      <c r="AA850" s="384"/>
      <c r="AB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c r="Z851" s="384"/>
      <c r="AA851" s="384"/>
      <c r="AB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c r="Z852" s="384"/>
      <c r="AA852" s="384"/>
      <c r="AB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c r="Z853" s="384"/>
      <c r="AA853" s="384"/>
      <c r="AB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c r="Z854" s="384"/>
      <c r="AA854" s="384"/>
      <c r="AB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c r="Z855" s="384"/>
      <c r="AA855" s="384"/>
      <c r="AB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c r="Z856" s="384"/>
      <c r="AA856" s="384"/>
      <c r="AB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c r="Z857" s="384"/>
      <c r="AA857" s="384"/>
      <c r="AB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c r="Z858" s="384"/>
      <c r="AA858" s="384"/>
      <c r="AB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c r="Z859" s="384"/>
      <c r="AA859" s="384"/>
      <c r="AB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c r="Z860" s="384"/>
      <c r="AA860" s="384"/>
      <c r="AB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c r="Z861" s="384"/>
      <c r="AA861" s="384"/>
      <c r="AB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c r="Z862" s="384"/>
      <c r="AA862" s="384"/>
      <c r="AB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c r="Z863" s="384"/>
      <c r="AA863" s="384"/>
      <c r="AB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c r="Z864" s="384"/>
      <c r="AA864" s="384"/>
      <c r="AB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c r="Z865" s="384"/>
      <c r="AA865" s="384"/>
      <c r="AB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c r="Z866" s="384"/>
      <c r="AA866" s="384"/>
      <c r="AB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c r="Z867" s="384"/>
      <c r="AA867" s="384"/>
      <c r="AB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c r="Z868" s="384"/>
      <c r="AA868" s="384"/>
      <c r="AB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c r="Z869" s="384"/>
      <c r="AA869" s="384"/>
      <c r="AB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c r="Z870" s="384"/>
      <c r="AA870" s="384"/>
      <c r="AB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c r="Z871" s="384"/>
      <c r="AA871" s="384"/>
      <c r="AB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c r="Z872" s="384"/>
      <c r="AA872" s="384"/>
      <c r="AB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c r="Z873" s="384"/>
      <c r="AA873" s="384"/>
      <c r="AB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c r="Z874" s="384"/>
      <c r="AA874" s="384"/>
      <c r="AB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c r="Z875" s="384"/>
      <c r="AA875" s="384"/>
      <c r="AB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c r="Z876" s="384"/>
      <c r="AA876" s="384"/>
      <c r="AB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c r="Z877" s="384"/>
      <c r="AA877" s="384"/>
      <c r="AB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c r="Z878" s="384"/>
      <c r="AA878" s="384"/>
      <c r="AB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c r="Z879" s="384"/>
      <c r="AA879" s="384"/>
      <c r="AB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c r="Z880" s="384"/>
      <c r="AA880" s="384"/>
      <c r="AB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c r="Z881" s="384"/>
      <c r="AA881" s="384"/>
      <c r="AB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c r="Z882" s="384"/>
      <c r="AA882" s="384"/>
      <c r="AB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c r="Z883" s="384"/>
      <c r="AA883" s="384"/>
      <c r="AB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c r="Z884" s="384"/>
      <c r="AA884" s="384"/>
      <c r="AB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c r="Z885" s="384"/>
      <c r="AA885" s="384"/>
      <c r="AB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c r="Z886" s="384"/>
      <c r="AA886" s="384"/>
      <c r="AB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c r="Z887" s="384"/>
      <c r="AA887" s="384"/>
      <c r="AB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c r="Z888" s="384"/>
      <c r="AA888" s="384"/>
      <c r="AB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c r="Z889" s="384"/>
      <c r="AA889" s="384"/>
      <c r="AB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c r="Z890" s="384"/>
      <c r="AA890" s="384"/>
      <c r="AB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c r="Z891" s="384"/>
      <c r="AA891" s="384"/>
      <c r="AB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c r="Z892" s="384"/>
      <c r="AA892" s="384"/>
      <c r="AB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c r="Z893" s="384"/>
      <c r="AA893" s="384"/>
      <c r="AB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c r="Z894" s="384"/>
      <c r="AA894" s="384"/>
      <c r="AB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c r="Z895" s="384"/>
      <c r="AA895" s="384"/>
      <c r="AB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c r="Z896" s="384"/>
      <c r="AA896" s="384"/>
      <c r="AB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c r="Z897" s="384"/>
      <c r="AA897" s="384"/>
      <c r="AB897" s="384"/>
    </row>
    <row r="898">
      <c r="A898" s="384"/>
      <c r="B898" s="384"/>
      <c r="C898" s="384"/>
      <c r="D898" s="384"/>
      <c r="E898" s="384"/>
      <c r="F898" s="384"/>
      <c r="G898" s="384"/>
      <c r="H898" s="384"/>
      <c r="I898" s="384"/>
      <c r="J898" s="384"/>
      <c r="K898" s="384"/>
      <c r="L898" s="384"/>
      <c r="M898" s="384"/>
      <c r="N898" s="384"/>
      <c r="O898" s="384"/>
      <c r="P898" s="384"/>
      <c r="Q898" s="384"/>
      <c r="R898" s="384"/>
      <c r="S898" s="384"/>
      <c r="T898" s="384"/>
      <c r="U898" s="384"/>
      <c r="V898" s="384"/>
      <c r="W898" s="384"/>
      <c r="X898" s="384"/>
      <c r="Y898" s="384"/>
      <c r="Z898" s="384"/>
      <c r="AA898" s="384"/>
      <c r="AB898" s="384"/>
    </row>
    <row r="899">
      <c r="A899" s="384"/>
      <c r="B899" s="384"/>
      <c r="C899" s="384"/>
      <c r="D899" s="384"/>
      <c r="E899" s="384"/>
      <c r="F899" s="384"/>
      <c r="G899" s="384"/>
      <c r="H899" s="384"/>
      <c r="I899" s="384"/>
      <c r="J899" s="384"/>
      <c r="K899" s="384"/>
      <c r="L899" s="384"/>
      <c r="M899" s="384"/>
      <c r="N899" s="384"/>
      <c r="O899" s="384"/>
      <c r="P899" s="384"/>
      <c r="Q899" s="384"/>
      <c r="R899" s="384"/>
      <c r="S899" s="384"/>
      <c r="T899" s="384"/>
      <c r="U899" s="384"/>
      <c r="V899" s="384"/>
      <c r="W899" s="384"/>
      <c r="X899" s="384"/>
      <c r="Y899" s="384"/>
      <c r="Z899" s="384"/>
      <c r="AA899" s="384"/>
      <c r="AB899" s="384"/>
    </row>
    <row r="900">
      <c r="A900" s="384"/>
      <c r="B900" s="384"/>
      <c r="C900" s="384"/>
      <c r="D900" s="384"/>
      <c r="E900" s="384"/>
      <c r="F900" s="384"/>
      <c r="G900" s="384"/>
      <c r="H900" s="384"/>
      <c r="I900" s="384"/>
      <c r="J900" s="384"/>
      <c r="K900" s="384"/>
      <c r="L900" s="384"/>
      <c r="M900" s="384"/>
      <c r="N900" s="384"/>
      <c r="O900" s="384"/>
      <c r="P900" s="384"/>
      <c r="Q900" s="384"/>
      <c r="R900" s="384"/>
      <c r="S900" s="384"/>
      <c r="T900" s="384"/>
      <c r="U900" s="384"/>
      <c r="V900" s="384"/>
      <c r="W900" s="384"/>
      <c r="X900" s="384"/>
      <c r="Y900" s="384"/>
      <c r="Z900" s="384"/>
      <c r="AA900" s="384"/>
      <c r="AB900" s="384"/>
    </row>
    <row r="901">
      <c r="A901" s="384"/>
      <c r="B901" s="384"/>
      <c r="C901" s="384"/>
      <c r="D901" s="384"/>
      <c r="E901" s="384"/>
      <c r="F901" s="384"/>
      <c r="G901" s="384"/>
      <c r="H901" s="384"/>
      <c r="I901" s="384"/>
      <c r="J901" s="384"/>
      <c r="K901" s="384"/>
      <c r="L901" s="384"/>
      <c r="M901" s="384"/>
      <c r="N901" s="384"/>
      <c r="O901" s="384"/>
      <c r="P901" s="384"/>
      <c r="Q901" s="384"/>
      <c r="R901" s="384"/>
      <c r="S901" s="384"/>
      <c r="T901" s="384"/>
      <c r="U901" s="384"/>
      <c r="V901" s="384"/>
      <c r="W901" s="384"/>
      <c r="X901" s="384"/>
      <c r="Y901" s="384"/>
      <c r="Z901" s="384"/>
      <c r="AA901" s="384"/>
      <c r="AB901" s="384"/>
    </row>
    <row r="902">
      <c r="A902" s="384"/>
      <c r="B902" s="384"/>
      <c r="C902" s="384"/>
      <c r="D902" s="384"/>
      <c r="E902" s="384"/>
      <c r="F902" s="384"/>
      <c r="G902" s="384"/>
      <c r="H902" s="384"/>
      <c r="I902" s="384"/>
      <c r="J902" s="384"/>
      <c r="K902" s="384"/>
      <c r="L902" s="384"/>
      <c r="M902" s="384"/>
      <c r="N902" s="384"/>
      <c r="O902" s="384"/>
      <c r="P902" s="384"/>
      <c r="Q902" s="384"/>
      <c r="R902" s="384"/>
      <c r="S902" s="384"/>
      <c r="T902" s="384"/>
      <c r="U902" s="384"/>
      <c r="V902" s="384"/>
      <c r="W902" s="384"/>
      <c r="X902" s="384"/>
      <c r="Y902" s="384"/>
      <c r="Z902" s="384"/>
      <c r="AA902" s="384"/>
      <c r="AB902" s="384"/>
    </row>
    <row r="903">
      <c r="A903" s="384"/>
      <c r="B903" s="384"/>
      <c r="C903" s="384"/>
      <c r="D903" s="384"/>
      <c r="E903" s="384"/>
      <c r="F903" s="384"/>
      <c r="G903" s="384"/>
      <c r="H903" s="384"/>
      <c r="I903" s="384"/>
      <c r="J903" s="384"/>
      <c r="K903" s="384"/>
      <c r="L903" s="384"/>
      <c r="M903" s="384"/>
      <c r="N903" s="384"/>
      <c r="O903" s="384"/>
      <c r="P903" s="384"/>
      <c r="Q903" s="384"/>
      <c r="R903" s="384"/>
      <c r="S903" s="384"/>
      <c r="T903" s="384"/>
      <c r="U903" s="384"/>
      <c r="V903" s="384"/>
      <c r="W903" s="384"/>
      <c r="X903" s="384"/>
      <c r="Y903" s="384"/>
      <c r="Z903" s="384"/>
      <c r="AA903" s="384"/>
      <c r="AB903" s="384"/>
    </row>
    <row r="904">
      <c r="A904" s="384"/>
      <c r="B904" s="384"/>
      <c r="C904" s="384"/>
      <c r="D904" s="384"/>
      <c r="E904" s="384"/>
      <c r="F904" s="384"/>
      <c r="G904" s="384"/>
      <c r="H904" s="384"/>
      <c r="I904" s="384"/>
      <c r="J904" s="384"/>
      <c r="K904" s="384"/>
      <c r="L904" s="384"/>
      <c r="M904" s="384"/>
      <c r="N904" s="384"/>
      <c r="O904" s="384"/>
      <c r="P904" s="384"/>
      <c r="Q904" s="384"/>
      <c r="R904" s="384"/>
      <c r="S904" s="384"/>
      <c r="T904" s="384"/>
      <c r="U904" s="384"/>
      <c r="V904" s="384"/>
      <c r="W904" s="384"/>
      <c r="X904" s="384"/>
      <c r="Y904" s="384"/>
      <c r="Z904" s="384"/>
      <c r="AA904" s="384"/>
      <c r="AB904" s="384"/>
    </row>
    <row r="905">
      <c r="A905" s="384"/>
      <c r="B905" s="384"/>
      <c r="C905" s="384"/>
      <c r="D905" s="384"/>
      <c r="E905" s="384"/>
      <c r="F905" s="384"/>
      <c r="G905" s="384"/>
      <c r="H905" s="384"/>
      <c r="I905" s="384"/>
      <c r="J905" s="384"/>
      <c r="K905" s="384"/>
      <c r="L905" s="384"/>
      <c r="M905" s="384"/>
      <c r="N905" s="384"/>
      <c r="O905" s="384"/>
      <c r="P905" s="384"/>
      <c r="Q905" s="384"/>
      <c r="R905" s="384"/>
      <c r="S905" s="384"/>
      <c r="T905" s="384"/>
      <c r="U905" s="384"/>
      <c r="V905" s="384"/>
      <c r="W905" s="384"/>
      <c r="X905" s="384"/>
      <c r="Y905" s="384"/>
      <c r="Z905" s="384"/>
      <c r="AA905" s="384"/>
      <c r="AB905" s="384"/>
    </row>
    <row r="906">
      <c r="A906" s="384"/>
      <c r="B906" s="384"/>
      <c r="C906" s="384"/>
      <c r="D906" s="384"/>
      <c r="E906" s="384"/>
      <c r="F906" s="384"/>
      <c r="G906" s="384"/>
      <c r="H906" s="384"/>
      <c r="I906" s="384"/>
      <c r="J906" s="384"/>
      <c r="K906" s="384"/>
      <c r="L906" s="384"/>
      <c r="M906" s="384"/>
      <c r="N906" s="384"/>
      <c r="O906" s="384"/>
      <c r="P906" s="384"/>
      <c r="Q906" s="384"/>
      <c r="R906" s="384"/>
      <c r="S906" s="384"/>
      <c r="T906" s="384"/>
      <c r="U906" s="384"/>
      <c r="V906" s="384"/>
      <c r="W906" s="384"/>
      <c r="X906" s="384"/>
      <c r="Y906" s="384"/>
      <c r="Z906" s="384"/>
      <c r="AA906" s="384"/>
      <c r="AB906" s="384"/>
    </row>
    <row r="907">
      <c r="A907" s="384"/>
      <c r="B907" s="384"/>
      <c r="C907" s="384"/>
      <c r="D907" s="384"/>
      <c r="E907" s="384"/>
      <c r="F907" s="384"/>
      <c r="G907" s="384"/>
      <c r="H907" s="384"/>
      <c r="I907" s="384"/>
      <c r="J907" s="384"/>
      <c r="K907" s="384"/>
      <c r="L907" s="384"/>
      <c r="M907" s="384"/>
      <c r="N907" s="384"/>
      <c r="O907" s="384"/>
      <c r="P907" s="384"/>
      <c r="Q907" s="384"/>
      <c r="R907" s="384"/>
      <c r="S907" s="384"/>
      <c r="T907" s="384"/>
      <c r="U907" s="384"/>
      <c r="V907" s="384"/>
      <c r="W907" s="384"/>
      <c r="X907" s="384"/>
      <c r="Y907" s="384"/>
      <c r="Z907" s="384"/>
      <c r="AA907" s="384"/>
      <c r="AB907" s="384"/>
    </row>
    <row r="908">
      <c r="A908" s="384"/>
      <c r="B908" s="384"/>
      <c r="C908" s="384"/>
      <c r="D908" s="384"/>
      <c r="E908" s="384"/>
      <c r="F908" s="384"/>
      <c r="G908" s="384"/>
      <c r="H908" s="384"/>
      <c r="I908" s="384"/>
      <c r="J908" s="384"/>
      <c r="K908" s="384"/>
      <c r="L908" s="384"/>
      <c r="M908" s="384"/>
      <c r="N908" s="384"/>
      <c r="O908" s="384"/>
      <c r="P908" s="384"/>
      <c r="Q908" s="384"/>
      <c r="R908" s="384"/>
      <c r="S908" s="384"/>
      <c r="T908" s="384"/>
      <c r="U908" s="384"/>
      <c r="V908" s="384"/>
      <c r="W908" s="384"/>
      <c r="X908" s="384"/>
      <c r="Y908" s="384"/>
      <c r="Z908" s="384"/>
      <c r="AA908" s="384"/>
      <c r="AB908" s="384"/>
    </row>
    <row r="909">
      <c r="A909" s="384"/>
      <c r="B909" s="384"/>
      <c r="C909" s="384"/>
      <c r="D909" s="384"/>
      <c r="E909" s="384"/>
      <c r="F909" s="384"/>
      <c r="G909" s="384"/>
      <c r="H909" s="384"/>
      <c r="I909" s="384"/>
      <c r="J909" s="384"/>
      <c r="K909" s="384"/>
      <c r="L909" s="384"/>
      <c r="M909" s="384"/>
      <c r="N909" s="384"/>
      <c r="O909" s="384"/>
      <c r="P909" s="384"/>
      <c r="Q909" s="384"/>
      <c r="R909" s="384"/>
      <c r="S909" s="384"/>
      <c r="T909" s="384"/>
      <c r="U909" s="384"/>
      <c r="V909" s="384"/>
      <c r="W909" s="384"/>
      <c r="X909" s="384"/>
      <c r="Y909" s="384"/>
      <c r="Z909" s="384"/>
      <c r="AA909" s="384"/>
      <c r="AB909" s="384"/>
    </row>
    <row r="910">
      <c r="A910" s="384"/>
      <c r="B910" s="384"/>
      <c r="C910" s="384"/>
      <c r="D910" s="384"/>
      <c r="E910" s="384"/>
      <c r="F910" s="384"/>
      <c r="G910" s="384"/>
      <c r="H910" s="384"/>
      <c r="I910" s="384"/>
      <c r="J910" s="384"/>
      <c r="K910" s="384"/>
      <c r="L910" s="384"/>
      <c r="M910" s="384"/>
      <c r="N910" s="384"/>
      <c r="O910" s="384"/>
      <c r="P910" s="384"/>
      <c r="Q910" s="384"/>
      <c r="R910" s="384"/>
      <c r="S910" s="384"/>
      <c r="T910" s="384"/>
      <c r="U910" s="384"/>
      <c r="V910" s="384"/>
      <c r="W910" s="384"/>
      <c r="X910" s="384"/>
      <c r="Y910" s="384"/>
      <c r="Z910" s="384"/>
      <c r="AA910" s="384"/>
      <c r="AB910" s="384"/>
    </row>
    <row r="911">
      <c r="A911" s="384"/>
      <c r="B911" s="384"/>
      <c r="C911" s="384"/>
      <c r="D911" s="384"/>
      <c r="E911" s="384"/>
      <c r="F911" s="384"/>
      <c r="G911" s="384"/>
      <c r="H911" s="384"/>
      <c r="I911" s="384"/>
      <c r="J911" s="384"/>
      <c r="K911" s="384"/>
      <c r="L911" s="384"/>
      <c r="M911" s="384"/>
      <c r="N911" s="384"/>
      <c r="O911" s="384"/>
      <c r="P911" s="384"/>
      <c r="Q911" s="384"/>
      <c r="R911" s="384"/>
      <c r="S911" s="384"/>
      <c r="T911" s="384"/>
      <c r="U911" s="384"/>
      <c r="V911" s="384"/>
      <c r="W911" s="384"/>
      <c r="X911" s="384"/>
      <c r="Y911" s="384"/>
      <c r="Z911" s="384"/>
      <c r="AA911" s="384"/>
      <c r="AB911" s="384"/>
    </row>
    <row r="912">
      <c r="A912" s="384"/>
      <c r="B912" s="384"/>
      <c r="C912" s="384"/>
      <c r="D912" s="384"/>
      <c r="E912" s="384"/>
      <c r="F912" s="384"/>
      <c r="G912" s="384"/>
      <c r="H912" s="384"/>
      <c r="I912" s="384"/>
      <c r="J912" s="384"/>
      <c r="K912" s="384"/>
      <c r="L912" s="384"/>
      <c r="M912" s="384"/>
      <c r="N912" s="384"/>
      <c r="O912" s="384"/>
      <c r="P912" s="384"/>
      <c r="Q912" s="384"/>
      <c r="R912" s="384"/>
      <c r="S912" s="384"/>
      <c r="T912" s="384"/>
      <c r="U912" s="384"/>
      <c r="V912" s="384"/>
      <c r="W912" s="384"/>
      <c r="X912" s="384"/>
      <c r="Y912" s="384"/>
      <c r="Z912" s="384"/>
      <c r="AA912" s="384"/>
      <c r="AB912" s="384"/>
    </row>
    <row r="913">
      <c r="A913" s="384"/>
      <c r="B913" s="384"/>
      <c r="C913" s="384"/>
      <c r="D913" s="384"/>
      <c r="E913" s="384"/>
      <c r="F913" s="384"/>
      <c r="G913" s="384"/>
      <c r="H913" s="384"/>
      <c r="I913" s="384"/>
      <c r="J913" s="384"/>
      <c r="K913" s="384"/>
      <c r="L913" s="384"/>
      <c r="M913" s="384"/>
      <c r="N913" s="384"/>
      <c r="O913" s="384"/>
      <c r="P913" s="384"/>
      <c r="Q913" s="384"/>
      <c r="R913" s="384"/>
      <c r="S913" s="384"/>
      <c r="T913" s="384"/>
      <c r="U913" s="384"/>
      <c r="V913" s="384"/>
      <c r="W913" s="384"/>
      <c r="X913" s="384"/>
      <c r="Y913" s="384"/>
      <c r="Z913" s="384"/>
      <c r="AA913" s="384"/>
      <c r="AB913" s="384"/>
    </row>
    <row r="914">
      <c r="A914" s="384"/>
      <c r="B914" s="384"/>
      <c r="C914" s="384"/>
      <c r="D914" s="384"/>
      <c r="E914" s="384"/>
      <c r="F914" s="384"/>
      <c r="G914" s="384"/>
      <c r="H914" s="384"/>
      <c r="I914" s="384"/>
      <c r="J914" s="384"/>
      <c r="K914" s="384"/>
      <c r="L914" s="384"/>
      <c r="M914" s="384"/>
      <c r="N914" s="384"/>
      <c r="O914" s="384"/>
      <c r="P914" s="384"/>
      <c r="Q914" s="384"/>
      <c r="R914" s="384"/>
      <c r="S914" s="384"/>
      <c r="T914" s="384"/>
      <c r="U914" s="384"/>
      <c r="V914" s="384"/>
      <c r="W914" s="384"/>
      <c r="X914" s="384"/>
      <c r="Y914" s="384"/>
      <c r="Z914" s="384"/>
      <c r="AA914" s="384"/>
      <c r="AB914" s="384"/>
    </row>
    <row r="915">
      <c r="A915" s="384"/>
      <c r="B915" s="384"/>
      <c r="C915" s="384"/>
      <c r="D915" s="384"/>
      <c r="E915" s="384"/>
      <c r="F915" s="384"/>
      <c r="G915" s="384"/>
      <c r="H915" s="384"/>
      <c r="I915" s="384"/>
      <c r="J915" s="384"/>
      <c r="K915" s="384"/>
      <c r="L915" s="384"/>
      <c r="M915" s="384"/>
      <c r="N915" s="384"/>
      <c r="O915" s="384"/>
      <c r="P915" s="384"/>
      <c r="Q915" s="384"/>
      <c r="R915" s="384"/>
      <c r="S915" s="384"/>
      <c r="T915" s="384"/>
      <c r="U915" s="384"/>
      <c r="V915" s="384"/>
      <c r="W915" s="384"/>
      <c r="X915" s="384"/>
      <c r="Y915" s="384"/>
      <c r="Z915" s="384"/>
      <c r="AA915" s="384"/>
      <c r="AB915" s="384"/>
    </row>
    <row r="916">
      <c r="A916" s="384"/>
      <c r="B916" s="384"/>
      <c r="C916" s="384"/>
      <c r="D916" s="384"/>
      <c r="E916" s="384"/>
      <c r="F916" s="384"/>
      <c r="G916" s="384"/>
      <c r="H916" s="384"/>
      <c r="I916" s="384"/>
      <c r="J916" s="384"/>
      <c r="K916" s="384"/>
      <c r="L916" s="384"/>
      <c r="M916" s="384"/>
      <c r="N916" s="384"/>
      <c r="O916" s="384"/>
      <c r="P916" s="384"/>
      <c r="Q916" s="384"/>
      <c r="R916" s="384"/>
      <c r="S916" s="384"/>
      <c r="T916" s="384"/>
      <c r="U916" s="384"/>
      <c r="V916" s="384"/>
      <c r="W916" s="384"/>
      <c r="X916" s="384"/>
      <c r="Y916" s="384"/>
      <c r="Z916" s="384"/>
      <c r="AA916" s="384"/>
      <c r="AB916" s="384"/>
    </row>
    <row r="917">
      <c r="A917" s="384"/>
      <c r="B917" s="384"/>
      <c r="C917" s="384"/>
      <c r="D917" s="384"/>
      <c r="E917" s="384"/>
      <c r="F917" s="384"/>
      <c r="G917" s="384"/>
      <c r="H917" s="384"/>
      <c r="I917" s="384"/>
      <c r="J917" s="384"/>
      <c r="K917" s="384"/>
      <c r="L917" s="384"/>
      <c r="M917" s="384"/>
      <c r="N917" s="384"/>
      <c r="O917" s="384"/>
      <c r="P917" s="384"/>
      <c r="Q917" s="384"/>
      <c r="R917" s="384"/>
      <c r="S917" s="384"/>
      <c r="T917" s="384"/>
      <c r="U917" s="384"/>
      <c r="V917" s="384"/>
      <c r="W917" s="384"/>
      <c r="X917" s="384"/>
      <c r="Y917" s="384"/>
      <c r="Z917" s="384"/>
      <c r="AA917" s="384"/>
      <c r="AB917" s="384"/>
    </row>
    <row r="918">
      <c r="A918" s="384"/>
      <c r="B918" s="384"/>
      <c r="C918" s="384"/>
      <c r="D918" s="384"/>
      <c r="E918" s="384"/>
      <c r="F918" s="384"/>
      <c r="G918" s="384"/>
      <c r="H918" s="384"/>
      <c r="I918" s="384"/>
      <c r="J918" s="384"/>
      <c r="K918" s="384"/>
      <c r="L918" s="384"/>
      <c r="M918" s="384"/>
      <c r="N918" s="384"/>
      <c r="O918" s="384"/>
      <c r="P918" s="384"/>
      <c r="Q918" s="384"/>
      <c r="R918" s="384"/>
      <c r="S918" s="384"/>
      <c r="T918" s="384"/>
      <c r="U918" s="384"/>
      <c r="V918" s="384"/>
      <c r="W918" s="384"/>
      <c r="X918" s="384"/>
      <c r="Y918" s="384"/>
      <c r="Z918" s="384"/>
      <c r="AA918" s="384"/>
      <c r="AB918" s="384"/>
    </row>
    <row r="919">
      <c r="A919" s="384"/>
      <c r="B919" s="384"/>
      <c r="C919" s="384"/>
      <c r="D919" s="384"/>
      <c r="E919" s="384"/>
      <c r="F919" s="384"/>
      <c r="G919" s="384"/>
      <c r="H919" s="384"/>
      <c r="I919" s="384"/>
      <c r="J919" s="384"/>
      <c r="K919" s="384"/>
      <c r="L919" s="384"/>
      <c r="M919" s="384"/>
      <c r="N919" s="384"/>
      <c r="O919" s="384"/>
      <c r="P919" s="384"/>
      <c r="Q919" s="384"/>
      <c r="R919" s="384"/>
      <c r="S919" s="384"/>
      <c r="T919" s="384"/>
      <c r="U919" s="384"/>
      <c r="V919" s="384"/>
      <c r="W919" s="384"/>
      <c r="X919" s="384"/>
      <c r="Y919" s="384"/>
      <c r="Z919" s="384"/>
      <c r="AA919" s="384"/>
      <c r="AB919" s="384"/>
    </row>
    <row r="920">
      <c r="A920" s="384"/>
      <c r="B920" s="384"/>
      <c r="C920" s="384"/>
      <c r="D920" s="384"/>
      <c r="E920" s="384"/>
      <c r="F920" s="384"/>
      <c r="G920" s="384"/>
      <c r="H920" s="384"/>
      <c r="I920" s="384"/>
      <c r="J920" s="384"/>
      <c r="K920" s="384"/>
      <c r="L920" s="384"/>
      <c r="M920" s="384"/>
      <c r="N920" s="384"/>
      <c r="O920" s="384"/>
      <c r="P920" s="384"/>
      <c r="Q920" s="384"/>
      <c r="R920" s="384"/>
      <c r="S920" s="384"/>
      <c r="T920" s="384"/>
      <c r="U920" s="384"/>
      <c r="V920" s="384"/>
      <c r="W920" s="384"/>
      <c r="X920" s="384"/>
      <c r="Y920" s="384"/>
      <c r="Z920" s="384"/>
      <c r="AA920" s="384"/>
      <c r="AB920" s="384"/>
    </row>
    <row r="921">
      <c r="A921" s="384"/>
      <c r="B921" s="384"/>
      <c r="C921" s="384"/>
      <c r="D921" s="384"/>
      <c r="E921" s="384"/>
      <c r="F921" s="384"/>
      <c r="G921" s="384"/>
      <c r="H921" s="384"/>
      <c r="I921" s="384"/>
      <c r="J921" s="384"/>
      <c r="K921" s="384"/>
      <c r="L921" s="384"/>
      <c r="M921" s="384"/>
      <c r="N921" s="384"/>
      <c r="O921" s="384"/>
      <c r="P921" s="384"/>
      <c r="Q921" s="384"/>
      <c r="R921" s="384"/>
      <c r="S921" s="384"/>
      <c r="T921" s="384"/>
      <c r="U921" s="384"/>
      <c r="V921" s="384"/>
      <c r="W921" s="384"/>
      <c r="X921" s="384"/>
      <c r="Y921" s="384"/>
      <c r="Z921" s="384"/>
      <c r="AA921" s="384"/>
      <c r="AB921" s="384"/>
    </row>
    <row r="922">
      <c r="A922" s="384"/>
      <c r="B922" s="384"/>
      <c r="C922" s="384"/>
      <c r="D922" s="384"/>
      <c r="E922" s="384"/>
      <c r="F922" s="384"/>
      <c r="G922" s="384"/>
      <c r="H922" s="384"/>
      <c r="I922" s="384"/>
      <c r="J922" s="384"/>
      <c r="K922" s="384"/>
      <c r="L922" s="384"/>
      <c r="M922" s="384"/>
      <c r="N922" s="384"/>
      <c r="O922" s="384"/>
      <c r="P922" s="384"/>
      <c r="Q922" s="384"/>
      <c r="R922" s="384"/>
      <c r="S922" s="384"/>
      <c r="T922" s="384"/>
      <c r="U922" s="384"/>
      <c r="V922" s="384"/>
      <c r="W922" s="384"/>
      <c r="X922" s="384"/>
      <c r="Y922" s="384"/>
      <c r="Z922" s="384"/>
      <c r="AA922" s="384"/>
      <c r="AB922" s="384"/>
    </row>
    <row r="923">
      <c r="A923" s="384"/>
      <c r="B923" s="384"/>
      <c r="C923" s="384"/>
      <c r="D923" s="384"/>
      <c r="E923" s="384"/>
      <c r="F923" s="384"/>
      <c r="G923" s="384"/>
      <c r="H923" s="384"/>
      <c r="I923" s="384"/>
      <c r="J923" s="384"/>
      <c r="K923" s="384"/>
      <c r="L923" s="384"/>
      <c r="M923" s="384"/>
      <c r="N923" s="384"/>
      <c r="O923" s="384"/>
      <c r="P923" s="384"/>
      <c r="Q923" s="384"/>
      <c r="R923" s="384"/>
      <c r="S923" s="384"/>
      <c r="T923" s="384"/>
      <c r="U923" s="384"/>
      <c r="V923" s="384"/>
      <c r="W923" s="384"/>
      <c r="X923" s="384"/>
      <c r="Y923" s="384"/>
      <c r="Z923" s="384"/>
      <c r="AA923" s="384"/>
      <c r="AB923" s="384"/>
    </row>
    <row r="924">
      <c r="A924" s="384"/>
      <c r="B924" s="384"/>
      <c r="C924" s="384"/>
      <c r="D924" s="384"/>
      <c r="E924" s="384"/>
      <c r="F924" s="384"/>
      <c r="G924" s="384"/>
      <c r="H924" s="384"/>
      <c r="I924" s="384"/>
      <c r="J924" s="384"/>
      <c r="K924" s="384"/>
      <c r="L924" s="384"/>
      <c r="M924" s="384"/>
      <c r="N924" s="384"/>
      <c r="O924" s="384"/>
      <c r="P924" s="384"/>
      <c r="Q924" s="384"/>
      <c r="R924" s="384"/>
      <c r="S924" s="384"/>
      <c r="T924" s="384"/>
      <c r="U924" s="384"/>
      <c r="V924" s="384"/>
      <c r="W924" s="384"/>
      <c r="X924" s="384"/>
      <c r="Y924" s="384"/>
      <c r="Z924" s="384"/>
      <c r="AA924" s="384"/>
      <c r="AB924" s="384"/>
    </row>
    <row r="925">
      <c r="A925" s="384"/>
      <c r="B925" s="384"/>
      <c r="C925" s="384"/>
      <c r="D925" s="384"/>
      <c r="E925" s="384"/>
      <c r="F925" s="384"/>
      <c r="G925" s="384"/>
      <c r="H925" s="384"/>
      <c r="I925" s="384"/>
      <c r="J925" s="384"/>
      <c r="K925" s="384"/>
      <c r="L925" s="384"/>
      <c r="M925" s="384"/>
      <c r="N925" s="384"/>
      <c r="O925" s="384"/>
      <c r="P925" s="384"/>
      <c r="Q925" s="384"/>
      <c r="R925" s="384"/>
      <c r="S925" s="384"/>
      <c r="T925" s="384"/>
      <c r="U925" s="384"/>
      <c r="V925" s="384"/>
      <c r="W925" s="384"/>
      <c r="X925" s="384"/>
      <c r="Y925" s="384"/>
      <c r="Z925" s="384"/>
      <c r="AA925" s="384"/>
      <c r="AB925" s="384"/>
    </row>
    <row r="926">
      <c r="A926" s="384"/>
      <c r="B926" s="384"/>
      <c r="C926" s="384"/>
      <c r="D926" s="384"/>
      <c r="E926" s="384"/>
      <c r="F926" s="384"/>
      <c r="G926" s="384"/>
      <c r="H926" s="384"/>
      <c r="I926" s="384"/>
      <c r="J926" s="384"/>
      <c r="K926" s="384"/>
      <c r="L926" s="384"/>
      <c r="M926" s="384"/>
      <c r="N926" s="384"/>
      <c r="O926" s="384"/>
      <c r="P926" s="384"/>
      <c r="Q926" s="384"/>
      <c r="R926" s="384"/>
      <c r="S926" s="384"/>
      <c r="T926" s="384"/>
      <c r="U926" s="384"/>
      <c r="V926" s="384"/>
      <c r="W926" s="384"/>
      <c r="X926" s="384"/>
      <c r="Y926" s="384"/>
      <c r="Z926" s="384"/>
      <c r="AA926" s="384"/>
      <c r="AB926" s="384"/>
    </row>
    <row r="927">
      <c r="A927" s="384"/>
      <c r="B927" s="384"/>
      <c r="C927" s="384"/>
      <c r="D927" s="384"/>
      <c r="E927" s="384"/>
      <c r="F927" s="384"/>
      <c r="G927" s="384"/>
      <c r="H927" s="384"/>
      <c r="I927" s="384"/>
      <c r="J927" s="384"/>
      <c r="K927" s="384"/>
      <c r="L927" s="384"/>
      <c r="M927" s="384"/>
      <c r="N927" s="384"/>
      <c r="O927" s="384"/>
      <c r="P927" s="384"/>
      <c r="Q927" s="384"/>
      <c r="R927" s="384"/>
      <c r="S927" s="384"/>
      <c r="T927" s="384"/>
      <c r="U927" s="384"/>
      <c r="V927" s="384"/>
      <c r="W927" s="384"/>
      <c r="X927" s="384"/>
      <c r="Y927" s="384"/>
      <c r="Z927" s="384"/>
      <c r="AA927" s="384"/>
      <c r="AB927" s="384"/>
    </row>
    <row r="928">
      <c r="A928" s="384"/>
      <c r="B928" s="384"/>
      <c r="C928" s="384"/>
      <c r="D928" s="384"/>
      <c r="E928" s="384"/>
      <c r="F928" s="384"/>
      <c r="G928" s="384"/>
      <c r="H928" s="384"/>
      <c r="I928" s="384"/>
      <c r="J928" s="384"/>
      <c r="K928" s="384"/>
      <c r="L928" s="384"/>
      <c r="M928" s="384"/>
      <c r="N928" s="384"/>
      <c r="O928" s="384"/>
      <c r="P928" s="384"/>
      <c r="Q928" s="384"/>
      <c r="R928" s="384"/>
      <c r="S928" s="384"/>
      <c r="T928" s="384"/>
      <c r="U928" s="384"/>
      <c r="V928" s="384"/>
      <c r="W928" s="384"/>
      <c r="X928" s="384"/>
      <c r="Y928" s="384"/>
      <c r="Z928" s="384"/>
      <c r="AA928" s="384"/>
      <c r="AB928" s="384"/>
    </row>
    <row r="929">
      <c r="A929" s="384"/>
      <c r="B929" s="384"/>
      <c r="C929" s="384"/>
      <c r="D929" s="384"/>
      <c r="E929" s="384"/>
      <c r="F929" s="384"/>
      <c r="G929" s="384"/>
      <c r="H929" s="384"/>
      <c r="I929" s="384"/>
      <c r="J929" s="384"/>
      <c r="K929" s="384"/>
      <c r="L929" s="384"/>
      <c r="M929" s="384"/>
      <c r="N929" s="384"/>
      <c r="O929" s="384"/>
      <c r="P929" s="384"/>
      <c r="Q929" s="384"/>
      <c r="R929" s="384"/>
      <c r="S929" s="384"/>
      <c r="T929" s="384"/>
      <c r="U929" s="384"/>
      <c r="V929" s="384"/>
      <c r="W929" s="384"/>
      <c r="X929" s="384"/>
      <c r="Y929" s="384"/>
      <c r="Z929" s="384"/>
      <c r="AA929" s="384"/>
      <c r="AB929" s="384"/>
    </row>
    <row r="930">
      <c r="A930" s="384"/>
      <c r="B930" s="384"/>
      <c r="C930" s="384"/>
      <c r="D930" s="384"/>
      <c r="E930" s="384"/>
      <c r="F930" s="384"/>
      <c r="G930" s="384"/>
      <c r="H930" s="384"/>
      <c r="I930" s="384"/>
      <c r="J930" s="384"/>
      <c r="K930" s="384"/>
      <c r="L930" s="384"/>
      <c r="M930" s="384"/>
      <c r="N930" s="384"/>
      <c r="O930" s="384"/>
      <c r="P930" s="384"/>
      <c r="Q930" s="384"/>
      <c r="R930" s="384"/>
      <c r="S930" s="384"/>
      <c r="T930" s="384"/>
      <c r="U930" s="384"/>
      <c r="V930" s="384"/>
      <c r="W930" s="384"/>
      <c r="X930" s="384"/>
      <c r="Y930" s="384"/>
      <c r="Z930" s="384"/>
      <c r="AA930" s="384"/>
      <c r="AB930" s="384"/>
    </row>
    <row r="931">
      <c r="A931" s="384"/>
      <c r="B931" s="384"/>
      <c r="C931" s="384"/>
      <c r="D931" s="384"/>
      <c r="E931" s="384"/>
      <c r="F931" s="384"/>
      <c r="G931" s="384"/>
      <c r="H931" s="384"/>
      <c r="I931" s="384"/>
      <c r="J931" s="384"/>
      <c r="K931" s="384"/>
      <c r="L931" s="384"/>
      <c r="M931" s="384"/>
      <c r="N931" s="384"/>
      <c r="O931" s="384"/>
      <c r="P931" s="384"/>
      <c r="Q931" s="384"/>
      <c r="R931" s="384"/>
      <c r="S931" s="384"/>
      <c r="T931" s="384"/>
      <c r="U931" s="384"/>
      <c r="V931" s="384"/>
      <c r="W931" s="384"/>
      <c r="X931" s="384"/>
      <c r="Y931" s="384"/>
      <c r="Z931" s="384"/>
      <c r="AA931" s="384"/>
      <c r="AB931" s="384"/>
    </row>
  </sheetData>
  <mergeCells count="150">
    <mergeCell ref="A1:AB1"/>
    <mergeCell ref="B2:E2"/>
    <mergeCell ref="B4:N4"/>
    <mergeCell ref="E5:F5"/>
    <mergeCell ref="H5:I5"/>
    <mergeCell ref="K5:N5"/>
    <mergeCell ref="K7:N9"/>
    <mergeCell ref="K13:N14"/>
    <mergeCell ref="K16:N16"/>
    <mergeCell ref="B20:L20"/>
    <mergeCell ref="N20:P20"/>
    <mergeCell ref="B21:C21"/>
    <mergeCell ref="E21:F21"/>
    <mergeCell ref="H21:I21"/>
    <mergeCell ref="K21:L21"/>
    <mergeCell ref="N21:O21"/>
    <mergeCell ref="N22:O22"/>
    <mergeCell ref="E25:F25"/>
    <mergeCell ref="H25:I25"/>
    <mergeCell ref="K25:L25"/>
    <mergeCell ref="M25:N25"/>
    <mergeCell ref="F32:M32"/>
    <mergeCell ref="O32:Q32"/>
    <mergeCell ref="F33:H33"/>
    <mergeCell ref="K33:L33"/>
    <mergeCell ref="O33:P33"/>
    <mergeCell ref="F34:H34"/>
    <mergeCell ref="K34:L34"/>
    <mergeCell ref="O41:Q41"/>
    <mergeCell ref="O42:Q42"/>
    <mergeCell ref="O43:Q43"/>
    <mergeCell ref="O44:Q44"/>
    <mergeCell ref="O45:Q45"/>
    <mergeCell ref="O46:Q46"/>
    <mergeCell ref="O47:Q47"/>
    <mergeCell ref="O34:P34"/>
    <mergeCell ref="O38:R38"/>
    <mergeCell ref="O39:Q39"/>
    <mergeCell ref="B40:L40"/>
    <mergeCell ref="O40:Q40"/>
    <mergeCell ref="H41:K41"/>
    <mergeCell ref="H42:K42"/>
    <mergeCell ref="B25:C26"/>
    <mergeCell ref="B27:C27"/>
    <mergeCell ref="B28:C28"/>
    <mergeCell ref="B29:C29"/>
    <mergeCell ref="B32:C32"/>
    <mergeCell ref="B38:E38"/>
    <mergeCell ref="B41:E41"/>
    <mergeCell ref="H45:K45"/>
    <mergeCell ref="H46:K46"/>
    <mergeCell ref="B42:E42"/>
    <mergeCell ref="B43:E43"/>
    <mergeCell ref="H43:K43"/>
    <mergeCell ref="B44:E44"/>
    <mergeCell ref="H44:K44"/>
    <mergeCell ref="B45:E45"/>
    <mergeCell ref="B46:E46"/>
    <mergeCell ref="B48:F48"/>
    <mergeCell ref="I48:M48"/>
    <mergeCell ref="B49:E49"/>
    <mergeCell ref="I49:L49"/>
    <mergeCell ref="O49:R49"/>
    <mergeCell ref="I50:L50"/>
    <mergeCell ref="O50:Q50"/>
    <mergeCell ref="O52:Q52"/>
    <mergeCell ref="O53:Q53"/>
    <mergeCell ref="O51:Q51"/>
    <mergeCell ref="O54:Q54"/>
    <mergeCell ref="O55:Q55"/>
    <mergeCell ref="O56:Q56"/>
    <mergeCell ref="O57:Q57"/>
    <mergeCell ref="O58:Q58"/>
    <mergeCell ref="O59:Q59"/>
    <mergeCell ref="B50:E50"/>
    <mergeCell ref="B51:E51"/>
    <mergeCell ref="I51:L51"/>
    <mergeCell ref="B52:E52"/>
    <mergeCell ref="I52:L52"/>
    <mergeCell ref="I53:L53"/>
    <mergeCell ref="B54:F54"/>
    <mergeCell ref="L65:M65"/>
    <mergeCell ref="L66:M66"/>
    <mergeCell ref="B93:C93"/>
    <mergeCell ref="B94:C94"/>
    <mergeCell ref="B102:C102"/>
    <mergeCell ref="B103:C103"/>
    <mergeCell ref="B104:C104"/>
    <mergeCell ref="B83:C83"/>
    <mergeCell ref="B86:C87"/>
    <mergeCell ref="B88:C88"/>
    <mergeCell ref="B89:C89"/>
    <mergeCell ref="B90:C90"/>
    <mergeCell ref="B91:C91"/>
    <mergeCell ref="B92:C92"/>
    <mergeCell ref="K75:L75"/>
    <mergeCell ref="M75:N75"/>
    <mergeCell ref="P78:R82"/>
    <mergeCell ref="P83:R84"/>
    <mergeCell ref="B85:N85"/>
    <mergeCell ref="P85:R86"/>
    <mergeCell ref="E86:F86"/>
    <mergeCell ref="M86:N86"/>
    <mergeCell ref="P96:R101"/>
    <mergeCell ref="P102:R102"/>
    <mergeCell ref="P103:R103"/>
    <mergeCell ref="P104:R104"/>
    <mergeCell ref="H86:I86"/>
    <mergeCell ref="K86:L86"/>
    <mergeCell ref="P87:R90"/>
    <mergeCell ref="P91:R95"/>
    <mergeCell ref="B98:N98"/>
    <mergeCell ref="B99:C100"/>
    <mergeCell ref="B101:C101"/>
    <mergeCell ref="B55:E55"/>
    <mergeCell ref="I55:M55"/>
    <mergeCell ref="B56:E56"/>
    <mergeCell ref="I56:L56"/>
    <mergeCell ref="B57:E57"/>
    <mergeCell ref="I57:L57"/>
    <mergeCell ref="I58:L58"/>
    <mergeCell ref="I59:L59"/>
    <mergeCell ref="B58:E58"/>
    <mergeCell ref="B59:E59"/>
    <mergeCell ref="B62:C62"/>
    <mergeCell ref="B64:I64"/>
    <mergeCell ref="L64:Q64"/>
    <mergeCell ref="B65:C65"/>
    <mergeCell ref="B66:C66"/>
    <mergeCell ref="E75:F75"/>
    <mergeCell ref="H75:I75"/>
    <mergeCell ref="B67:C67"/>
    <mergeCell ref="B68:C68"/>
    <mergeCell ref="B69:C69"/>
    <mergeCell ref="B72:C72"/>
    <mergeCell ref="B74:N74"/>
    <mergeCell ref="P74:R74"/>
    <mergeCell ref="P75:R77"/>
    <mergeCell ref="B75:C76"/>
    <mergeCell ref="B77:C77"/>
    <mergeCell ref="B78:C78"/>
    <mergeCell ref="B79:C79"/>
    <mergeCell ref="B80:C80"/>
    <mergeCell ref="B81:C81"/>
    <mergeCell ref="B82:C82"/>
    <mergeCell ref="B95:C95"/>
    <mergeCell ref="E99:F99"/>
    <mergeCell ref="H99:I99"/>
    <mergeCell ref="K99:L99"/>
    <mergeCell ref="M99:N99"/>
  </mergeCells>
  <conditionalFormatting sqref="D78:N78">
    <cfRule type="cellIs" dxfId="3" priority="1" operator="lessThan">
      <formula>9000</formula>
    </cfRule>
  </conditionalFormatting>
  <conditionalFormatting sqref="D94:N94">
    <cfRule type="cellIs" dxfId="3" priority="2" operator="lessThan">
      <formula>9000</formula>
    </cfRule>
  </conditionalFormatting>
  <conditionalFormatting sqref="D78:N78">
    <cfRule type="cellIs" dxfId="4" priority="3" operator="greaterThanOrEqual">
      <formula>9000</formula>
    </cfRule>
  </conditionalFormatting>
  <conditionalFormatting sqref="D94:N94">
    <cfRule type="cellIs" dxfId="4" priority="4" operator="greaterThanOrEqual">
      <formula>9000</formula>
    </cfRule>
  </conditionalFormatting>
  <conditionalFormatting sqref="D77:N77 D93:N93">
    <cfRule type="cellIs" dxfId="4" priority="5" operator="greaterThanOrEqual">
      <formula>30</formula>
    </cfRule>
  </conditionalFormatting>
  <conditionalFormatting sqref="D77:N77 D93:N93">
    <cfRule type="cellIs" dxfId="3" priority="6" operator="lessThan">
      <formula>30</formula>
    </cfRule>
  </conditionalFormatting>
  <conditionalFormatting sqref="D101:N106">
    <cfRule type="cellIs" dxfId="4" priority="7" operator="between">
      <formula>-0.05</formula>
      <formula>0.05</formula>
    </cfRule>
  </conditionalFormatting>
  <conditionalFormatting sqref="D101:N106">
    <cfRule type="cellIs" dxfId="5" priority="8" operator="between">
      <formula>0.0500001</formula>
      <formula>0.1</formula>
    </cfRule>
  </conditionalFormatting>
  <conditionalFormatting sqref="D101:N106">
    <cfRule type="cellIs" dxfId="3" priority="9" operator="greaterThan">
      <formula>0.1</formula>
    </cfRule>
  </conditionalFormatting>
  <conditionalFormatting sqref="D101:N106">
    <cfRule type="cellIs" dxfId="6" priority="10" operator="between">
      <formula>-0.050001</formula>
      <formula>-0.1</formula>
    </cfRule>
  </conditionalFormatting>
  <conditionalFormatting sqref="D101:N106">
    <cfRule type="cellIs" dxfId="3" priority="11" operator="lessThan">
      <formula>-0.1</formula>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14" width="15.75"/>
  </cols>
  <sheetData>
    <row r="1">
      <c r="A1" s="444"/>
    </row>
    <row r="2">
      <c r="A2" s="385"/>
      <c r="B2" s="382"/>
      <c r="C2" s="382"/>
      <c r="D2" s="382"/>
      <c r="E2" s="382"/>
      <c r="F2" s="382"/>
      <c r="G2" s="382"/>
      <c r="H2" s="382"/>
      <c r="I2" s="382"/>
      <c r="J2" s="382"/>
      <c r="K2" s="382"/>
      <c r="L2" s="382"/>
      <c r="M2" s="382"/>
      <c r="N2" s="382"/>
      <c r="O2" s="382"/>
      <c r="P2" s="382"/>
      <c r="Q2" s="383"/>
      <c r="R2" s="384"/>
    </row>
    <row r="3">
      <c r="A3" s="385"/>
      <c r="B3" s="388" t="s">
        <v>1</v>
      </c>
      <c r="C3" s="150"/>
      <c r="D3" s="150"/>
      <c r="E3" s="150"/>
      <c r="F3" s="150"/>
      <c r="G3" s="150"/>
      <c r="H3" s="150"/>
      <c r="I3" s="150"/>
      <c r="J3" s="150"/>
      <c r="K3" s="150"/>
      <c r="L3" s="150"/>
      <c r="M3" s="150"/>
      <c r="N3" s="151"/>
      <c r="Q3" s="387"/>
      <c r="R3" s="384"/>
    </row>
    <row r="4">
      <c r="A4" s="385"/>
      <c r="B4" s="389" t="s">
        <v>2</v>
      </c>
      <c r="C4" s="390" t="s">
        <v>3</v>
      </c>
      <c r="D4" s="391" t="s">
        <v>293</v>
      </c>
      <c r="E4" s="391" t="s">
        <v>294</v>
      </c>
      <c r="G4" s="391" t="s">
        <v>293</v>
      </c>
      <c r="H4" s="391" t="s">
        <v>295</v>
      </c>
      <c r="J4" s="391" t="s">
        <v>293</v>
      </c>
      <c r="K4" s="391" t="s">
        <v>138</v>
      </c>
      <c r="N4" s="13"/>
      <c r="Q4" s="387"/>
      <c r="R4" s="384"/>
    </row>
    <row r="5">
      <c r="A5" s="385"/>
      <c r="B5" s="393"/>
      <c r="C5" s="394" t="s">
        <v>130</v>
      </c>
      <c r="D5" s="670"/>
      <c r="E5" s="394" t="s">
        <v>130</v>
      </c>
      <c r="F5" s="395" t="s">
        <v>139</v>
      </c>
      <c r="G5" s="394"/>
      <c r="H5" s="394" t="s">
        <v>130</v>
      </c>
      <c r="I5" s="395" t="s">
        <v>139</v>
      </c>
      <c r="J5" s="396"/>
      <c r="K5" s="396" t="s">
        <v>296</v>
      </c>
      <c r="L5" s="396" t="s">
        <v>303</v>
      </c>
      <c r="M5" s="396" t="s">
        <v>304</v>
      </c>
      <c r="N5" s="397" t="s">
        <v>305</v>
      </c>
      <c r="Q5" s="387"/>
      <c r="R5" s="384"/>
    </row>
    <row r="6">
      <c r="A6" s="385"/>
      <c r="B6" s="398" t="s">
        <v>11</v>
      </c>
      <c r="C6" s="399">
        <v>1003.0</v>
      </c>
      <c r="D6" s="671">
        <f>(C6-1003)/1003</f>
        <v>0</v>
      </c>
      <c r="E6" s="399">
        <v>1855.0</v>
      </c>
      <c r="F6" s="399">
        <f t="shared" ref="F6:F16" si="1">1.15*E6</f>
        <v>2133.25</v>
      </c>
      <c r="G6" s="671">
        <f>(E6-1855)/1855</f>
        <v>0</v>
      </c>
      <c r="H6" s="399">
        <v>4000.0</v>
      </c>
      <c r="I6" s="400">
        <f t="shared" ref="I6:I7" si="2">H6</f>
        <v>4000</v>
      </c>
      <c r="J6" s="671">
        <f>(H6-4000)/4000</f>
        <v>0</v>
      </c>
      <c r="K6" s="399">
        <v>0.0</v>
      </c>
      <c r="N6" s="200"/>
      <c r="Q6" s="387"/>
      <c r="R6" s="384"/>
    </row>
    <row r="7">
      <c r="A7" s="385"/>
      <c r="B7" s="212" t="s">
        <v>12</v>
      </c>
      <c r="C7" s="401">
        <v>715.0</v>
      </c>
      <c r="D7" s="672">
        <f>(C7-715)/715</f>
        <v>0</v>
      </c>
      <c r="E7" s="401">
        <v>3258.5</v>
      </c>
      <c r="F7" s="401">
        <f t="shared" si="1"/>
        <v>3747.275</v>
      </c>
      <c r="G7" s="672">
        <f>(E7-3258.5)/3258.5</f>
        <v>0</v>
      </c>
      <c r="H7" s="401">
        <v>6550.0</v>
      </c>
      <c r="I7" s="213">
        <f t="shared" si="2"/>
        <v>6550</v>
      </c>
      <c r="J7" s="672">
        <f>(H7-6550)/6550</f>
        <v>0</v>
      </c>
      <c r="N7" s="208"/>
      <c r="Q7" s="387"/>
      <c r="R7" s="384"/>
    </row>
    <row r="8">
      <c r="A8" s="385"/>
      <c r="B8" s="398" t="s">
        <v>13</v>
      </c>
      <c r="C8" s="399">
        <v>422.0</v>
      </c>
      <c r="D8" s="671">
        <f>(C8-422)/422</f>
        <v>0</v>
      </c>
      <c r="E8" s="238">
        <v>5110.3</v>
      </c>
      <c r="F8" s="399">
        <f t="shared" si="1"/>
        <v>5876.845</v>
      </c>
      <c r="G8" s="671">
        <f>(E8-5110.3)/5110.3</f>
        <v>0</v>
      </c>
      <c r="H8" s="399">
        <v>3000.0</v>
      </c>
      <c r="I8" s="400">
        <f t="shared" ref="I8:I16" si="3">1.15*H8</f>
        <v>3450</v>
      </c>
      <c r="J8" s="671">
        <f>(H8-3000)/3000</f>
        <v>0</v>
      </c>
      <c r="N8" s="200"/>
      <c r="Q8" s="387"/>
      <c r="R8" s="384"/>
    </row>
    <row r="9">
      <c r="A9" s="385"/>
      <c r="B9" s="212" t="s">
        <v>14</v>
      </c>
      <c r="C9" s="401">
        <v>756.0</v>
      </c>
      <c r="D9" s="672">
        <f>(C9-756)/756</f>
        <v>0</v>
      </c>
      <c r="E9" s="244">
        <v>4257.8</v>
      </c>
      <c r="F9" s="401">
        <f t="shared" si="1"/>
        <v>4896.47</v>
      </c>
      <c r="G9" s="672">
        <f>(E9-4257.8)/4257.8</f>
        <v>0</v>
      </c>
      <c r="H9" s="401">
        <v>6500.0</v>
      </c>
      <c r="I9" s="213">
        <f t="shared" si="3"/>
        <v>7475</v>
      </c>
      <c r="J9" s="672">
        <f>(H9-6500)/6500</f>
        <v>0</v>
      </c>
      <c r="K9" s="402">
        <v>2605.0</v>
      </c>
      <c r="L9" s="402"/>
      <c r="M9" s="402"/>
      <c r="N9" s="403"/>
      <c r="Q9" s="387"/>
      <c r="R9" s="384"/>
    </row>
    <row r="10">
      <c r="A10" s="385"/>
      <c r="B10" s="408" t="s">
        <v>297</v>
      </c>
      <c r="C10" s="399">
        <v>756.0</v>
      </c>
      <c r="D10" s="671">
        <f>(C10*2-756)/756</f>
        <v>1</v>
      </c>
      <c r="E10" s="399">
        <v>4257.8</v>
      </c>
      <c r="F10" s="399">
        <f t="shared" si="1"/>
        <v>4896.47</v>
      </c>
      <c r="G10" s="671">
        <f>(2*E10-4257.8)/4257.8</f>
        <v>1</v>
      </c>
      <c r="H10" s="399">
        <v>5600.0</v>
      </c>
      <c r="I10" s="400">
        <f t="shared" si="3"/>
        <v>6440</v>
      </c>
      <c r="J10" s="671">
        <f>(2*H10-5600)/5600</f>
        <v>1</v>
      </c>
      <c r="K10" s="402">
        <v>2605.0</v>
      </c>
      <c r="L10" s="402"/>
      <c r="M10" s="402"/>
      <c r="N10" s="403"/>
      <c r="Q10" s="387"/>
      <c r="R10" s="384"/>
    </row>
    <row r="11">
      <c r="A11" s="385"/>
      <c r="B11" s="212" t="s">
        <v>15</v>
      </c>
      <c r="C11" s="401">
        <v>388.0</v>
      </c>
      <c r="D11" s="672">
        <f>(C11-388)/38</f>
        <v>0</v>
      </c>
      <c r="E11" s="401">
        <v>8300.0</v>
      </c>
      <c r="F11" s="401">
        <f t="shared" si="1"/>
        <v>9545</v>
      </c>
      <c r="G11" s="672">
        <f>(E11-8300)/8300</f>
        <v>0</v>
      </c>
      <c r="H11" s="401">
        <v>0.0</v>
      </c>
      <c r="I11" s="213">
        <f t="shared" si="3"/>
        <v>0</v>
      </c>
      <c r="J11" s="672">
        <f>(H11-0)/5600</f>
        <v>0</v>
      </c>
      <c r="K11" s="673">
        <v>5868.0</v>
      </c>
      <c r="L11" s="673"/>
      <c r="M11" s="406"/>
      <c r="N11" s="407"/>
      <c r="Q11" s="387"/>
      <c r="R11" s="384"/>
    </row>
    <row r="12">
      <c r="A12" s="385"/>
      <c r="B12" s="398" t="s">
        <v>16</v>
      </c>
      <c r="C12" s="399">
        <v>400.0</v>
      </c>
      <c r="D12" s="671">
        <f>(C12-334)/334</f>
        <v>0.1976047904</v>
      </c>
      <c r="E12" s="399">
        <v>2665.7</v>
      </c>
      <c r="F12" s="399">
        <f t="shared" si="1"/>
        <v>3065.555</v>
      </c>
      <c r="G12" s="671">
        <f>(E12-2665.7)/2665.7</f>
        <v>0</v>
      </c>
      <c r="H12" s="399">
        <v>4500.0</v>
      </c>
      <c r="I12" s="400">
        <f t="shared" si="3"/>
        <v>5175</v>
      </c>
      <c r="J12" s="671">
        <f>(H12-4000)/4000</f>
        <v>0.125</v>
      </c>
      <c r="K12" s="399">
        <v>0.0</v>
      </c>
      <c r="N12" s="200"/>
      <c r="Q12" s="387"/>
      <c r="R12" s="384"/>
    </row>
    <row r="13">
      <c r="A13" s="385"/>
      <c r="B13" s="674" t="s">
        <v>17</v>
      </c>
      <c r="C13" s="401">
        <f>C12+C11+C14+0.5*(C15-250)+0.3*C9</f>
        <v>1655.8</v>
      </c>
      <c r="D13" s="672">
        <f>(C13-1655.8)/1665.8</f>
        <v>0</v>
      </c>
      <c r="E13" s="401">
        <v>160.0</v>
      </c>
      <c r="F13" s="401">
        <f t="shared" si="1"/>
        <v>184</v>
      </c>
      <c r="G13" s="672">
        <f>(E13-160)/160</f>
        <v>0</v>
      </c>
      <c r="H13" s="401">
        <v>2250.0</v>
      </c>
      <c r="I13" s="213">
        <f t="shared" si="3"/>
        <v>2587.5</v>
      </c>
      <c r="J13" s="672">
        <f>(H13-2250)/2250</f>
        <v>0</v>
      </c>
      <c r="N13" s="208"/>
      <c r="Q13" s="387"/>
      <c r="R13" s="384"/>
    </row>
    <row r="14">
      <c r="A14" s="385"/>
      <c r="B14" s="398" t="s">
        <v>18</v>
      </c>
      <c r="C14" s="399">
        <v>388.0</v>
      </c>
      <c r="D14" s="671">
        <f>(C14-388)/388</f>
        <v>0</v>
      </c>
      <c r="E14" s="399">
        <v>8300.0</v>
      </c>
      <c r="F14" s="399">
        <f t="shared" si="1"/>
        <v>9545</v>
      </c>
      <c r="G14" s="671">
        <f>(E14-8300)/8300</f>
        <v>0</v>
      </c>
      <c r="H14" s="399">
        <v>0.0</v>
      </c>
      <c r="I14" s="400">
        <f t="shared" si="3"/>
        <v>0</v>
      </c>
      <c r="J14" s="671">
        <f>(H14-0)/5600</f>
        <v>0</v>
      </c>
      <c r="K14" s="675">
        <v>9547.0</v>
      </c>
      <c r="L14" s="409"/>
      <c r="M14" s="409"/>
      <c r="N14" s="410"/>
      <c r="Q14" s="387"/>
      <c r="R14" s="384"/>
    </row>
    <row r="15">
      <c r="A15" s="385"/>
      <c r="B15" s="212" t="s">
        <v>19</v>
      </c>
      <c r="C15" s="401">
        <v>756.0</v>
      </c>
      <c r="D15" s="672">
        <f>(C15-756)/756</f>
        <v>0</v>
      </c>
      <c r="E15" s="401">
        <v>9100.0</v>
      </c>
      <c r="F15" s="401">
        <f t="shared" si="1"/>
        <v>10465</v>
      </c>
      <c r="G15" s="672">
        <f>(E15-9100)/9100</f>
        <v>0</v>
      </c>
      <c r="H15" s="401">
        <v>15000.0</v>
      </c>
      <c r="I15" s="213">
        <f t="shared" si="3"/>
        <v>17250</v>
      </c>
      <c r="J15" s="672">
        <f>(H15-13000)/13000</f>
        <v>0.1538461538</v>
      </c>
      <c r="K15" s="401">
        <v>0.0</v>
      </c>
      <c r="N15" s="208"/>
      <c r="Q15" s="387"/>
      <c r="R15" s="384"/>
    </row>
    <row r="16">
      <c r="A16" s="385"/>
      <c r="B16" s="408" t="s">
        <v>239</v>
      </c>
      <c r="C16" s="399">
        <v>400.0</v>
      </c>
      <c r="D16" s="671">
        <f>((C16-288)/288)</f>
        <v>0.3888888889</v>
      </c>
      <c r="E16" s="399">
        <v>400.0</v>
      </c>
      <c r="F16" s="399">
        <f t="shared" si="1"/>
        <v>460</v>
      </c>
      <c r="G16" s="671">
        <f>(E16-288)/288</f>
        <v>0.3888888889</v>
      </c>
      <c r="H16" s="399">
        <v>600.0</v>
      </c>
      <c r="I16" s="400">
        <f t="shared" si="3"/>
        <v>690</v>
      </c>
      <c r="J16" s="671">
        <f>(H16-600)/600</f>
        <v>0</v>
      </c>
      <c r="K16" s="400"/>
      <c r="L16" s="400"/>
      <c r="M16" s="400"/>
      <c r="N16" s="676"/>
      <c r="Q16" s="387"/>
      <c r="R16" s="384"/>
    </row>
    <row r="17">
      <c r="A17" s="385"/>
      <c r="B17" s="411" t="s">
        <v>144</v>
      </c>
      <c r="C17" s="412">
        <f>SUM(C6:C16)-C13</f>
        <v>5984</v>
      </c>
      <c r="D17" s="677">
        <f>((C17-5050)/5050)</f>
        <v>0.184950495</v>
      </c>
      <c r="E17" s="412">
        <f>SUM(E6:E16)</f>
        <v>47665.1</v>
      </c>
      <c r="F17" s="412">
        <f>SUM(F6:F15)</f>
        <v>54354.865</v>
      </c>
      <c r="G17" s="677">
        <f>(E17-43000)/43000</f>
        <v>0.1084906977</v>
      </c>
      <c r="H17" s="412">
        <f>SUM(H6:H16)</f>
        <v>48000</v>
      </c>
      <c r="I17" s="412">
        <f>SUM(I6:I15)</f>
        <v>52927.5</v>
      </c>
      <c r="J17" s="677">
        <f>(H17-31441)/31441</f>
        <v>0.5266689991</v>
      </c>
      <c r="K17" s="412">
        <f t="shared" ref="K17:N17" si="4">SUM(K6:K15)</f>
        <v>20625</v>
      </c>
      <c r="L17" s="412">
        <f t="shared" si="4"/>
        <v>0</v>
      </c>
      <c r="M17" s="412">
        <f t="shared" si="4"/>
        <v>0</v>
      </c>
      <c r="N17" s="413">
        <f t="shared" si="4"/>
        <v>0</v>
      </c>
      <c r="Q17" s="387"/>
      <c r="R17" s="384"/>
    </row>
    <row r="18">
      <c r="A18" s="385"/>
      <c r="Q18" s="387"/>
      <c r="R18" s="384"/>
    </row>
    <row r="19">
      <c r="A19" s="385"/>
      <c r="Q19" s="387"/>
      <c r="R19" s="384"/>
    </row>
    <row r="20">
      <c r="A20" s="385"/>
      <c r="B20" s="418" t="s">
        <v>145</v>
      </c>
      <c r="C20" s="150"/>
      <c r="D20" s="150"/>
      <c r="E20" s="150"/>
      <c r="F20" s="150"/>
      <c r="G20" s="150"/>
      <c r="H20" s="150"/>
      <c r="I20" s="150"/>
      <c r="J20" s="150"/>
      <c r="K20" s="150"/>
      <c r="L20" s="151"/>
      <c r="N20" s="418" t="s">
        <v>146</v>
      </c>
      <c r="O20" s="150"/>
      <c r="P20" s="151"/>
      <c r="Q20" s="387"/>
      <c r="R20" s="384"/>
    </row>
    <row r="21">
      <c r="A21" s="426"/>
      <c r="B21" s="419" t="s">
        <v>299</v>
      </c>
      <c r="D21" s="396"/>
      <c r="E21" s="396" t="s">
        <v>303</v>
      </c>
      <c r="G21" s="396"/>
      <c r="H21" s="396" t="s">
        <v>304</v>
      </c>
      <c r="J21" s="396"/>
      <c r="K21" s="396" t="s">
        <v>305</v>
      </c>
      <c r="L21" s="13"/>
      <c r="N21" s="420" t="s">
        <v>130</v>
      </c>
      <c r="P21" s="421">
        <f>E17+H17</f>
        <v>95665.1</v>
      </c>
      <c r="Q21" s="387"/>
      <c r="R21" s="384"/>
    </row>
    <row r="22">
      <c r="A22" s="385"/>
      <c r="B22" s="422" t="s">
        <v>130</v>
      </c>
      <c r="C22" s="395" t="s">
        <v>139</v>
      </c>
      <c r="D22" s="394"/>
      <c r="E22" s="394"/>
      <c r="F22" s="678"/>
      <c r="G22" s="394"/>
      <c r="H22" s="394"/>
      <c r="I22" s="678"/>
      <c r="J22" s="394"/>
      <c r="K22" s="394"/>
      <c r="L22" s="679"/>
      <c r="N22" s="424" t="s">
        <v>139</v>
      </c>
      <c r="O22" s="7"/>
      <c r="P22" s="425">
        <f>F17+I17</f>
        <v>107282.365</v>
      </c>
      <c r="Q22" s="387"/>
      <c r="R22" s="384"/>
    </row>
    <row r="23">
      <c r="A23" s="385"/>
      <c r="B23" s="427">
        <f>P21+K17</f>
        <v>116290.1</v>
      </c>
      <c r="C23" s="428">
        <f>B23*1.15</f>
        <v>133733.615</v>
      </c>
      <c r="D23" s="428"/>
      <c r="E23" s="428"/>
      <c r="F23" s="428"/>
      <c r="G23" s="428"/>
      <c r="H23" s="428"/>
      <c r="I23" s="428"/>
      <c r="J23" s="428"/>
      <c r="K23" s="428"/>
      <c r="L23" s="429"/>
      <c r="Q23" s="387"/>
      <c r="R23" s="384"/>
    </row>
    <row r="24">
      <c r="A24" s="385"/>
      <c r="Q24" s="387"/>
      <c r="R24" s="384"/>
    </row>
    <row r="25">
      <c r="A25" s="385"/>
      <c r="Q25" s="387"/>
      <c r="R25" s="384"/>
    </row>
    <row r="26">
      <c r="A26" s="385"/>
      <c r="Q26" s="387"/>
      <c r="R26" s="384"/>
    </row>
    <row r="27">
      <c r="A27" s="385"/>
      <c r="Q27" s="387"/>
      <c r="R27" s="384"/>
    </row>
    <row r="28">
      <c r="A28" s="385"/>
      <c r="Q28" s="387"/>
      <c r="R28" s="384"/>
    </row>
    <row r="29">
      <c r="A29" s="385"/>
      <c r="B29" s="373" t="s">
        <v>306</v>
      </c>
      <c r="Q29" s="387"/>
      <c r="R29" s="384"/>
    </row>
    <row r="30">
      <c r="A30" s="385"/>
      <c r="B30" s="373" t="s">
        <v>307</v>
      </c>
      <c r="Q30" s="387"/>
      <c r="R30" s="384"/>
    </row>
    <row r="31">
      <c r="A31" s="385"/>
      <c r="Q31" s="387"/>
      <c r="R31" s="384"/>
    </row>
    <row r="32">
      <c r="A32" s="385"/>
      <c r="Q32" s="387"/>
      <c r="R32" s="384"/>
    </row>
    <row r="33">
      <c r="A33" s="444"/>
      <c r="Q33" s="387"/>
      <c r="R33" s="384"/>
    </row>
    <row r="34">
      <c r="A34" s="385"/>
      <c r="B34" s="450"/>
      <c r="C34" s="450"/>
      <c r="D34" s="451"/>
      <c r="E34" s="451"/>
      <c r="F34" s="452"/>
      <c r="G34" s="453"/>
      <c r="H34" s="453"/>
      <c r="I34" s="452"/>
      <c r="J34" s="452"/>
      <c r="K34" s="452"/>
      <c r="L34" s="452"/>
      <c r="M34" s="452"/>
      <c r="N34" s="452"/>
      <c r="O34" s="452"/>
      <c r="P34" s="452"/>
      <c r="Q34" s="452"/>
      <c r="R34" s="416"/>
    </row>
    <row r="35">
      <c r="A35" s="385"/>
      <c r="B35" s="454" t="s">
        <v>153</v>
      </c>
      <c r="F35" s="416"/>
      <c r="G35" s="400"/>
      <c r="H35" s="400"/>
      <c r="I35" s="416"/>
      <c r="J35" s="416"/>
      <c r="K35" s="416"/>
      <c r="L35" s="416"/>
      <c r="M35" s="416"/>
      <c r="N35" s="416"/>
      <c r="Q35" s="387"/>
      <c r="R35" s="384"/>
    </row>
    <row r="36">
      <c r="A36" s="385"/>
      <c r="M36" s="416"/>
      <c r="N36" s="416"/>
      <c r="Q36" s="387"/>
      <c r="R36" s="384"/>
    </row>
    <row r="37">
      <c r="A37" s="385"/>
      <c r="B37" s="455" t="s">
        <v>156</v>
      </c>
      <c r="C37" s="150"/>
      <c r="D37" s="150"/>
      <c r="E37" s="150"/>
      <c r="F37" s="150"/>
      <c r="G37" s="150"/>
      <c r="H37" s="150"/>
      <c r="I37" s="150"/>
      <c r="J37" s="150"/>
      <c r="K37" s="150"/>
      <c r="L37" s="151"/>
      <c r="Q37" s="387"/>
      <c r="R37" s="384"/>
    </row>
    <row r="38">
      <c r="A38" s="385"/>
      <c r="B38" s="682" t="s">
        <v>308</v>
      </c>
      <c r="G38" s="683"/>
      <c r="H38" s="683" t="s">
        <v>309</v>
      </c>
      <c r="L38" s="13"/>
      <c r="Q38" s="387"/>
      <c r="R38" s="384"/>
    </row>
    <row r="39">
      <c r="A39" s="385"/>
      <c r="B39" s="460" t="s">
        <v>310</v>
      </c>
      <c r="F39" s="462">
        <v>6500.0</v>
      </c>
      <c r="H39" s="684" t="s">
        <v>310</v>
      </c>
      <c r="L39" s="459">
        <v>7500.0</v>
      </c>
      <c r="Q39" s="387"/>
      <c r="R39" s="384"/>
    </row>
    <row r="40">
      <c r="A40" s="385"/>
      <c r="B40" s="460" t="s">
        <v>311</v>
      </c>
      <c r="F40" s="462">
        <v>2.832</v>
      </c>
      <c r="H40" s="684" t="s">
        <v>311</v>
      </c>
      <c r="L40" s="459">
        <v>3.172</v>
      </c>
      <c r="Q40" s="387"/>
      <c r="R40" s="384"/>
    </row>
    <row r="41">
      <c r="A41" s="385"/>
      <c r="B41" s="460" t="s">
        <v>312</v>
      </c>
      <c r="F41" s="462">
        <f>F40/(1+K70)</f>
        <v>1.1328</v>
      </c>
      <c r="H41" s="684" t="s">
        <v>312</v>
      </c>
      <c r="L41" s="435">
        <f>L40/(1+K70)</f>
        <v>1.2688</v>
      </c>
      <c r="Q41" s="387"/>
      <c r="R41" s="384"/>
    </row>
    <row r="42">
      <c r="A42" s="385"/>
      <c r="B42" s="460" t="s">
        <v>313</v>
      </c>
      <c r="F42" s="431">
        <f>F40-F41</f>
        <v>1.6992</v>
      </c>
      <c r="H42" s="684" t="s">
        <v>313</v>
      </c>
      <c r="L42" s="435">
        <f>L40-L41</f>
        <v>1.9032</v>
      </c>
      <c r="Q42" s="387"/>
      <c r="R42" s="384"/>
    </row>
    <row r="43">
      <c r="A43" s="385"/>
      <c r="B43" s="460" t="s">
        <v>162</v>
      </c>
      <c r="F43" s="431">
        <f t="shared" ref="F43:F44" si="5">1000*F41/K76</f>
        <v>1.398518519</v>
      </c>
      <c r="H43" s="684" t="s">
        <v>162</v>
      </c>
      <c r="L43" s="435">
        <f t="shared" ref="L43:L44" si="6">1000*L41/K76</f>
        <v>1.566419753</v>
      </c>
      <c r="Q43" s="387"/>
      <c r="R43" s="384"/>
    </row>
    <row r="44">
      <c r="A44" s="385"/>
      <c r="B44" s="465" t="s">
        <v>165</v>
      </c>
      <c r="C44" s="7"/>
      <c r="D44" s="7"/>
      <c r="E44" s="7"/>
      <c r="F44" s="428">
        <f t="shared" si="5"/>
        <v>1.489219982</v>
      </c>
      <c r="G44" s="466"/>
      <c r="H44" s="685" t="s">
        <v>165</v>
      </c>
      <c r="I44" s="7"/>
      <c r="J44" s="7"/>
      <c r="K44" s="7"/>
      <c r="L44" s="429">
        <f t="shared" si="6"/>
        <v>1.668010517</v>
      </c>
      <c r="M44" s="686"/>
      <c r="Q44" s="387"/>
      <c r="R44" s="384"/>
    </row>
    <row r="45">
      <c r="A45" s="385"/>
      <c r="Q45" s="387"/>
      <c r="R45" s="384"/>
    </row>
    <row r="46">
      <c r="A46" s="385"/>
      <c r="B46" s="455" t="s">
        <v>28</v>
      </c>
      <c r="C46" s="150"/>
      <c r="D46" s="150"/>
      <c r="E46" s="151"/>
      <c r="G46" s="455" t="s">
        <v>178</v>
      </c>
      <c r="H46" s="150"/>
      <c r="I46" s="150"/>
      <c r="J46" s="150"/>
      <c r="K46" s="151"/>
      <c r="M46" s="468" t="s">
        <v>170</v>
      </c>
      <c r="N46" s="469"/>
      <c r="O46" s="469"/>
      <c r="P46" s="469"/>
      <c r="Q46" s="470"/>
      <c r="R46" s="687"/>
    </row>
    <row r="47">
      <c r="A47" s="385"/>
      <c r="B47" s="455" t="s">
        <v>299</v>
      </c>
      <c r="C47" s="150"/>
      <c r="D47" s="150"/>
      <c r="E47" s="151"/>
      <c r="G47" s="460" t="s">
        <v>179</v>
      </c>
      <c r="K47" s="457">
        <v>0.4</v>
      </c>
      <c r="M47" s="472" t="s">
        <v>314</v>
      </c>
      <c r="Q47" s="473">
        <v>29000.0</v>
      </c>
      <c r="R47" s="687"/>
    </row>
    <row r="48">
      <c r="A48" s="385"/>
      <c r="B48" s="456" t="s">
        <v>155</v>
      </c>
      <c r="E48" s="457">
        <v>16.0</v>
      </c>
      <c r="G48" s="460" t="s">
        <v>299</v>
      </c>
      <c r="K48" s="457">
        <f>Q47/$F39</f>
        <v>4.461538462</v>
      </c>
      <c r="M48" s="472" t="s">
        <v>315</v>
      </c>
      <c r="Q48" s="473" t="s">
        <v>316</v>
      </c>
      <c r="R48" s="687"/>
      <c r="T48" s="462"/>
    </row>
    <row r="49">
      <c r="A49" s="385"/>
      <c r="B49" s="458" t="s">
        <v>157</v>
      </c>
      <c r="E49" s="459">
        <f>E48-E57</f>
        <v>7.227</v>
      </c>
      <c r="G49" s="460" t="s">
        <v>303</v>
      </c>
      <c r="K49" s="457" t="str">
        <f>Q48/$L39</f>
        <v>#VALUE!</v>
      </c>
      <c r="M49" s="472" t="s">
        <v>317</v>
      </c>
      <c r="Q49" s="473" t="s">
        <v>316</v>
      </c>
      <c r="R49" s="687"/>
    </row>
    <row r="50">
      <c r="A50" s="385"/>
      <c r="B50" s="458" t="s">
        <v>158</v>
      </c>
      <c r="E50" s="457">
        <f>(1.391*1000)/K77</f>
        <v>1.219106047</v>
      </c>
      <c r="G50" s="460" t="s">
        <v>304</v>
      </c>
      <c r="K50" s="457" t="str">
        <f>Q49/$F39</f>
        <v>#VALUE!</v>
      </c>
      <c r="M50" s="472" t="s">
        <v>318</v>
      </c>
      <c r="Q50" s="473" t="s">
        <v>316</v>
      </c>
      <c r="R50" s="687"/>
    </row>
    <row r="51">
      <c r="A51" s="385"/>
      <c r="B51" s="458" t="s">
        <v>159</v>
      </c>
      <c r="E51" s="457">
        <v>0.0</v>
      </c>
      <c r="G51" s="460" t="s">
        <v>305</v>
      </c>
      <c r="K51" s="457" t="str">
        <f>Q50/$L39</f>
        <v>#VALUE!</v>
      </c>
      <c r="M51" s="472" t="s">
        <v>319</v>
      </c>
      <c r="Q51" s="473">
        <f>K52*F39</f>
        <v>151802.0833</v>
      </c>
      <c r="R51" s="687"/>
    </row>
    <row r="52">
      <c r="A52" s="385"/>
      <c r="B52" s="458" t="s">
        <v>320</v>
      </c>
      <c r="E52" s="457">
        <v>0.5</v>
      </c>
      <c r="G52" s="460" t="s">
        <v>319</v>
      </c>
      <c r="K52" s="457">
        <f>K63*F40</f>
        <v>23.35416667</v>
      </c>
      <c r="M52" s="472" t="s">
        <v>321</v>
      </c>
      <c r="Q52" s="473">
        <f>K53*L39</f>
        <v>175156.25</v>
      </c>
      <c r="R52" s="687"/>
    </row>
    <row r="53">
      <c r="A53" s="385"/>
      <c r="B53" s="458" t="s">
        <v>322</v>
      </c>
      <c r="E53" s="457">
        <v>0.5</v>
      </c>
      <c r="G53" s="460" t="s">
        <v>321</v>
      </c>
      <c r="K53" s="457">
        <f>K64*L40</f>
        <v>23.35416667</v>
      </c>
      <c r="M53" s="472" t="s">
        <v>323</v>
      </c>
      <c r="Q53" s="473">
        <f>K54*F39</f>
        <v>263049.5833</v>
      </c>
      <c r="R53" s="687"/>
    </row>
    <row r="54">
      <c r="A54" s="385"/>
      <c r="B54" s="456" t="s">
        <v>324</v>
      </c>
      <c r="E54" s="457">
        <v>8.273</v>
      </c>
      <c r="G54" s="460" t="s">
        <v>323</v>
      </c>
      <c r="K54" s="457">
        <f>K65*F40</f>
        <v>40.46916667</v>
      </c>
      <c r="M54" s="472" t="s">
        <v>325</v>
      </c>
      <c r="Q54" s="473">
        <f>K55*L39</f>
        <v>303518.75</v>
      </c>
      <c r="R54" s="687"/>
    </row>
    <row r="55">
      <c r="A55" s="385"/>
      <c r="B55" s="456" t="s">
        <v>326</v>
      </c>
      <c r="E55" s="457">
        <v>7.244</v>
      </c>
      <c r="G55" s="465" t="s">
        <v>325</v>
      </c>
      <c r="H55" s="7"/>
      <c r="I55" s="7"/>
      <c r="J55" s="7"/>
      <c r="K55" s="479">
        <f>K66*L40</f>
        <v>40.46916667</v>
      </c>
      <c r="M55" s="472" t="s">
        <v>176</v>
      </c>
      <c r="Q55" s="473">
        <v>234.0</v>
      </c>
      <c r="R55" s="687"/>
    </row>
    <row r="56">
      <c r="A56" s="385"/>
      <c r="B56" s="456" t="s">
        <v>327</v>
      </c>
      <c r="E56" s="457">
        <f>E54/E48</f>
        <v>0.5170625</v>
      </c>
      <c r="M56" s="476" t="s">
        <v>177</v>
      </c>
      <c r="N56" s="477"/>
      <c r="O56" s="477"/>
      <c r="P56" s="477"/>
      <c r="Q56" s="688">
        <v>241.0</v>
      </c>
      <c r="R56" s="687"/>
    </row>
    <row r="57">
      <c r="A57" s="385"/>
      <c r="B57" s="467" t="s">
        <v>168</v>
      </c>
      <c r="C57" s="7"/>
      <c r="D57" s="7"/>
      <c r="E57" s="429">
        <f>MAX(E54,E55)+E53+E51</f>
        <v>8.773</v>
      </c>
      <c r="Q57" s="387"/>
      <c r="R57" s="384"/>
    </row>
    <row r="58">
      <c r="A58" s="385"/>
      <c r="B58" s="455" t="s">
        <v>303</v>
      </c>
      <c r="C58" s="150"/>
      <c r="D58" s="150"/>
      <c r="E58" s="151"/>
      <c r="G58" s="455" t="s">
        <v>180</v>
      </c>
      <c r="H58" s="150"/>
      <c r="I58" s="150"/>
      <c r="J58" s="150"/>
      <c r="K58" s="151"/>
      <c r="Q58" s="387"/>
      <c r="R58" s="384"/>
    </row>
    <row r="59">
      <c r="A59" s="385"/>
      <c r="B59" s="456" t="s">
        <v>155</v>
      </c>
      <c r="E59" s="457">
        <v>16.0</v>
      </c>
      <c r="G59" s="460" t="s">
        <v>299</v>
      </c>
      <c r="K59" s="457">
        <f>F40*K48</f>
        <v>12.63507692</v>
      </c>
      <c r="Q59" s="387"/>
      <c r="R59" s="384"/>
    </row>
    <row r="60">
      <c r="A60" s="385"/>
      <c r="B60" s="458" t="s">
        <v>157</v>
      </c>
      <c r="E60" s="459" t="str">
        <f>E59-E68</f>
        <v>#DIV/0!</v>
      </c>
      <c r="G60" s="460" t="s">
        <v>303</v>
      </c>
      <c r="K60" s="435" t="str">
        <f>L40*K49</f>
        <v>#VALUE!</v>
      </c>
      <c r="Q60" s="387"/>
      <c r="R60" s="384"/>
    </row>
    <row r="61">
      <c r="A61" s="385"/>
      <c r="B61" s="458" t="s">
        <v>158</v>
      </c>
      <c r="E61" s="457">
        <f>(1.391*1000)/K77</f>
        <v>1.219106047</v>
      </c>
      <c r="G61" s="460" t="s">
        <v>304</v>
      </c>
      <c r="K61" s="435" t="str">
        <f>F40*K50</f>
        <v>#VALUE!</v>
      </c>
      <c r="Q61" s="387"/>
      <c r="R61" s="384"/>
    </row>
    <row r="62">
      <c r="A62" s="385"/>
      <c r="B62" s="458" t="s">
        <v>159</v>
      </c>
      <c r="E62" s="457">
        <v>0.0</v>
      </c>
      <c r="G62" s="460" t="s">
        <v>305</v>
      </c>
      <c r="K62" s="435" t="str">
        <f>L40*K51</f>
        <v>#VALUE!</v>
      </c>
      <c r="Q62" s="387"/>
      <c r="R62" s="384"/>
    </row>
    <row r="63">
      <c r="A63" s="385"/>
      <c r="B63" s="458" t="s">
        <v>320</v>
      </c>
      <c r="E63" s="457">
        <v>0.5</v>
      </c>
      <c r="G63" s="460" t="s">
        <v>319</v>
      </c>
      <c r="K63" s="457">
        <f>E98/F44</f>
        <v>8.246527778</v>
      </c>
      <c r="Q63" s="387"/>
      <c r="R63" s="384"/>
    </row>
    <row r="64">
      <c r="A64" s="385"/>
      <c r="B64" s="458" t="s">
        <v>322</v>
      </c>
      <c r="E64" s="457">
        <v>0.5</v>
      </c>
      <c r="G64" s="460" t="s">
        <v>321</v>
      </c>
      <c r="K64" s="457">
        <f>E98/L44</f>
        <v>7.362599832</v>
      </c>
      <c r="Q64" s="387"/>
      <c r="R64" s="384"/>
    </row>
    <row r="65">
      <c r="A65" s="385"/>
      <c r="B65" s="456" t="s">
        <v>324</v>
      </c>
      <c r="E65" s="435" t="str">
        <f>U85/X94*1000</f>
        <v>#DIV/0!</v>
      </c>
      <c r="G65" s="460" t="s">
        <v>323</v>
      </c>
      <c r="K65" s="457">
        <f>E108/F44</f>
        <v>14.28995998</v>
      </c>
      <c r="Q65" s="387"/>
      <c r="R65" s="384"/>
    </row>
    <row r="66">
      <c r="A66" s="385"/>
      <c r="B66" s="456" t="s">
        <v>326</v>
      </c>
      <c r="E66" s="435" t="str">
        <f>U84/X93*1000</f>
        <v>#DIV/0!</v>
      </c>
      <c r="G66" s="465" t="s">
        <v>325</v>
      </c>
      <c r="H66" s="7"/>
      <c r="I66" s="7"/>
      <c r="J66" s="7"/>
      <c r="K66" s="479">
        <f>E108/L44</f>
        <v>12.75824926</v>
      </c>
      <c r="Q66" s="387"/>
      <c r="R66" s="384"/>
    </row>
    <row r="67">
      <c r="A67" s="385"/>
      <c r="B67" s="456" t="s">
        <v>167</v>
      </c>
      <c r="E67" s="457" t="str">
        <f>E65/E59</f>
        <v>#DIV/0!</v>
      </c>
      <c r="Q67" s="387"/>
      <c r="R67" s="384"/>
    </row>
    <row r="68">
      <c r="A68" s="385"/>
      <c r="B68" s="467" t="s">
        <v>168</v>
      </c>
      <c r="C68" s="7"/>
      <c r="D68" s="7"/>
      <c r="E68" s="429" t="str">
        <f>MAX(E65,E66)+E64+E62</f>
        <v>#DIV/0!</v>
      </c>
      <c r="Q68" s="387"/>
      <c r="R68" s="384"/>
    </row>
    <row r="69">
      <c r="A69" s="385"/>
      <c r="B69" s="455" t="s">
        <v>304</v>
      </c>
      <c r="C69" s="150"/>
      <c r="D69" s="150"/>
      <c r="E69" s="151"/>
      <c r="G69" s="455" t="s">
        <v>169</v>
      </c>
      <c r="H69" s="150"/>
      <c r="I69" s="150"/>
      <c r="J69" s="150"/>
      <c r="K69" s="151"/>
      <c r="Q69" s="387"/>
      <c r="R69" s="384"/>
    </row>
    <row r="70">
      <c r="A70" s="385"/>
      <c r="B70" s="456" t="s">
        <v>155</v>
      </c>
      <c r="E70" s="457">
        <v>16.0</v>
      </c>
      <c r="G70" s="460" t="s">
        <v>173</v>
      </c>
      <c r="K70" s="457">
        <v>1.5</v>
      </c>
      <c r="Q70" s="387"/>
      <c r="R70" s="384"/>
    </row>
    <row r="71">
      <c r="A71" s="385"/>
      <c r="B71" s="458" t="s">
        <v>157</v>
      </c>
      <c r="E71" s="459" t="str">
        <f>E70-E79</f>
        <v>#DIV/0!</v>
      </c>
      <c r="G71" s="460" t="s">
        <v>328</v>
      </c>
      <c r="K71" s="689">
        <v>45784.0</v>
      </c>
      <c r="Q71" s="387"/>
      <c r="R71" s="384"/>
    </row>
    <row r="72">
      <c r="A72" s="385"/>
      <c r="B72" s="458" t="s">
        <v>158</v>
      </c>
      <c r="E72" s="457">
        <f>(1.391*1000)/K77</f>
        <v>1.219106047</v>
      </c>
      <c r="G72" s="460" t="s">
        <v>329</v>
      </c>
      <c r="K72" s="689">
        <v>45783.0</v>
      </c>
      <c r="Q72" s="387"/>
      <c r="R72" s="384"/>
    </row>
    <row r="73">
      <c r="A73" s="385"/>
      <c r="B73" s="458" t="s">
        <v>159</v>
      </c>
      <c r="E73" s="457">
        <v>0.0</v>
      </c>
      <c r="G73" s="460" t="s">
        <v>330</v>
      </c>
      <c r="K73" s="457">
        <v>241.243</v>
      </c>
      <c r="Q73" s="387"/>
      <c r="R73" s="384"/>
    </row>
    <row r="74">
      <c r="A74" s="385"/>
      <c r="B74" s="458" t="s">
        <v>320</v>
      </c>
      <c r="E74" s="457">
        <v>0.5</v>
      </c>
      <c r="G74" s="460" t="s">
        <v>331</v>
      </c>
      <c r="K74" s="689">
        <v>45784.0</v>
      </c>
      <c r="Q74" s="387"/>
      <c r="R74" s="384"/>
    </row>
    <row r="75">
      <c r="A75" s="385"/>
      <c r="B75" s="458" t="s">
        <v>322</v>
      </c>
      <c r="E75" s="457">
        <v>0.5</v>
      </c>
      <c r="G75" s="471" t="s">
        <v>63</v>
      </c>
      <c r="K75" s="457">
        <v>113.6</v>
      </c>
      <c r="Q75" s="387"/>
      <c r="R75" s="384"/>
    </row>
    <row r="76">
      <c r="A76" s="385"/>
      <c r="B76" s="456" t="s">
        <v>324</v>
      </c>
      <c r="E76" s="435" t="str">
        <f>U96/X105*1000</f>
        <v>#DIV/0!</v>
      </c>
      <c r="G76" s="460" t="s">
        <v>46</v>
      </c>
      <c r="K76" s="435">
        <v>810.0</v>
      </c>
      <c r="Q76" s="387"/>
      <c r="R76" s="384"/>
    </row>
    <row r="77">
      <c r="A77" s="385"/>
      <c r="B77" s="456" t="s">
        <v>326</v>
      </c>
      <c r="E77" s="435" t="str">
        <f>U95/X104*1000</f>
        <v>#DIV/0!</v>
      </c>
      <c r="G77" s="475" t="s">
        <v>47</v>
      </c>
      <c r="H77" s="7"/>
      <c r="I77" s="7"/>
      <c r="J77" s="7"/>
      <c r="K77" s="429">
        <v>1141.0</v>
      </c>
      <c r="Q77" s="387"/>
      <c r="R77" s="384"/>
    </row>
    <row r="78">
      <c r="A78" s="385"/>
      <c r="B78" s="456" t="s">
        <v>167</v>
      </c>
      <c r="E78" s="457" t="str">
        <f>E76/E70</f>
        <v>#DIV/0!</v>
      </c>
      <c r="Q78" s="387"/>
      <c r="R78" s="384"/>
    </row>
    <row r="79">
      <c r="A79" s="385"/>
      <c r="B79" s="467" t="s">
        <v>168</v>
      </c>
      <c r="C79" s="7"/>
      <c r="D79" s="7"/>
      <c r="E79" s="429" t="str">
        <f>MAX(E76,E77)+E75+E73</f>
        <v>#DIV/0!</v>
      </c>
      <c r="Q79" s="387"/>
      <c r="R79" s="384"/>
    </row>
    <row r="80">
      <c r="A80" s="385"/>
      <c r="B80" s="455" t="s">
        <v>305</v>
      </c>
      <c r="C80" s="150"/>
      <c r="D80" s="150"/>
      <c r="E80" s="151"/>
      <c r="Q80" s="387"/>
      <c r="R80" s="384"/>
    </row>
    <row r="81">
      <c r="A81" s="385"/>
      <c r="B81" s="456" t="s">
        <v>155</v>
      </c>
      <c r="E81" s="457">
        <v>16.0</v>
      </c>
      <c r="Q81" s="387"/>
      <c r="R81" s="384"/>
    </row>
    <row r="82">
      <c r="A82" s="385"/>
      <c r="B82" s="458" t="s">
        <v>157</v>
      </c>
      <c r="E82" s="459" t="str">
        <f>E81-E90</f>
        <v>#DIV/0!</v>
      </c>
      <c r="Q82" s="387"/>
      <c r="R82" s="384"/>
    </row>
    <row r="83">
      <c r="A83" s="385"/>
      <c r="B83" s="458" t="s">
        <v>158</v>
      </c>
      <c r="E83" s="457">
        <f>(1.391*1000)/K77</f>
        <v>1.219106047</v>
      </c>
      <c r="Q83" s="387"/>
      <c r="R83" s="384"/>
    </row>
    <row r="84">
      <c r="A84" s="385"/>
      <c r="B84" s="458" t="s">
        <v>159</v>
      </c>
      <c r="E84" s="457">
        <v>0.0</v>
      </c>
      <c r="Q84" s="387"/>
      <c r="R84" s="384"/>
    </row>
    <row r="85">
      <c r="A85" s="385"/>
      <c r="B85" s="458" t="s">
        <v>320</v>
      </c>
      <c r="E85" s="457">
        <v>0.5</v>
      </c>
      <c r="Q85" s="387"/>
      <c r="R85" s="384"/>
    </row>
    <row r="86">
      <c r="A86" s="385"/>
      <c r="B86" s="458" t="s">
        <v>322</v>
      </c>
      <c r="E86" s="457">
        <v>0.5</v>
      </c>
      <c r="Q86" s="387"/>
      <c r="R86" s="384"/>
    </row>
    <row r="87">
      <c r="A87" s="385"/>
      <c r="B87" s="456" t="s">
        <v>324</v>
      </c>
      <c r="E87" s="435" t="str">
        <f>U107/X118*1000</f>
        <v>#DIV/0!</v>
      </c>
      <c r="Q87" s="387"/>
      <c r="R87" s="384"/>
    </row>
    <row r="88">
      <c r="A88" s="385"/>
      <c r="B88" s="456" t="s">
        <v>326</v>
      </c>
      <c r="E88" s="435" t="str">
        <f>U106/X117*1000</f>
        <v>#DIV/0!</v>
      </c>
      <c r="Q88" s="387"/>
      <c r="R88" s="384"/>
    </row>
    <row r="89">
      <c r="A89" s="385"/>
      <c r="B89" s="456" t="s">
        <v>167</v>
      </c>
      <c r="E89" s="457" t="str">
        <f>E87/E81</f>
        <v>#DIV/0!</v>
      </c>
      <c r="Q89" s="387"/>
      <c r="R89" s="384"/>
    </row>
    <row r="90">
      <c r="A90" s="385"/>
      <c r="B90" s="467" t="s">
        <v>168</v>
      </c>
      <c r="C90" s="7"/>
      <c r="D90" s="7"/>
      <c r="E90" s="429" t="str">
        <f>MAX(E87,E88)+E86+E84</f>
        <v>#DIV/0!</v>
      </c>
      <c r="Q90" s="387"/>
      <c r="R90" s="384"/>
    </row>
    <row r="91">
      <c r="A91" s="385"/>
      <c r="B91" s="455" t="s">
        <v>332</v>
      </c>
      <c r="C91" s="150"/>
      <c r="D91" s="150"/>
      <c r="E91" s="151"/>
      <c r="Q91" s="387"/>
      <c r="R91" s="384"/>
    </row>
    <row r="92">
      <c r="A92" s="385"/>
      <c r="B92" s="456" t="s">
        <v>155</v>
      </c>
      <c r="E92" s="457">
        <v>16.0</v>
      </c>
      <c r="Q92" s="387"/>
      <c r="R92" s="384"/>
    </row>
    <row r="93">
      <c r="A93" s="385"/>
      <c r="B93" s="458" t="s">
        <v>157</v>
      </c>
      <c r="E93" s="459">
        <v>2.0</v>
      </c>
      <c r="Q93" s="387"/>
      <c r="R93" s="384"/>
    </row>
    <row r="94">
      <c r="A94" s="385"/>
      <c r="B94" s="458" t="s">
        <v>158</v>
      </c>
      <c r="E94" s="457">
        <f>(1.391*1000)/K77</f>
        <v>1.219106047</v>
      </c>
      <c r="Q94" s="387"/>
      <c r="R94" s="384"/>
    </row>
    <row r="95">
      <c r="A95" s="385"/>
      <c r="B95" s="458" t="s">
        <v>159</v>
      </c>
      <c r="E95" s="457">
        <v>0.0</v>
      </c>
      <c r="Q95" s="387"/>
      <c r="R95" s="384"/>
    </row>
    <row r="96">
      <c r="A96" s="385"/>
      <c r="B96" s="458" t="s">
        <v>160</v>
      </c>
      <c r="E96" s="457">
        <v>0.5</v>
      </c>
      <c r="Q96" s="387"/>
      <c r="R96" s="384"/>
    </row>
    <row r="97">
      <c r="A97" s="385"/>
      <c r="B97" s="458" t="s">
        <v>161</v>
      </c>
      <c r="E97" s="457">
        <v>0.5</v>
      </c>
      <c r="Q97" s="387"/>
      <c r="R97" s="384"/>
    </row>
    <row r="98">
      <c r="A98" s="385"/>
      <c r="B98" s="456" t="s">
        <v>164</v>
      </c>
      <c r="E98" s="435">
        <f>E92-E93-E94-E96</f>
        <v>12.28089395</v>
      </c>
      <c r="Q98" s="387"/>
      <c r="R98" s="384"/>
    </row>
    <row r="99">
      <c r="A99" s="385"/>
      <c r="B99" s="456" t="s">
        <v>167</v>
      </c>
      <c r="E99" s="457">
        <f>E98/E92</f>
        <v>0.767555872</v>
      </c>
      <c r="Q99" s="387"/>
      <c r="R99" s="384"/>
    </row>
    <row r="100">
      <c r="A100" s="385"/>
      <c r="B100" s="467" t="s">
        <v>168</v>
      </c>
      <c r="C100" s="7"/>
      <c r="D100" s="7"/>
      <c r="E100" s="429">
        <f>E98+E97+E95</f>
        <v>12.78089395</v>
      </c>
      <c r="Q100" s="387"/>
      <c r="R100" s="384"/>
    </row>
    <row r="101">
      <c r="A101" s="385"/>
      <c r="B101" s="455" t="s">
        <v>333</v>
      </c>
      <c r="C101" s="150"/>
      <c r="D101" s="150"/>
      <c r="E101" s="151"/>
      <c r="Q101" s="387"/>
      <c r="R101" s="384"/>
    </row>
    <row r="102">
      <c r="A102" s="385"/>
      <c r="B102" s="456" t="s">
        <v>155</v>
      </c>
      <c r="E102" s="457">
        <v>25.0</v>
      </c>
      <c r="Q102" s="387"/>
      <c r="R102" s="384"/>
    </row>
    <row r="103">
      <c r="A103" s="385"/>
      <c r="B103" s="458" t="s">
        <v>157</v>
      </c>
      <c r="E103" s="459">
        <v>2.0</v>
      </c>
      <c r="Q103" s="387"/>
      <c r="R103" s="384"/>
    </row>
    <row r="104">
      <c r="A104" s="385"/>
      <c r="B104" s="458" t="s">
        <v>158</v>
      </c>
      <c r="E104" s="457">
        <f>(1.391*1000)/K77</f>
        <v>1.219106047</v>
      </c>
      <c r="Q104" s="387"/>
      <c r="R104" s="384"/>
    </row>
    <row r="105">
      <c r="A105" s="385"/>
      <c r="B105" s="458" t="s">
        <v>159</v>
      </c>
      <c r="E105" s="457">
        <v>0.0</v>
      </c>
      <c r="Q105" s="387"/>
      <c r="R105" s="384"/>
    </row>
    <row r="106">
      <c r="A106" s="385"/>
      <c r="B106" s="458" t="s">
        <v>160</v>
      </c>
      <c r="E106" s="457">
        <v>0.5</v>
      </c>
      <c r="Q106" s="387"/>
      <c r="R106" s="384"/>
    </row>
    <row r="107">
      <c r="A107" s="385"/>
      <c r="B107" s="458" t="s">
        <v>161</v>
      </c>
      <c r="E107" s="457">
        <v>0.5</v>
      </c>
      <c r="Q107" s="387"/>
      <c r="R107" s="384"/>
    </row>
    <row r="108">
      <c r="A108" s="385"/>
      <c r="B108" s="456" t="s">
        <v>164</v>
      </c>
      <c r="E108" s="435">
        <f>E102-E103-E104-E106</f>
        <v>21.28089395</v>
      </c>
      <c r="Q108" s="387"/>
      <c r="R108" s="384"/>
    </row>
    <row r="109">
      <c r="A109" s="385"/>
      <c r="B109" s="456" t="s">
        <v>167</v>
      </c>
      <c r="E109" s="457">
        <f>E108/E102</f>
        <v>0.8512357581</v>
      </c>
      <c r="Q109" s="387"/>
      <c r="R109" s="384"/>
    </row>
    <row r="110">
      <c r="A110" s="385"/>
      <c r="B110" s="467" t="s">
        <v>168</v>
      </c>
      <c r="C110" s="7"/>
      <c r="D110" s="7"/>
      <c r="E110" s="429">
        <f>E108+E107+E105</f>
        <v>21.78089395</v>
      </c>
      <c r="Q110" s="387"/>
      <c r="R110" s="384"/>
    </row>
    <row r="111">
      <c r="A111" s="444"/>
      <c r="Q111" s="387"/>
      <c r="R111" s="384"/>
    </row>
    <row r="112">
      <c r="A112" s="379"/>
      <c r="B112" s="481"/>
      <c r="C112" s="481"/>
      <c r="D112" s="481"/>
      <c r="E112" s="481"/>
      <c r="F112" s="481"/>
      <c r="G112" s="481"/>
      <c r="H112" s="481"/>
      <c r="I112" s="481"/>
      <c r="J112" s="481"/>
      <c r="K112" s="481"/>
      <c r="L112" s="481"/>
      <c r="M112" s="481"/>
      <c r="N112" s="481"/>
      <c r="O112" s="481"/>
      <c r="P112" s="481"/>
      <c r="Q112" s="481"/>
      <c r="R112" s="687"/>
    </row>
    <row r="113">
      <c r="A113" s="385"/>
      <c r="B113" s="454" t="s">
        <v>191</v>
      </c>
      <c r="D113" s="384"/>
      <c r="E113" s="384"/>
      <c r="F113" s="384"/>
      <c r="G113" s="384"/>
      <c r="H113" s="384"/>
      <c r="I113" s="384"/>
      <c r="J113" s="384"/>
      <c r="K113" s="384"/>
      <c r="L113" s="384"/>
      <c r="M113" s="384"/>
      <c r="N113" s="384"/>
      <c r="O113" s="384"/>
      <c r="P113" s="384"/>
      <c r="Q113" s="384"/>
      <c r="R113" s="687"/>
    </row>
    <row r="114">
      <c r="A114" s="385"/>
      <c r="B114" s="392"/>
      <c r="C114" s="392"/>
      <c r="D114" s="392"/>
      <c r="E114" s="392"/>
      <c r="I114" s="392"/>
      <c r="J114" s="384"/>
      <c r="K114" s="384"/>
      <c r="L114" s="384"/>
      <c r="M114" s="384"/>
      <c r="N114" s="384"/>
      <c r="O114" s="384"/>
      <c r="P114" s="384"/>
      <c r="Q114" s="384"/>
      <c r="R114" s="687"/>
    </row>
    <row r="115">
      <c r="A115" s="385"/>
      <c r="B115" s="482" t="s">
        <v>65</v>
      </c>
      <c r="C115" s="150"/>
      <c r="D115" s="150"/>
      <c r="E115" s="150"/>
      <c r="F115" s="150"/>
      <c r="G115" s="150"/>
      <c r="H115" s="150"/>
      <c r="I115" s="151"/>
      <c r="L115" s="384"/>
      <c r="M115" s="384"/>
      <c r="N115" s="384"/>
      <c r="O115" s="384"/>
      <c r="P115" s="384"/>
      <c r="Q115" s="384"/>
      <c r="R115" s="687"/>
    </row>
    <row r="116">
      <c r="A116" s="385"/>
      <c r="B116" s="484" t="s">
        <v>192</v>
      </c>
      <c r="D116" s="396" t="s">
        <v>334</v>
      </c>
      <c r="E116" s="396"/>
      <c r="F116" s="396"/>
      <c r="G116" s="396"/>
      <c r="H116" s="396"/>
      <c r="I116" s="397"/>
      <c r="L116" s="384"/>
      <c r="M116" s="384"/>
      <c r="N116" s="384"/>
      <c r="O116" s="384"/>
      <c r="P116" s="384"/>
      <c r="Q116" s="384"/>
      <c r="R116" s="687"/>
    </row>
    <row r="117">
      <c r="A117" s="385"/>
      <c r="B117" s="487" t="s">
        <v>69</v>
      </c>
      <c r="D117" s="488">
        <f>K9+K10+K11+K14</f>
        <v>20625</v>
      </c>
      <c r="E117" s="488"/>
      <c r="F117" s="488"/>
      <c r="G117" s="488"/>
      <c r="H117" s="488"/>
      <c r="I117" s="489"/>
      <c r="L117" s="384"/>
      <c r="M117" s="384"/>
      <c r="N117" s="384"/>
      <c r="O117" s="384"/>
      <c r="P117" s="384"/>
      <c r="Q117" s="384"/>
      <c r="R117" s="687"/>
    </row>
    <row r="118">
      <c r="A118" s="385"/>
      <c r="B118" s="487" t="s">
        <v>71</v>
      </c>
      <c r="D118" s="488">
        <f>SUM(C9:C16)-C13</f>
        <v>3844</v>
      </c>
      <c r="E118" s="488"/>
      <c r="F118" s="488"/>
      <c r="G118" s="488"/>
      <c r="H118" s="488"/>
      <c r="I118" s="489"/>
      <c r="L118" s="431"/>
      <c r="M118" s="431"/>
      <c r="N118" s="431"/>
      <c r="O118" s="431"/>
      <c r="P118" s="431"/>
      <c r="R118" s="687"/>
    </row>
    <row r="119">
      <c r="A119" s="385"/>
      <c r="B119" s="487" t="s">
        <v>73</v>
      </c>
      <c r="D119" s="488">
        <f>D117</f>
        <v>20625</v>
      </c>
      <c r="E119" s="488"/>
      <c r="F119" s="488"/>
      <c r="G119" s="488"/>
      <c r="H119" s="488"/>
      <c r="I119" s="489"/>
      <c r="L119" s="431"/>
      <c r="M119" s="431"/>
      <c r="N119" s="431"/>
      <c r="O119" s="431"/>
      <c r="P119" s="431"/>
      <c r="R119" s="687"/>
    </row>
    <row r="120">
      <c r="A120" s="385"/>
      <c r="B120" s="491" t="s">
        <v>75</v>
      </c>
      <c r="C120" s="7"/>
      <c r="D120" s="492">
        <f>K48</f>
        <v>4.461538462</v>
      </c>
      <c r="E120" s="492" t="str">
        <f>F107</f>
        <v/>
      </c>
      <c r="F120" s="492" t="str">
        <f>F108</f>
        <v/>
      </c>
      <c r="G120" s="492"/>
      <c r="H120" s="492" t="str">
        <f>F109</f>
        <v/>
      </c>
      <c r="I120" s="690" t="str">
        <f>F110</f>
        <v/>
      </c>
      <c r="L120" s="168"/>
      <c r="M120" s="493"/>
      <c r="N120" s="493"/>
      <c r="O120" s="493"/>
      <c r="P120" s="384"/>
      <c r="Q120" s="384"/>
      <c r="R120" s="687"/>
    </row>
    <row r="121">
      <c r="A121" s="444"/>
      <c r="B121" s="480"/>
      <c r="C121" s="480"/>
      <c r="D121" s="480"/>
      <c r="E121" s="480"/>
      <c r="F121" s="494"/>
      <c r="G121" s="494"/>
      <c r="H121" s="494"/>
      <c r="I121" s="480"/>
      <c r="J121" s="494"/>
      <c r="K121" s="494"/>
      <c r="L121" s="480"/>
      <c r="M121" s="480"/>
      <c r="N121" s="480"/>
      <c r="O121" s="480"/>
      <c r="P121" s="480"/>
      <c r="Q121" s="480"/>
      <c r="R121" s="687"/>
    </row>
    <row r="122">
      <c r="A122" s="379"/>
      <c r="B122" s="481"/>
      <c r="C122" s="481"/>
      <c r="D122" s="481"/>
      <c r="E122" s="496"/>
      <c r="F122" s="496"/>
      <c r="G122" s="481"/>
      <c r="H122" s="496"/>
      <c r="I122" s="481"/>
      <c r="J122" s="481"/>
      <c r="K122" s="481"/>
      <c r="L122" s="481"/>
      <c r="M122" s="496"/>
      <c r="N122" s="481"/>
      <c r="O122" s="481"/>
      <c r="Q122" s="497"/>
    </row>
    <row r="123">
      <c r="A123" s="385"/>
      <c r="B123" s="454" t="s">
        <v>193</v>
      </c>
      <c r="D123" s="384"/>
      <c r="E123" s="384"/>
      <c r="F123" s="384"/>
      <c r="G123" s="384"/>
      <c r="H123" s="384"/>
      <c r="I123" s="384"/>
      <c r="J123" s="384"/>
      <c r="K123" s="384"/>
      <c r="L123" s="384"/>
      <c r="N123" s="384"/>
      <c r="O123" s="384"/>
      <c r="Q123" s="486"/>
    </row>
    <row r="124">
      <c r="A124" s="385"/>
      <c r="B124" s="414"/>
      <c r="C124" s="414"/>
      <c r="D124" s="414"/>
      <c r="E124" s="414"/>
      <c r="F124" s="414"/>
      <c r="G124" s="414"/>
      <c r="H124" s="414"/>
      <c r="I124" s="414"/>
      <c r="J124" s="384"/>
      <c r="K124" s="384"/>
      <c r="L124" s="384"/>
      <c r="M124" s="384"/>
      <c r="N124" s="384"/>
      <c r="O124" s="384"/>
      <c r="Q124" s="387"/>
    </row>
    <row r="125">
      <c r="A125" s="385"/>
      <c r="B125" s="384"/>
      <c r="C125" s="384"/>
      <c r="D125" s="384"/>
      <c r="E125" s="658"/>
      <c r="F125" s="659" t="s">
        <v>335</v>
      </c>
      <c r="G125" s="469"/>
      <c r="H125" s="470"/>
      <c r="I125" s="658"/>
      <c r="J125" s="384"/>
      <c r="K125" s="384"/>
      <c r="L125" s="384"/>
      <c r="M125" s="624"/>
      <c r="N125" s="624"/>
      <c r="O125" s="624"/>
      <c r="Q125" s="387"/>
    </row>
    <row r="126">
      <c r="A126" s="385"/>
      <c r="B126" s="384"/>
      <c r="C126" s="384"/>
      <c r="D126" s="384"/>
      <c r="E126" s="236"/>
      <c r="F126" s="661" t="s">
        <v>286</v>
      </c>
      <c r="H126" s="691">
        <v>34.333</v>
      </c>
      <c r="I126" s="236"/>
      <c r="J126" s="384"/>
      <c r="K126" s="384"/>
      <c r="L126" s="384"/>
      <c r="M126" s="624"/>
      <c r="N126" s="624"/>
      <c r="O126" s="624"/>
      <c r="Q126" s="486"/>
    </row>
    <row r="127">
      <c r="A127" s="385"/>
      <c r="B127" s="384"/>
      <c r="C127" s="384"/>
      <c r="D127" s="384"/>
      <c r="E127" s="504"/>
      <c r="F127" s="664" t="s">
        <v>86</v>
      </c>
      <c r="H127" s="330">
        <v>3051.605</v>
      </c>
      <c r="I127" s="504"/>
      <c r="J127" s="384"/>
      <c r="K127" s="384"/>
      <c r="L127" s="384"/>
      <c r="M127" s="624"/>
      <c r="N127" s="624"/>
      <c r="O127" s="624"/>
      <c r="Q127" s="486"/>
      <c r="R127" s="462"/>
    </row>
    <row r="128">
      <c r="A128" s="385"/>
      <c r="B128" s="384"/>
      <c r="C128" s="384"/>
      <c r="D128" s="384"/>
      <c r="E128" s="504"/>
      <c r="F128" s="666" t="s">
        <v>287</v>
      </c>
      <c r="H128" s="667"/>
      <c r="I128" s="504"/>
      <c r="J128" s="384"/>
      <c r="K128" s="384"/>
      <c r="L128" s="384"/>
      <c r="M128" s="624"/>
      <c r="N128" s="624"/>
      <c r="O128" s="624"/>
      <c r="Q128" s="486"/>
    </row>
    <row r="129">
      <c r="A129" s="385"/>
      <c r="B129" s="384"/>
      <c r="C129" s="384"/>
      <c r="D129" s="384"/>
      <c r="E129" s="504"/>
      <c r="F129" s="666" t="s">
        <v>288</v>
      </c>
      <c r="H129" s="667"/>
      <c r="I129" s="504"/>
      <c r="J129" s="384"/>
      <c r="K129" s="384"/>
      <c r="L129" s="384"/>
      <c r="M129" s="624"/>
      <c r="N129" s="624"/>
      <c r="O129" s="624"/>
      <c r="Q129" s="486"/>
    </row>
    <row r="130">
      <c r="A130" s="385"/>
      <c r="B130" s="384"/>
      <c r="C130" s="384"/>
      <c r="D130" s="384"/>
      <c r="E130" s="504"/>
      <c r="F130" s="666" t="s">
        <v>289</v>
      </c>
      <c r="H130" s="667"/>
      <c r="I130" s="504"/>
      <c r="J130" s="384"/>
      <c r="K130" s="384"/>
      <c r="L130" s="384"/>
      <c r="M130" s="624"/>
      <c r="N130" s="624"/>
      <c r="O130" s="624"/>
      <c r="Q130" s="486"/>
    </row>
    <row r="131">
      <c r="A131" s="385"/>
      <c r="B131" s="384"/>
      <c r="C131" s="384"/>
      <c r="D131" s="384"/>
      <c r="E131" s="504"/>
      <c r="F131" s="666" t="s">
        <v>87</v>
      </c>
      <c r="H131" s="667"/>
      <c r="I131" s="504"/>
      <c r="J131" s="384"/>
      <c r="K131" s="384"/>
      <c r="L131" s="384"/>
      <c r="M131" s="624"/>
      <c r="N131" s="624"/>
      <c r="O131" s="624"/>
      <c r="Q131" s="486"/>
    </row>
    <row r="132">
      <c r="A132" s="385"/>
      <c r="B132" s="384"/>
      <c r="C132" s="384"/>
      <c r="D132" s="384"/>
      <c r="E132" s="504"/>
      <c r="F132" s="666" t="s">
        <v>290</v>
      </c>
      <c r="H132" s="667"/>
      <c r="I132" s="504"/>
      <c r="J132" s="384"/>
      <c r="K132" s="384"/>
      <c r="L132" s="384"/>
      <c r="M132" s="624"/>
      <c r="N132" s="624"/>
      <c r="O132" s="624"/>
      <c r="Q132" s="486"/>
    </row>
    <row r="133">
      <c r="A133" s="385"/>
      <c r="B133" s="384"/>
      <c r="C133" s="384"/>
      <c r="D133" s="384"/>
      <c r="E133" s="504"/>
      <c r="F133" s="666" t="s">
        <v>291</v>
      </c>
      <c r="H133" s="667"/>
      <c r="I133" s="504"/>
      <c r="J133" s="384"/>
      <c r="K133" s="384"/>
      <c r="L133" s="384"/>
      <c r="M133" s="624"/>
      <c r="N133" s="624"/>
      <c r="O133" s="624"/>
      <c r="Q133" s="486"/>
    </row>
    <row r="134">
      <c r="A134" s="385"/>
      <c r="B134" s="384"/>
      <c r="C134" s="384"/>
      <c r="D134" s="384"/>
      <c r="E134" s="504"/>
      <c r="F134" s="668" t="s">
        <v>292</v>
      </c>
      <c r="G134" s="477"/>
      <c r="H134" s="669"/>
      <c r="I134" s="504"/>
      <c r="J134" s="384"/>
      <c r="K134" s="384"/>
      <c r="L134" s="384"/>
      <c r="M134" s="624"/>
      <c r="N134" s="624"/>
      <c r="O134" s="624"/>
      <c r="Q134" s="486"/>
    </row>
    <row r="135">
      <c r="A135" s="444"/>
      <c r="B135" s="494"/>
      <c r="C135" s="494"/>
      <c r="D135" s="494"/>
      <c r="E135" s="494"/>
      <c r="F135" s="494"/>
      <c r="G135" s="494"/>
      <c r="H135" s="494"/>
      <c r="I135" s="494"/>
      <c r="J135" s="494"/>
      <c r="K135" s="494"/>
      <c r="L135" s="480"/>
      <c r="M135" s="494"/>
      <c r="N135" s="494"/>
      <c r="O135" s="480"/>
      <c r="P135" s="480"/>
      <c r="Q135" s="495"/>
    </row>
    <row r="136">
      <c r="O136" s="384"/>
    </row>
    <row r="137">
      <c r="O137" s="384"/>
    </row>
    <row r="138">
      <c r="O138" s="384"/>
    </row>
    <row r="139">
      <c r="O139" s="384"/>
    </row>
    <row r="140">
      <c r="O140" s="384"/>
    </row>
    <row r="141">
      <c r="I141" s="386"/>
      <c r="O141" s="384"/>
    </row>
  </sheetData>
  <mergeCells count="150">
    <mergeCell ref="M55:P55"/>
    <mergeCell ref="M56:P56"/>
    <mergeCell ref="M47:P47"/>
    <mergeCell ref="M48:P48"/>
    <mergeCell ref="M50:P50"/>
    <mergeCell ref="M51:P51"/>
    <mergeCell ref="M52:P52"/>
    <mergeCell ref="M53:P53"/>
    <mergeCell ref="M54:P54"/>
    <mergeCell ref="B3:N3"/>
    <mergeCell ref="E4:F4"/>
    <mergeCell ref="H4:I4"/>
    <mergeCell ref="K4:N4"/>
    <mergeCell ref="K6:N8"/>
    <mergeCell ref="K12:N13"/>
    <mergeCell ref="K15:N15"/>
    <mergeCell ref="B20:L20"/>
    <mergeCell ref="N20:P20"/>
    <mergeCell ref="B21:C21"/>
    <mergeCell ref="H21:I21"/>
    <mergeCell ref="K21:L21"/>
    <mergeCell ref="N21:O21"/>
    <mergeCell ref="N22:O22"/>
    <mergeCell ref="E21:F21"/>
    <mergeCell ref="B29:H29"/>
    <mergeCell ref="B30:H30"/>
    <mergeCell ref="B35:E35"/>
    <mergeCell ref="B37:L37"/>
    <mergeCell ref="B38:F38"/>
    <mergeCell ref="H38:L38"/>
    <mergeCell ref="B39:E39"/>
    <mergeCell ref="B40:E40"/>
    <mergeCell ref="B41:E41"/>
    <mergeCell ref="B42:E42"/>
    <mergeCell ref="B43:E43"/>
    <mergeCell ref="B44:E44"/>
    <mergeCell ref="H44:K44"/>
    <mergeCell ref="G48:J48"/>
    <mergeCell ref="G49:J49"/>
    <mergeCell ref="G50:J50"/>
    <mergeCell ref="G51:J51"/>
    <mergeCell ref="G52:J52"/>
    <mergeCell ref="G53:J53"/>
    <mergeCell ref="G54:J54"/>
    <mergeCell ref="G55:J55"/>
    <mergeCell ref="B46:E46"/>
    <mergeCell ref="G46:K46"/>
    <mergeCell ref="M46:Q46"/>
    <mergeCell ref="B47:E47"/>
    <mergeCell ref="G47:J47"/>
    <mergeCell ref="B48:D48"/>
    <mergeCell ref="M49:P49"/>
    <mergeCell ref="B49:D49"/>
    <mergeCell ref="B50:D50"/>
    <mergeCell ref="B51:D51"/>
    <mergeCell ref="B52:D52"/>
    <mergeCell ref="B53:D53"/>
    <mergeCell ref="B54:D54"/>
    <mergeCell ref="B55:D55"/>
    <mergeCell ref="B78:D78"/>
    <mergeCell ref="B79:D79"/>
    <mergeCell ref="B80:E80"/>
    <mergeCell ref="B81:D81"/>
    <mergeCell ref="B82:D82"/>
    <mergeCell ref="B83:D83"/>
    <mergeCell ref="B84:D84"/>
    <mergeCell ref="B85:D85"/>
    <mergeCell ref="B86:D86"/>
    <mergeCell ref="B87:D87"/>
    <mergeCell ref="B88:D88"/>
    <mergeCell ref="B89:D89"/>
    <mergeCell ref="B90:D90"/>
    <mergeCell ref="B91:E91"/>
    <mergeCell ref="B99:D99"/>
    <mergeCell ref="B100:D100"/>
    <mergeCell ref="B101:E101"/>
    <mergeCell ref="B102:D102"/>
    <mergeCell ref="B103:D103"/>
    <mergeCell ref="B104:D104"/>
    <mergeCell ref="B105:D105"/>
    <mergeCell ref="B106:D106"/>
    <mergeCell ref="B107:D107"/>
    <mergeCell ref="B108:D108"/>
    <mergeCell ref="B109:D109"/>
    <mergeCell ref="B110:D110"/>
    <mergeCell ref="B113:C113"/>
    <mergeCell ref="B115:I115"/>
    <mergeCell ref="B116:C116"/>
    <mergeCell ref="B117:C117"/>
    <mergeCell ref="B118:C118"/>
    <mergeCell ref="B119:C119"/>
    <mergeCell ref="B120:C120"/>
    <mergeCell ref="B123:C123"/>
    <mergeCell ref="F125:H125"/>
    <mergeCell ref="F133:G133"/>
    <mergeCell ref="F134:G134"/>
    <mergeCell ref="F126:G126"/>
    <mergeCell ref="F127:G127"/>
    <mergeCell ref="F128:G128"/>
    <mergeCell ref="F129:G129"/>
    <mergeCell ref="F130:G130"/>
    <mergeCell ref="F131:G131"/>
    <mergeCell ref="F132:G132"/>
    <mergeCell ref="G61:J61"/>
    <mergeCell ref="G62:J62"/>
    <mergeCell ref="G63:J63"/>
    <mergeCell ref="G64:J64"/>
    <mergeCell ref="G65:J65"/>
    <mergeCell ref="G66:J66"/>
    <mergeCell ref="B56:D56"/>
    <mergeCell ref="B57:D57"/>
    <mergeCell ref="B58:E58"/>
    <mergeCell ref="G58:K58"/>
    <mergeCell ref="B59:D59"/>
    <mergeCell ref="G59:J59"/>
    <mergeCell ref="G60:J60"/>
    <mergeCell ref="B60:D60"/>
    <mergeCell ref="B61:D61"/>
    <mergeCell ref="B62:D62"/>
    <mergeCell ref="B63:D63"/>
    <mergeCell ref="B64:D64"/>
    <mergeCell ref="B65:D65"/>
    <mergeCell ref="B66:D66"/>
    <mergeCell ref="G72:J72"/>
    <mergeCell ref="G73:J73"/>
    <mergeCell ref="G74:J74"/>
    <mergeCell ref="G75:J75"/>
    <mergeCell ref="G76:J76"/>
    <mergeCell ref="G77:J77"/>
    <mergeCell ref="B67:D67"/>
    <mergeCell ref="B68:D68"/>
    <mergeCell ref="B69:E69"/>
    <mergeCell ref="G69:K69"/>
    <mergeCell ref="B70:D70"/>
    <mergeCell ref="G70:J70"/>
    <mergeCell ref="G71:J71"/>
    <mergeCell ref="B71:D71"/>
    <mergeCell ref="B72:D72"/>
    <mergeCell ref="B73:D73"/>
    <mergeCell ref="B74:D74"/>
    <mergeCell ref="B75:D75"/>
    <mergeCell ref="B76:D76"/>
    <mergeCell ref="B77:D77"/>
    <mergeCell ref="B92:D92"/>
    <mergeCell ref="B93:D93"/>
    <mergeCell ref="B94:D94"/>
    <mergeCell ref="B95:D95"/>
    <mergeCell ref="B96:D96"/>
    <mergeCell ref="B97:D97"/>
    <mergeCell ref="B98:D98"/>
  </mergeCells>
  <conditionalFormatting sqref="E126:I126">
    <cfRule type="cellIs" dxfId="4" priority="1" operator="greaterThanOrEqual">
      <formula>30</formula>
    </cfRule>
  </conditionalFormatting>
  <conditionalFormatting sqref="E126:I126">
    <cfRule type="cellIs" dxfId="3" priority="2" operator="lessThan">
      <formula>30</formula>
    </cfRule>
  </conditionalFormatting>
  <conditionalFormatting sqref="D135:K135">
    <cfRule type="cellIs" dxfId="4" priority="3" operator="between">
      <formula>-0.05</formula>
      <formula>0.05</formula>
    </cfRule>
  </conditionalFormatting>
  <conditionalFormatting sqref="D135:K135">
    <cfRule type="cellIs" dxfId="5" priority="4" operator="between">
      <formula>0.0500001</formula>
      <formula>0.1</formula>
    </cfRule>
  </conditionalFormatting>
  <conditionalFormatting sqref="D135:K135">
    <cfRule type="cellIs" dxfId="3" priority="5" operator="greaterThan">
      <formula>0.1</formula>
    </cfRule>
  </conditionalFormatting>
  <conditionalFormatting sqref="D135:K135">
    <cfRule type="cellIs" dxfId="6" priority="6" operator="between">
      <formula>-0.050001</formula>
      <formula>-0.1</formula>
    </cfRule>
  </conditionalFormatting>
  <conditionalFormatting sqref="D135:K135">
    <cfRule type="cellIs" dxfId="3" priority="7" operator="lessThan">
      <formula>-0.1</formula>
    </cfRule>
  </conditionalFormatting>
  <conditionalFormatting sqref="H127">
    <cfRule type="cellIs" dxfId="4" priority="8" operator="greaterThanOrEqual">
      <formula>3000</formula>
    </cfRule>
  </conditionalFormatting>
  <conditionalFormatting sqref="H127">
    <cfRule type="cellIs" dxfId="7" priority="9" operator="lessThan">
      <formula>3000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14" width="15.75"/>
    <col customWidth="1" min="16" max="16" width="16.38"/>
  </cols>
  <sheetData>
    <row r="1">
      <c r="A1" s="444"/>
    </row>
    <row r="2">
      <c r="A2" s="385"/>
      <c r="B2" s="382"/>
      <c r="C2" s="382"/>
      <c r="D2" s="382"/>
      <c r="E2" s="382"/>
      <c r="F2" s="382"/>
      <c r="G2" s="382"/>
      <c r="H2" s="382"/>
      <c r="I2" s="382"/>
      <c r="J2" s="382"/>
      <c r="K2" s="382"/>
      <c r="L2" s="382"/>
      <c r="M2" s="382"/>
      <c r="N2" s="382"/>
      <c r="O2" s="382"/>
      <c r="P2" s="382"/>
      <c r="Q2" s="383"/>
      <c r="R2" s="384"/>
    </row>
    <row r="3">
      <c r="A3" s="385"/>
      <c r="B3" s="388" t="s">
        <v>1</v>
      </c>
      <c r="C3" s="150"/>
      <c r="D3" s="150"/>
      <c r="E3" s="150"/>
      <c r="F3" s="150"/>
      <c r="G3" s="150"/>
      <c r="H3" s="150"/>
      <c r="I3" s="150"/>
      <c r="J3" s="150"/>
      <c r="K3" s="150"/>
      <c r="L3" s="150"/>
      <c r="M3" s="150"/>
      <c r="N3" s="151"/>
      <c r="Q3" s="387"/>
      <c r="R3" s="384"/>
    </row>
    <row r="4">
      <c r="A4" s="385"/>
      <c r="B4" s="389" t="s">
        <v>2</v>
      </c>
      <c r="C4" s="390" t="s">
        <v>3</v>
      </c>
      <c r="D4" s="391" t="s">
        <v>293</v>
      </c>
      <c r="E4" s="391" t="s">
        <v>294</v>
      </c>
      <c r="G4" s="391" t="s">
        <v>293</v>
      </c>
      <c r="H4" s="391" t="s">
        <v>295</v>
      </c>
      <c r="J4" s="391" t="s">
        <v>293</v>
      </c>
      <c r="K4" s="391" t="s">
        <v>336</v>
      </c>
      <c r="N4" s="13"/>
      <c r="Q4" s="387"/>
      <c r="R4" s="384"/>
    </row>
    <row r="5">
      <c r="A5" s="385"/>
      <c r="B5" s="393"/>
      <c r="C5" s="394" t="s">
        <v>130</v>
      </c>
      <c r="D5" s="670"/>
      <c r="E5" s="394" t="s">
        <v>130</v>
      </c>
      <c r="F5" s="395" t="s">
        <v>139</v>
      </c>
      <c r="G5" s="394"/>
      <c r="H5" s="394" t="s">
        <v>130</v>
      </c>
      <c r="I5" s="395" t="s">
        <v>139</v>
      </c>
      <c r="J5" s="396"/>
      <c r="K5" s="396" t="s">
        <v>337</v>
      </c>
      <c r="L5" s="396" t="s">
        <v>338</v>
      </c>
      <c r="M5" s="396" t="s">
        <v>339</v>
      </c>
      <c r="N5" s="397" t="s">
        <v>340</v>
      </c>
      <c r="Q5" s="387"/>
      <c r="R5" s="384"/>
    </row>
    <row r="6">
      <c r="A6" s="385"/>
      <c r="B6" s="398" t="s">
        <v>11</v>
      </c>
      <c r="C6" s="692">
        <v>1003.0</v>
      </c>
      <c r="D6" s="671">
        <f>(C6-1003)/1003</f>
        <v>0</v>
      </c>
      <c r="E6" s="692">
        <v>1855.0</v>
      </c>
      <c r="F6" s="399">
        <f t="shared" ref="F6:F16" si="1">1.15*E6</f>
        <v>2133.25</v>
      </c>
      <c r="G6" s="671">
        <f>(E6-1855)/1855</f>
        <v>0</v>
      </c>
      <c r="H6" s="692">
        <v>4000.0</v>
      </c>
      <c r="I6" s="693">
        <f t="shared" ref="I6:I7" si="2">H6</f>
        <v>4000</v>
      </c>
      <c r="J6" s="671">
        <f>(H6-4000)/4000</f>
        <v>0</v>
      </c>
      <c r="K6" s="504"/>
      <c r="N6" s="200"/>
      <c r="Q6" s="387"/>
      <c r="R6" s="384"/>
    </row>
    <row r="7">
      <c r="A7" s="385"/>
      <c r="B7" s="212" t="s">
        <v>12</v>
      </c>
      <c r="C7" s="603">
        <v>715.0</v>
      </c>
      <c r="D7" s="672">
        <f>(C7-715)/715</f>
        <v>0</v>
      </c>
      <c r="E7" s="603">
        <v>3258.5</v>
      </c>
      <c r="F7" s="401">
        <f t="shared" si="1"/>
        <v>3747.275</v>
      </c>
      <c r="G7" s="672">
        <f>(E7-3258.5)/3258.5</f>
        <v>0</v>
      </c>
      <c r="H7" s="603">
        <v>6550.0</v>
      </c>
      <c r="I7" s="694">
        <f t="shared" si="2"/>
        <v>6550</v>
      </c>
      <c r="J7" s="672">
        <f>(H7-6550)/6550</f>
        <v>0</v>
      </c>
      <c r="N7" s="208"/>
      <c r="Q7" s="387"/>
      <c r="R7" s="384"/>
    </row>
    <row r="8">
      <c r="A8" s="385"/>
      <c r="B8" s="398" t="s">
        <v>13</v>
      </c>
      <c r="C8" s="692">
        <v>422.0</v>
      </c>
      <c r="D8" s="671">
        <f>(C8-422)/422</f>
        <v>0</v>
      </c>
      <c r="E8" s="692">
        <v>5110.3</v>
      </c>
      <c r="F8" s="399">
        <f t="shared" si="1"/>
        <v>5876.845</v>
      </c>
      <c r="G8" s="671">
        <f>(E8-5110.3)/5110.3</f>
        <v>0</v>
      </c>
      <c r="H8" s="692">
        <v>3000.0</v>
      </c>
      <c r="I8" s="693">
        <f t="shared" ref="I8:I16" si="3">1.15*H8</f>
        <v>3450</v>
      </c>
      <c r="J8" s="671">
        <f>(H8-3000)/3000</f>
        <v>0</v>
      </c>
      <c r="N8" s="200"/>
      <c r="Q8" s="387"/>
      <c r="R8" s="384"/>
    </row>
    <row r="9">
      <c r="A9" s="385"/>
      <c r="B9" s="212" t="s">
        <v>14</v>
      </c>
      <c r="C9" s="603">
        <v>756.0</v>
      </c>
      <c r="D9" s="672">
        <f>(C9-756)/756</f>
        <v>0</v>
      </c>
      <c r="E9" s="603">
        <v>4257.8</v>
      </c>
      <c r="F9" s="401">
        <f t="shared" si="1"/>
        <v>4896.47</v>
      </c>
      <c r="G9" s="672">
        <f>(E9-4257.8)/4257.8</f>
        <v>0</v>
      </c>
      <c r="H9" s="603">
        <v>6500.0</v>
      </c>
      <c r="I9" s="694">
        <f t="shared" si="3"/>
        <v>7475</v>
      </c>
      <c r="J9" s="672">
        <f>(H9-6500)/6500</f>
        <v>0</v>
      </c>
      <c r="K9" s="597">
        <v>2605.0</v>
      </c>
      <c r="L9" s="597">
        <v>2605.0</v>
      </c>
      <c r="M9" s="597">
        <v>2605.0</v>
      </c>
      <c r="N9" s="695">
        <v>2605.0</v>
      </c>
      <c r="Q9" s="387"/>
      <c r="R9" s="384"/>
    </row>
    <row r="10">
      <c r="A10" s="385"/>
      <c r="B10" s="408" t="s">
        <v>297</v>
      </c>
      <c r="C10" s="692">
        <v>756.0</v>
      </c>
      <c r="D10" s="671">
        <f>(C10*2-756)/756</f>
        <v>1</v>
      </c>
      <c r="E10" s="692">
        <v>4257.8</v>
      </c>
      <c r="F10" s="399">
        <f t="shared" si="1"/>
        <v>4896.47</v>
      </c>
      <c r="G10" s="671">
        <f>(2*E10-4257.8)/4257.8</f>
        <v>1</v>
      </c>
      <c r="H10" s="692">
        <v>5600.0</v>
      </c>
      <c r="I10" s="693">
        <f t="shared" si="3"/>
        <v>6440</v>
      </c>
      <c r="J10" s="671">
        <f>(2*H10-5600)/5600</f>
        <v>1</v>
      </c>
      <c r="K10" s="597">
        <v>2605.0</v>
      </c>
      <c r="L10" s="597">
        <v>2605.0</v>
      </c>
      <c r="M10" s="597">
        <v>2605.0</v>
      </c>
      <c r="N10" s="695">
        <v>2605.0</v>
      </c>
      <c r="Q10" s="387"/>
      <c r="R10" s="384"/>
    </row>
    <row r="11">
      <c r="A11" s="385"/>
      <c r="B11" s="212" t="s">
        <v>15</v>
      </c>
      <c r="C11" s="603">
        <v>388.0</v>
      </c>
      <c r="D11" s="672">
        <f>(C11-388)/38</f>
        <v>0</v>
      </c>
      <c r="E11" s="603">
        <v>8300.0</v>
      </c>
      <c r="F11" s="401">
        <f t="shared" si="1"/>
        <v>9545</v>
      </c>
      <c r="G11" s="672">
        <f>(E11-8300)/8300</f>
        <v>0</v>
      </c>
      <c r="H11" s="603">
        <v>0.0</v>
      </c>
      <c r="I11" s="694">
        <f t="shared" si="3"/>
        <v>0</v>
      </c>
      <c r="J11" s="672">
        <f>(H11-0)/5600</f>
        <v>0</v>
      </c>
      <c r="K11" s="600">
        <f>6332+405</f>
        <v>6737</v>
      </c>
      <c r="L11" s="600">
        <f>6661+405</f>
        <v>7066</v>
      </c>
      <c r="M11" s="696">
        <f>6172+405</f>
        <v>6577</v>
      </c>
      <c r="N11" s="697">
        <f>6678+405</f>
        <v>7083</v>
      </c>
      <c r="Q11" s="387"/>
      <c r="R11" s="384"/>
    </row>
    <row r="12">
      <c r="A12" s="385"/>
      <c r="B12" s="398" t="s">
        <v>16</v>
      </c>
      <c r="C12" s="692">
        <v>400.0</v>
      </c>
      <c r="D12" s="671">
        <f>(C12-334)/334</f>
        <v>0.1976047904</v>
      </c>
      <c r="E12" s="692">
        <v>2665.7</v>
      </c>
      <c r="F12" s="399">
        <f t="shared" si="1"/>
        <v>3065.555</v>
      </c>
      <c r="G12" s="671">
        <f>(E12-2665.7)/2665.7</f>
        <v>0</v>
      </c>
      <c r="H12" s="692">
        <v>4500.0</v>
      </c>
      <c r="I12" s="693">
        <f t="shared" si="3"/>
        <v>5175</v>
      </c>
      <c r="J12" s="671">
        <f>(H12-4000)/4000</f>
        <v>0.125</v>
      </c>
      <c r="K12" s="504"/>
      <c r="N12" s="200"/>
      <c r="Q12" s="387"/>
      <c r="R12" s="384"/>
    </row>
    <row r="13">
      <c r="A13" s="385"/>
      <c r="B13" s="674" t="s">
        <v>17</v>
      </c>
      <c r="C13" s="603">
        <f>C12+C11+C14+0.5*(C15-250)+0.3*C9</f>
        <v>1655.8</v>
      </c>
      <c r="D13" s="672">
        <f>(C13-1655.8)/1665.8</f>
        <v>0</v>
      </c>
      <c r="E13" s="603">
        <v>160.0</v>
      </c>
      <c r="F13" s="401">
        <f t="shared" si="1"/>
        <v>184</v>
      </c>
      <c r="G13" s="672">
        <f>(E13-160)/160</f>
        <v>0</v>
      </c>
      <c r="H13" s="603">
        <v>2250.0</v>
      </c>
      <c r="I13" s="694">
        <f t="shared" si="3"/>
        <v>2587.5</v>
      </c>
      <c r="J13" s="672">
        <f>(H13-2250)/2250</f>
        <v>0</v>
      </c>
      <c r="N13" s="208"/>
      <c r="Q13" s="387"/>
      <c r="R13" s="384"/>
    </row>
    <row r="14">
      <c r="A14" s="385"/>
      <c r="B14" s="398" t="s">
        <v>18</v>
      </c>
      <c r="C14" s="692">
        <v>388.0</v>
      </c>
      <c r="D14" s="671">
        <f>(C14-388)/388</f>
        <v>0</v>
      </c>
      <c r="E14" s="692">
        <v>8300.0</v>
      </c>
      <c r="F14" s="399">
        <f t="shared" si="1"/>
        <v>9545</v>
      </c>
      <c r="G14" s="671">
        <f>(E14-8300)/8300</f>
        <v>0</v>
      </c>
      <c r="H14" s="692">
        <v>0.0</v>
      </c>
      <c r="I14" s="693">
        <f t="shared" si="3"/>
        <v>0</v>
      </c>
      <c r="J14" s="671">
        <f>(H14-0)/5600</f>
        <v>0</v>
      </c>
      <c r="K14" s="605">
        <f>9498+577</f>
        <v>10075</v>
      </c>
      <c r="L14" s="698">
        <f>9991+577</f>
        <v>10568</v>
      </c>
      <c r="M14" s="605">
        <f>9257+577</f>
        <v>9834</v>
      </c>
      <c r="N14" s="699">
        <f>10017+577</f>
        <v>10594</v>
      </c>
      <c r="Q14" s="387"/>
      <c r="R14" s="384"/>
    </row>
    <row r="15">
      <c r="A15" s="385"/>
      <c r="B15" s="212" t="s">
        <v>19</v>
      </c>
      <c r="C15" s="603">
        <v>756.0</v>
      </c>
      <c r="D15" s="672">
        <f>(C15-756)/756</f>
        <v>0</v>
      </c>
      <c r="E15" s="603">
        <v>9100.0</v>
      </c>
      <c r="F15" s="401">
        <f t="shared" si="1"/>
        <v>10465</v>
      </c>
      <c r="G15" s="672">
        <f>(E15-9100)/9100</f>
        <v>0</v>
      </c>
      <c r="H15" s="603">
        <v>15000.0</v>
      </c>
      <c r="I15" s="694">
        <f t="shared" si="3"/>
        <v>17250</v>
      </c>
      <c r="J15" s="672">
        <f>(H15-13000)/13000</f>
        <v>0.1538461538</v>
      </c>
      <c r="K15" s="594"/>
      <c r="N15" s="208"/>
      <c r="Q15" s="387"/>
      <c r="R15" s="384"/>
    </row>
    <row r="16">
      <c r="A16" s="385"/>
      <c r="B16" s="408" t="s">
        <v>239</v>
      </c>
      <c r="C16" s="692">
        <v>417.55</v>
      </c>
      <c r="D16" s="671">
        <f>((C16-288)/288)</f>
        <v>0.4498263889</v>
      </c>
      <c r="E16" s="692">
        <v>400.0</v>
      </c>
      <c r="F16" s="399">
        <f t="shared" si="1"/>
        <v>460</v>
      </c>
      <c r="G16" s="671">
        <f>(E16-288)/288</f>
        <v>0.3888888889</v>
      </c>
      <c r="H16" s="692">
        <v>600.0</v>
      </c>
      <c r="I16" s="693">
        <f t="shared" si="3"/>
        <v>690</v>
      </c>
      <c r="J16" s="671">
        <f>(H16-600)/600</f>
        <v>0</v>
      </c>
      <c r="N16" s="200"/>
      <c r="Q16" s="387"/>
      <c r="R16" s="384"/>
    </row>
    <row r="17">
      <c r="A17" s="385"/>
      <c r="B17" s="411" t="s">
        <v>144</v>
      </c>
      <c r="C17" s="700">
        <f>SUM(C6:C16)-C13</f>
        <v>6001.55</v>
      </c>
      <c r="D17" s="677">
        <f>((C17-5050)/5050)</f>
        <v>0.1884257426</v>
      </c>
      <c r="E17" s="700">
        <f>SUM(E6:E16)</f>
        <v>47665.1</v>
      </c>
      <c r="F17" s="412">
        <f>SUM(F6:F15)</f>
        <v>54354.865</v>
      </c>
      <c r="G17" s="677">
        <f>(E17-43000)/43000</f>
        <v>0.1084906977</v>
      </c>
      <c r="H17" s="700">
        <f>SUM(H6:H16)</f>
        <v>48000</v>
      </c>
      <c r="I17" s="700">
        <f>SUM(I6:I15)</f>
        <v>52927.5</v>
      </c>
      <c r="J17" s="677">
        <f>(H17-31441)/31441</f>
        <v>0.5266689991</v>
      </c>
      <c r="K17" s="700">
        <f t="shared" ref="K17:N17" si="4">SUM(K6:K15)</f>
        <v>22022</v>
      </c>
      <c r="L17" s="700">
        <f t="shared" si="4"/>
        <v>22844</v>
      </c>
      <c r="M17" s="700">
        <f t="shared" si="4"/>
        <v>21621</v>
      </c>
      <c r="N17" s="701">
        <f t="shared" si="4"/>
        <v>22887</v>
      </c>
      <c r="Q17" s="387"/>
      <c r="R17" s="384"/>
    </row>
    <row r="18">
      <c r="A18" s="385"/>
      <c r="Q18" s="387"/>
      <c r="R18" s="384"/>
    </row>
    <row r="19">
      <c r="A19" s="385"/>
      <c r="Q19" s="387"/>
      <c r="R19" s="384"/>
    </row>
    <row r="20">
      <c r="A20" s="385"/>
      <c r="B20" s="418" t="s">
        <v>236</v>
      </c>
      <c r="C20" s="150"/>
      <c r="D20" s="150"/>
      <c r="E20" s="150"/>
      <c r="F20" s="151"/>
      <c r="H20" s="418" t="s">
        <v>341</v>
      </c>
      <c r="I20" s="150"/>
      <c r="J20" s="151"/>
      <c r="Q20" s="387"/>
      <c r="R20" s="384"/>
    </row>
    <row r="21">
      <c r="A21" s="426"/>
      <c r="B21" s="419" t="s">
        <v>337</v>
      </c>
      <c r="D21" s="396"/>
      <c r="E21" s="396" t="s">
        <v>339</v>
      </c>
      <c r="F21" s="13"/>
      <c r="H21" s="420" t="s">
        <v>130</v>
      </c>
      <c r="J21" s="421">
        <f>E17+H17</f>
        <v>95665.1</v>
      </c>
      <c r="Q21" s="387"/>
      <c r="R21" s="384"/>
    </row>
    <row r="22">
      <c r="A22" s="385"/>
      <c r="B22" s="422" t="s">
        <v>130</v>
      </c>
      <c r="C22" s="395" t="s">
        <v>139</v>
      </c>
      <c r="D22" s="394"/>
      <c r="E22" s="394" t="s">
        <v>130</v>
      </c>
      <c r="F22" s="423" t="s">
        <v>139</v>
      </c>
      <c r="H22" s="424" t="s">
        <v>139</v>
      </c>
      <c r="I22" s="7"/>
      <c r="J22" s="425">
        <f>F17+I17</f>
        <v>107282.365</v>
      </c>
      <c r="Q22" s="387"/>
      <c r="R22" s="384"/>
    </row>
    <row r="23">
      <c r="A23" s="385"/>
      <c r="B23" s="427">
        <f>J21+K17</f>
        <v>117687.1</v>
      </c>
      <c r="C23" s="428">
        <f>J22+L17</f>
        <v>130126.365</v>
      </c>
      <c r="D23" s="428"/>
      <c r="E23" s="428">
        <f>J21+M17</f>
        <v>117286.1</v>
      </c>
      <c r="F23" s="429">
        <f>J22+N17</f>
        <v>130169.365</v>
      </c>
      <c r="Q23" s="387"/>
      <c r="R23" s="384"/>
    </row>
    <row r="24">
      <c r="A24" s="385"/>
      <c r="Q24" s="387"/>
      <c r="R24" s="384"/>
    </row>
    <row r="25">
      <c r="A25" s="385"/>
      <c r="Q25" s="387"/>
      <c r="R25" s="384"/>
    </row>
    <row r="26">
      <c r="A26" s="385"/>
      <c r="Q26" s="387"/>
      <c r="R26" s="384"/>
    </row>
    <row r="27">
      <c r="A27" s="385"/>
      <c r="Q27" s="387"/>
      <c r="R27" s="384"/>
    </row>
    <row r="28">
      <c r="A28" s="385"/>
      <c r="Q28" s="387"/>
      <c r="R28" s="384"/>
    </row>
    <row r="29">
      <c r="A29" s="385"/>
      <c r="B29" s="373" t="s">
        <v>306</v>
      </c>
      <c r="Q29" s="387"/>
      <c r="R29" s="384"/>
    </row>
    <row r="30">
      <c r="A30" s="385"/>
      <c r="B30" s="373" t="s">
        <v>307</v>
      </c>
      <c r="Q30" s="387"/>
      <c r="R30" s="384"/>
    </row>
    <row r="31">
      <c r="A31" s="385"/>
      <c r="Q31" s="387"/>
      <c r="R31" s="384"/>
    </row>
    <row r="32">
      <c r="A32" s="385"/>
      <c r="Q32" s="387"/>
      <c r="R32" s="384"/>
    </row>
    <row r="33">
      <c r="A33" s="444"/>
      <c r="Q33" s="387"/>
      <c r="R33" s="384"/>
    </row>
    <row r="34">
      <c r="A34" s="379"/>
      <c r="B34" s="481"/>
      <c r="C34" s="481"/>
      <c r="D34" s="481"/>
      <c r="E34" s="481"/>
      <c r="F34" s="481"/>
      <c r="G34" s="481"/>
      <c r="H34" s="481"/>
      <c r="I34" s="481"/>
      <c r="J34" s="481"/>
      <c r="K34" s="481"/>
      <c r="L34" s="481"/>
      <c r="M34" s="481"/>
      <c r="N34" s="481"/>
      <c r="O34" s="481"/>
      <c r="P34" s="481"/>
      <c r="Q34" s="383"/>
      <c r="R34" s="416"/>
    </row>
    <row r="35">
      <c r="A35" s="385"/>
      <c r="B35" s="454" t="s">
        <v>191</v>
      </c>
      <c r="D35" s="384"/>
      <c r="E35" s="384"/>
      <c r="F35" s="384"/>
      <c r="G35" s="384"/>
      <c r="H35" s="384"/>
      <c r="I35" s="384"/>
      <c r="J35" s="384"/>
      <c r="K35" s="384"/>
      <c r="L35" s="384"/>
      <c r="M35" s="384"/>
      <c r="N35" s="384"/>
      <c r="O35" s="384"/>
      <c r="P35" s="384"/>
      <c r="Q35" s="387"/>
      <c r="R35" s="384"/>
    </row>
    <row r="36">
      <c r="A36" s="385"/>
      <c r="B36" s="392"/>
      <c r="C36" s="392"/>
      <c r="D36" s="392"/>
      <c r="E36" s="392"/>
      <c r="I36" s="392"/>
      <c r="J36" s="384"/>
      <c r="K36" s="384"/>
      <c r="L36" s="384"/>
      <c r="M36" s="384"/>
      <c r="N36" s="384"/>
      <c r="O36" s="384"/>
      <c r="P36" s="384"/>
      <c r="Q36" s="387"/>
      <c r="R36" s="384"/>
    </row>
    <row r="37">
      <c r="A37" s="385"/>
      <c r="B37" s="702" t="s">
        <v>342</v>
      </c>
      <c r="C37" s="150"/>
      <c r="D37" s="150"/>
      <c r="E37" s="150"/>
      <c r="F37" s="150"/>
      <c r="G37" s="150"/>
      <c r="H37" s="150"/>
      <c r="I37" s="150"/>
      <c r="J37" s="150"/>
      <c r="K37" s="151"/>
      <c r="L37" s="384"/>
      <c r="M37" s="384"/>
      <c r="N37" s="384"/>
      <c r="O37" s="384"/>
      <c r="P37" s="384"/>
      <c r="Q37" s="387"/>
      <c r="R37" s="384"/>
    </row>
    <row r="38">
      <c r="A38" s="385"/>
      <c r="B38" s="703"/>
      <c r="D38" s="704" t="s">
        <v>337</v>
      </c>
      <c r="F38" s="704" t="s">
        <v>338</v>
      </c>
      <c r="H38" s="704" t="s">
        <v>339</v>
      </c>
      <c r="J38" s="704" t="s">
        <v>340</v>
      </c>
      <c r="K38" s="13"/>
      <c r="L38" s="384"/>
      <c r="M38" s="384"/>
      <c r="N38" s="384"/>
      <c r="O38" s="384"/>
      <c r="P38" s="384"/>
      <c r="Q38" s="387"/>
      <c r="R38" s="384"/>
    </row>
    <row r="39">
      <c r="A39" s="385"/>
      <c r="B39" s="527" t="s">
        <v>343</v>
      </c>
      <c r="D39" s="705">
        <v>3300.0</v>
      </c>
      <c r="F39" s="705">
        <v>3300.0</v>
      </c>
      <c r="H39" s="705">
        <v>3300.0</v>
      </c>
      <c r="J39" s="705">
        <v>3300.0</v>
      </c>
      <c r="K39" s="13"/>
      <c r="L39" s="384"/>
      <c r="M39" s="384"/>
      <c r="N39" s="384"/>
      <c r="O39" s="384"/>
      <c r="P39" s="384"/>
      <c r="Q39" s="387"/>
      <c r="R39" s="384"/>
    </row>
    <row r="40">
      <c r="A40" s="385"/>
      <c r="B40" s="527" t="s">
        <v>249</v>
      </c>
      <c r="D40" s="705">
        <v>38000.0</v>
      </c>
      <c r="F40" s="705">
        <v>40000.0</v>
      </c>
      <c r="H40" s="705">
        <v>38000.0</v>
      </c>
      <c r="J40" s="705">
        <v>40000.0</v>
      </c>
      <c r="K40" s="13"/>
      <c r="L40" s="431"/>
      <c r="M40" s="431"/>
      <c r="N40" s="431"/>
      <c r="O40" s="431"/>
      <c r="P40" s="431"/>
      <c r="Q40" s="486"/>
      <c r="R40" s="384"/>
    </row>
    <row r="41">
      <c r="A41" s="706"/>
      <c r="B41" s="707" t="s">
        <v>344</v>
      </c>
      <c r="D41" s="708">
        <v>46143.0</v>
      </c>
      <c r="F41" s="708">
        <v>46143.0</v>
      </c>
      <c r="H41" s="705">
        <v>1.5</v>
      </c>
      <c r="J41" s="705">
        <v>1.5</v>
      </c>
      <c r="K41" s="13"/>
      <c r="Q41" s="486"/>
      <c r="R41" s="384"/>
    </row>
    <row r="42">
      <c r="A42" s="385"/>
      <c r="B42" s="527" t="s">
        <v>345</v>
      </c>
      <c r="D42" s="705">
        <v>241.0</v>
      </c>
      <c r="F42" s="705">
        <v>241.0</v>
      </c>
      <c r="H42" s="705">
        <v>241.0</v>
      </c>
      <c r="J42" s="705">
        <v>241.0</v>
      </c>
      <c r="K42" s="13"/>
      <c r="L42" s="431"/>
      <c r="M42" s="431"/>
      <c r="N42" s="431"/>
      <c r="O42" s="431"/>
      <c r="P42" s="431"/>
      <c r="Q42" s="486"/>
      <c r="R42" s="384"/>
    </row>
    <row r="43">
      <c r="A43" s="385"/>
      <c r="B43" s="709" t="s">
        <v>75</v>
      </c>
      <c r="C43" s="7"/>
      <c r="D43" s="710">
        <v>5.786</v>
      </c>
      <c r="E43" s="7"/>
      <c r="F43" s="710" t="s">
        <v>346</v>
      </c>
      <c r="G43" s="7"/>
      <c r="H43" s="710">
        <v>5.035</v>
      </c>
      <c r="I43" s="7"/>
      <c r="J43" s="710">
        <v>5.301</v>
      </c>
      <c r="K43" s="8"/>
      <c r="L43" s="168"/>
      <c r="M43" s="493"/>
      <c r="N43" s="493"/>
      <c r="O43" s="493"/>
      <c r="P43" s="384"/>
      <c r="Q43" s="387"/>
      <c r="R43" s="384"/>
    </row>
    <row r="44">
      <c r="A44" s="444"/>
      <c r="B44" s="480"/>
      <c r="C44" s="480"/>
      <c r="D44" s="480"/>
      <c r="E44" s="480"/>
      <c r="F44" s="494"/>
      <c r="G44" s="494"/>
      <c r="H44" s="494"/>
      <c r="I44" s="480"/>
      <c r="J44" s="494"/>
      <c r="K44" s="494"/>
      <c r="L44" s="480"/>
      <c r="M44" s="480"/>
      <c r="N44" s="480"/>
      <c r="O44" s="480"/>
      <c r="P44" s="480"/>
      <c r="Q44" s="449"/>
      <c r="R44" s="384"/>
    </row>
    <row r="45">
      <c r="A45" s="379"/>
      <c r="B45" s="481"/>
      <c r="C45" s="481"/>
      <c r="D45" s="481"/>
      <c r="E45" s="496"/>
      <c r="F45" s="496"/>
      <c r="G45" s="481"/>
      <c r="H45" s="496"/>
      <c r="I45" s="481"/>
      <c r="J45" s="481"/>
      <c r="K45" s="481"/>
      <c r="L45" s="481"/>
      <c r="M45" s="496"/>
      <c r="N45" s="481"/>
      <c r="O45" s="481"/>
      <c r="Q45" s="497"/>
      <c r="R45" s="384"/>
    </row>
    <row r="46">
      <c r="A46" s="385"/>
      <c r="B46" s="454" t="s">
        <v>193</v>
      </c>
      <c r="D46" s="384"/>
      <c r="E46" s="384"/>
      <c r="F46" s="384"/>
      <c r="G46" s="384"/>
      <c r="H46" s="384"/>
      <c r="I46" s="384"/>
      <c r="J46" s="384"/>
      <c r="K46" s="384"/>
      <c r="L46" s="384"/>
      <c r="N46" s="384"/>
      <c r="O46" s="384"/>
      <c r="Q46" s="486"/>
      <c r="R46" s="711"/>
    </row>
    <row r="47">
      <c r="A47" s="385"/>
      <c r="B47" s="414"/>
      <c r="C47" s="414"/>
      <c r="D47" s="414"/>
      <c r="E47" s="414"/>
      <c r="F47" s="414"/>
      <c r="G47" s="414"/>
      <c r="H47" s="414"/>
      <c r="I47" s="414"/>
      <c r="J47" s="384"/>
      <c r="K47" s="384"/>
      <c r="L47" s="384"/>
      <c r="M47" s="384"/>
      <c r="N47" s="384"/>
      <c r="O47" s="384"/>
      <c r="Q47" s="387"/>
      <c r="R47" s="687"/>
    </row>
    <row r="48">
      <c r="A48" s="385"/>
      <c r="B48" s="659" t="s">
        <v>347</v>
      </c>
      <c r="C48" s="469"/>
      <c r="D48" s="470"/>
      <c r="E48" s="658"/>
      <c r="F48" s="659" t="s">
        <v>348</v>
      </c>
      <c r="G48" s="469"/>
      <c r="H48" s="470"/>
      <c r="I48" s="658"/>
      <c r="J48" s="659" t="s">
        <v>349</v>
      </c>
      <c r="K48" s="469"/>
      <c r="L48" s="470"/>
      <c r="M48" s="624"/>
      <c r="N48" s="659" t="s">
        <v>350</v>
      </c>
      <c r="O48" s="469"/>
      <c r="P48" s="470"/>
      <c r="Q48" s="387"/>
      <c r="R48" s="687"/>
      <c r="T48" s="462"/>
    </row>
    <row r="49">
      <c r="A49" s="385"/>
      <c r="B49" s="661" t="s">
        <v>286</v>
      </c>
      <c r="D49" s="691">
        <v>31.497</v>
      </c>
      <c r="E49" s="236"/>
      <c r="F49" s="661" t="s">
        <v>286</v>
      </c>
      <c r="H49" s="691">
        <v>29.9</v>
      </c>
      <c r="I49" s="236"/>
      <c r="J49" s="661" t="s">
        <v>286</v>
      </c>
      <c r="L49" s="691">
        <v>34.31</v>
      </c>
      <c r="M49" s="624"/>
      <c r="N49" s="661" t="s">
        <v>286</v>
      </c>
      <c r="P49" s="691">
        <v>32.5</v>
      </c>
      <c r="Q49" s="486"/>
      <c r="R49" s="687"/>
    </row>
    <row r="50">
      <c r="A50" s="385"/>
      <c r="B50" s="664" t="s">
        <v>86</v>
      </c>
      <c r="D50" s="330">
        <v>3214.0</v>
      </c>
      <c r="E50" s="504"/>
      <c r="F50" s="664" t="s">
        <v>86</v>
      </c>
      <c r="H50" s="330">
        <v>2756.0</v>
      </c>
      <c r="I50" s="504"/>
      <c r="J50" s="664" t="s">
        <v>86</v>
      </c>
      <c r="L50" s="665">
        <v>3290.3</v>
      </c>
      <c r="M50" s="624"/>
      <c r="N50" s="664" t="s">
        <v>86</v>
      </c>
      <c r="P50" s="330">
        <v>3084.5</v>
      </c>
      <c r="Q50" s="486"/>
      <c r="R50" s="687"/>
    </row>
    <row r="51">
      <c r="A51" s="385"/>
      <c r="B51" s="666" t="s">
        <v>288</v>
      </c>
      <c r="D51" s="667">
        <v>260.44</v>
      </c>
      <c r="E51" s="504"/>
      <c r="F51" s="666" t="s">
        <v>288</v>
      </c>
      <c r="H51" s="667">
        <v>233.97</v>
      </c>
      <c r="I51" s="504"/>
      <c r="J51" s="666" t="s">
        <v>288</v>
      </c>
      <c r="L51" s="667">
        <v>267.64</v>
      </c>
      <c r="M51" s="624"/>
      <c r="N51" s="666" t="s">
        <v>288</v>
      </c>
      <c r="P51" s="667">
        <v>252.88</v>
      </c>
      <c r="Q51" s="486"/>
      <c r="R51" s="687"/>
    </row>
    <row r="52">
      <c r="A52" s="385"/>
      <c r="B52" s="666" t="s">
        <v>289</v>
      </c>
      <c r="D52" s="667">
        <v>64.89</v>
      </c>
      <c r="E52" s="504"/>
      <c r="F52" s="666" t="s">
        <v>289</v>
      </c>
      <c r="H52" s="667">
        <v>65.93</v>
      </c>
      <c r="I52" s="504"/>
      <c r="J52" s="666" t="s">
        <v>289</v>
      </c>
      <c r="L52" s="667">
        <v>64.89</v>
      </c>
      <c r="M52" s="624"/>
      <c r="N52" s="666" t="s">
        <v>289</v>
      </c>
      <c r="P52" s="667">
        <v>65.93</v>
      </c>
      <c r="Q52" s="486"/>
      <c r="R52" s="687"/>
    </row>
    <row r="53">
      <c r="A53" s="385"/>
      <c r="B53" s="668" t="s">
        <v>292</v>
      </c>
      <c r="C53" s="477"/>
      <c r="D53" s="712">
        <v>0.779</v>
      </c>
      <c r="E53" s="504"/>
      <c r="F53" s="668" t="s">
        <v>292</v>
      </c>
      <c r="G53" s="477"/>
      <c r="H53" s="712">
        <v>0.7</v>
      </c>
      <c r="I53" s="504"/>
      <c r="J53" s="668" t="s">
        <v>292</v>
      </c>
      <c r="K53" s="477"/>
      <c r="L53" s="712">
        <v>0.799</v>
      </c>
      <c r="M53" s="624"/>
      <c r="N53" s="668" t="s">
        <v>292</v>
      </c>
      <c r="O53" s="477"/>
      <c r="P53" s="712">
        <v>0.755</v>
      </c>
      <c r="Q53" s="486"/>
      <c r="R53" s="687"/>
    </row>
    <row r="54">
      <c r="A54" s="444"/>
      <c r="B54" s="494"/>
      <c r="C54" s="494"/>
      <c r="D54" s="494"/>
      <c r="E54" s="494"/>
      <c r="F54" s="494"/>
      <c r="G54" s="494"/>
      <c r="H54" s="494"/>
      <c r="I54" s="494"/>
      <c r="J54" s="494"/>
      <c r="K54" s="494"/>
      <c r="L54" s="480"/>
      <c r="M54" s="494"/>
      <c r="N54" s="494"/>
      <c r="O54" s="480"/>
      <c r="P54" s="480"/>
      <c r="Q54" s="495"/>
      <c r="R54" s="687"/>
    </row>
    <row r="55">
      <c r="R55" s="711"/>
    </row>
    <row r="56">
      <c r="R56" s="711"/>
    </row>
    <row r="57">
      <c r="R57" s="384"/>
    </row>
    <row r="58">
      <c r="R58" s="384"/>
    </row>
    <row r="59">
      <c r="R59" s="384"/>
    </row>
    <row r="60">
      <c r="R60" s="384"/>
    </row>
    <row r="61">
      <c r="R61" s="384"/>
    </row>
    <row r="62">
      <c r="R62" s="384"/>
    </row>
    <row r="63">
      <c r="R63" s="384"/>
    </row>
    <row r="64">
      <c r="R64" s="384"/>
    </row>
    <row r="65">
      <c r="R65" s="384"/>
    </row>
    <row r="66">
      <c r="R66" s="384"/>
    </row>
    <row r="67">
      <c r="R67" s="384"/>
    </row>
    <row r="68">
      <c r="R68" s="384"/>
    </row>
    <row r="69">
      <c r="R69" s="384"/>
    </row>
    <row r="70">
      <c r="R70" s="384"/>
    </row>
    <row r="71">
      <c r="R71" s="384"/>
    </row>
    <row r="72">
      <c r="R72" s="384"/>
    </row>
    <row r="73">
      <c r="R73" s="384"/>
    </row>
    <row r="74">
      <c r="R74" s="384"/>
    </row>
    <row r="75">
      <c r="R75" s="384"/>
    </row>
    <row r="76">
      <c r="R76" s="384"/>
    </row>
    <row r="77">
      <c r="R77" s="384"/>
    </row>
    <row r="78">
      <c r="R78" s="384"/>
    </row>
    <row r="79">
      <c r="R79" s="384"/>
    </row>
    <row r="80">
      <c r="R80" s="384"/>
    </row>
    <row r="81">
      <c r="R81" s="384"/>
    </row>
    <row r="82">
      <c r="R82" s="384"/>
    </row>
    <row r="83">
      <c r="R83" s="384"/>
    </row>
    <row r="84">
      <c r="R84" s="384"/>
    </row>
    <row r="85">
      <c r="R85" s="384"/>
    </row>
    <row r="86">
      <c r="R86" s="384"/>
    </row>
    <row r="87">
      <c r="R87" s="384"/>
    </row>
    <row r="88">
      <c r="R88" s="384"/>
    </row>
    <row r="89">
      <c r="R89" s="384"/>
    </row>
    <row r="90">
      <c r="R90" s="384"/>
    </row>
    <row r="91">
      <c r="R91" s="384"/>
    </row>
    <row r="92">
      <c r="R92" s="384"/>
    </row>
    <row r="93">
      <c r="R93" s="384"/>
    </row>
    <row r="94">
      <c r="R94" s="384"/>
    </row>
    <row r="95">
      <c r="R95" s="384"/>
    </row>
    <row r="96">
      <c r="R96" s="384"/>
    </row>
    <row r="97">
      <c r="R97" s="384"/>
    </row>
    <row r="98">
      <c r="R98" s="384"/>
    </row>
    <row r="99">
      <c r="R99" s="384"/>
    </row>
    <row r="100">
      <c r="R100" s="384"/>
    </row>
    <row r="101">
      <c r="R101" s="384"/>
    </row>
    <row r="102">
      <c r="R102" s="384"/>
    </row>
    <row r="103">
      <c r="R103" s="384"/>
    </row>
    <row r="104">
      <c r="R104" s="384"/>
    </row>
    <row r="105">
      <c r="R105" s="384"/>
    </row>
    <row r="106">
      <c r="R106" s="384"/>
    </row>
    <row r="107">
      <c r="R107" s="384"/>
    </row>
    <row r="108">
      <c r="R108" s="384"/>
    </row>
    <row r="109">
      <c r="R109" s="384"/>
    </row>
    <row r="110">
      <c r="R110" s="384"/>
    </row>
    <row r="111">
      <c r="R111" s="384"/>
    </row>
    <row r="112">
      <c r="R112" s="687"/>
    </row>
    <row r="113">
      <c r="R113" s="687"/>
    </row>
    <row r="114">
      <c r="R114" s="687"/>
    </row>
    <row r="115">
      <c r="R115" s="687"/>
    </row>
    <row r="116">
      <c r="R116" s="687"/>
    </row>
    <row r="117">
      <c r="R117" s="687"/>
    </row>
    <row r="118">
      <c r="R118" s="687"/>
    </row>
    <row r="119">
      <c r="R119" s="687"/>
    </row>
    <row r="120">
      <c r="R120" s="687"/>
    </row>
    <row r="121">
      <c r="R121" s="687"/>
    </row>
    <row r="127">
      <c r="R127" s="462"/>
    </row>
    <row r="136">
      <c r="O136" s="384"/>
    </row>
    <row r="137">
      <c r="O137" s="384"/>
    </row>
    <row r="138">
      <c r="O138" s="384"/>
    </row>
    <row r="139">
      <c r="O139" s="384"/>
    </row>
    <row r="140">
      <c r="O140" s="384"/>
    </row>
    <row r="141">
      <c r="I141" s="386"/>
      <c r="O141" s="384"/>
    </row>
  </sheetData>
  <mergeCells count="71">
    <mergeCell ref="B46:C46"/>
    <mergeCell ref="B48:D48"/>
    <mergeCell ref="B49:C49"/>
    <mergeCell ref="B50:C50"/>
    <mergeCell ref="B51:C51"/>
    <mergeCell ref="B52:C52"/>
    <mergeCell ref="B53:C53"/>
    <mergeCell ref="B21:C21"/>
    <mergeCell ref="B35:C35"/>
    <mergeCell ref="B39:C39"/>
    <mergeCell ref="B40:C40"/>
    <mergeCell ref="B41:C41"/>
    <mergeCell ref="B42:C42"/>
    <mergeCell ref="B43:C43"/>
    <mergeCell ref="H43:I43"/>
    <mergeCell ref="J43:K43"/>
    <mergeCell ref="F48:H48"/>
    <mergeCell ref="J48:L48"/>
    <mergeCell ref="N48:P48"/>
    <mergeCell ref="J49:K49"/>
    <mergeCell ref="N49:O49"/>
    <mergeCell ref="F52:G52"/>
    <mergeCell ref="F53:G53"/>
    <mergeCell ref="J53:K53"/>
    <mergeCell ref="N53:O53"/>
    <mergeCell ref="F49:G49"/>
    <mergeCell ref="F50:G50"/>
    <mergeCell ref="J50:K50"/>
    <mergeCell ref="N50:O50"/>
    <mergeCell ref="F51:G51"/>
    <mergeCell ref="N51:O51"/>
    <mergeCell ref="N52:O52"/>
    <mergeCell ref="B3:N3"/>
    <mergeCell ref="E4:F4"/>
    <mergeCell ref="H4:I4"/>
    <mergeCell ref="K4:N4"/>
    <mergeCell ref="K6:N8"/>
    <mergeCell ref="K12:N13"/>
    <mergeCell ref="K15:N16"/>
    <mergeCell ref="B20:F20"/>
    <mergeCell ref="H20:J20"/>
    <mergeCell ref="E21:F21"/>
    <mergeCell ref="H21:I21"/>
    <mergeCell ref="H22:I22"/>
    <mergeCell ref="B29:H29"/>
    <mergeCell ref="B30:H30"/>
    <mergeCell ref="H39:I39"/>
    <mergeCell ref="J39:K39"/>
    <mergeCell ref="B37:K37"/>
    <mergeCell ref="D38:E38"/>
    <mergeCell ref="F38:G38"/>
    <mergeCell ref="H38:I38"/>
    <mergeCell ref="J38:K38"/>
    <mergeCell ref="D39:E39"/>
    <mergeCell ref="F39:G39"/>
    <mergeCell ref="D40:E40"/>
    <mergeCell ref="F40:G40"/>
    <mergeCell ref="H40:I40"/>
    <mergeCell ref="J40:K40"/>
    <mergeCell ref="F41:G41"/>
    <mergeCell ref="H41:I41"/>
    <mergeCell ref="J41:K41"/>
    <mergeCell ref="D41:E41"/>
    <mergeCell ref="D42:E42"/>
    <mergeCell ref="F42:G42"/>
    <mergeCell ref="H42:I42"/>
    <mergeCell ref="J42:K42"/>
    <mergeCell ref="D43:E43"/>
    <mergeCell ref="F43:G43"/>
    <mergeCell ref="J51:K51"/>
    <mergeCell ref="J52:K52"/>
  </mergeCells>
  <conditionalFormatting sqref="B49:L49 N49:P49">
    <cfRule type="cellIs" dxfId="4" priority="1" operator="greaterThanOrEqual">
      <formula>30</formula>
    </cfRule>
  </conditionalFormatting>
  <conditionalFormatting sqref="B49:L49 N49:P49">
    <cfRule type="cellIs" dxfId="3" priority="2" operator="lessThan">
      <formula>30</formula>
    </cfRule>
  </conditionalFormatting>
  <conditionalFormatting sqref="D54:K54">
    <cfRule type="cellIs" dxfId="4" priority="3" operator="between">
      <formula>-0.05</formula>
      <formula>0.05</formula>
    </cfRule>
  </conditionalFormatting>
  <conditionalFormatting sqref="D54:K54">
    <cfRule type="cellIs" dxfId="5" priority="4" operator="between">
      <formula>0.0500001</formula>
      <formula>0.1</formula>
    </cfRule>
  </conditionalFormatting>
  <conditionalFormatting sqref="D54:K54">
    <cfRule type="cellIs" dxfId="3" priority="5" operator="greaterThan">
      <formula>0.1</formula>
    </cfRule>
  </conditionalFormatting>
  <conditionalFormatting sqref="D54:K54">
    <cfRule type="cellIs" dxfId="6" priority="6" operator="between">
      <formula>-0.050001</formula>
      <formula>-0.1</formula>
    </cfRule>
  </conditionalFormatting>
  <conditionalFormatting sqref="D54:K54">
    <cfRule type="cellIs" dxfId="3" priority="7" operator="lessThan">
      <formula>-0.1</formula>
    </cfRule>
  </conditionalFormatting>
  <conditionalFormatting sqref="D50 H50 L50 P50">
    <cfRule type="cellIs" dxfId="4" priority="8" operator="greaterThanOrEqual">
      <formula>3000</formula>
    </cfRule>
  </conditionalFormatting>
  <conditionalFormatting sqref="D50 H50 L50 P50">
    <cfRule type="cellIs" dxfId="7" priority="9" operator="lessThan">
      <formula>3000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5" width="12.63"/>
    <col customWidth="1" min="16" max="16" width="5.0"/>
    <col customWidth="1" min="17" max="17" width="19.75"/>
    <col customWidth="1" min="18" max="18" width="7.63"/>
    <col customWidth="1" min="19" max="19" width="8.13"/>
    <col customWidth="1" min="20" max="20" width="6.63"/>
  </cols>
  <sheetData>
    <row r="1">
      <c r="A1" s="378" t="s">
        <v>136</v>
      </c>
    </row>
    <row r="2">
      <c r="A2" s="379"/>
      <c r="B2" s="380" t="s">
        <v>137</v>
      </c>
      <c r="C2" s="381"/>
      <c r="D2" s="381"/>
      <c r="E2" s="382"/>
      <c r="F2" s="382"/>
      <c r="G2" s="382"/>
      <c r="H2" s="382"/>
      <c r="I2" s="382"/>
      <c r="J2" s="382"/>
      <c r="K2" s="382"/>
      <c r="L2" s="382"/>
      <c r="M2" s="382"/>
      <c r="N2" s="382"/>
      <c r="O2" s="382"/>
      <c r="P2" s="383"/>
      <c r="Q2" s="384"/>
      <c r="R2" s="384"/>
      <c r="S2" s="384"/>
      <c r="T2" s="384"/>
      <c r="U2" s="384"/>
      <c r="V2" s="384"/>
      <c r="W2" s="384"/>
      <c r="X2" s="384"/>
      <c r="Y2" s="384"/>
    </row>
    <row r="3">
      <c r="A3" s="385"/>
      <c r="B3" s="386"/>
      <c r="C3" s="386"/>
      <c r="D3" s="386"/>
      <c r="E3" s="386"/>
      <c r="F3" s="386"/>
      <c r="G3" s="386"/>
      <c r="H3" s="386"/>
      <c r="I3" s="386"/>
      <c r="J3" s="386"/>
      <c r="K3" s="386"/>
      <c r="L3" s="386"/>
      <c r="M3" s="386"/>
      <c r="N3" s="386"/>
      <c r="O3" s="386"/>
      <c r="P3" s="387"/>
      <c r="Q3" s="384"/>
      <c r="R3" s="384"/>
      <c r="S3" s="384"/>
      <c r="T3" s="384"/>
      <c r="U3" s="384"/>
      <c r="V3" s="384"/>
      <c r="W3" s="384"/>
      <c r="X3" s="384"/>
      <c r="Y3" s="384"/>
    </row>
    <row r="4">
      <c r="A4" s="385"/>
      <c r="B4" s="388" t="s">
        <v>1</v>
      </c>
      <c r="C4" s="150"/>
      <c r="D4" s="150"/>
      <c r="E4" s="150"/>
      <c r="F4" s="150"/>
      <c r="G4" s="150"/>
      <c r="H4" s="150"/>
      <c r="I4" s="150"/>
      <c r="J4" s="150"/>
      <c r="K4" s="151"/>
      <c r="L4" s="386"/>
      <c r="M4" s="386"/>
      <c r="N4" s="386"/>
      <c r="O4" s="386"/>
      <c r="P4" s="387"/>
      <c r="Q4" s="384"/>
      <c r="R4" s="384"/>
      <c r="S4" s="384"/>
      <c r="T4" s="384"/>
      <c r="U4" s="384"/>
      <c r="V4" s="384"/>
      <c r="W4" s="384"/>
      <c r="X4" s="384"/>
      <c r="Y4" s="384"/>
    </row>
    <row r="5">
      <c r="A5" s="385"/>
      <c r="B5" s="389" t="s">
        <v>2</v>
      </c>
      <c r="C5" s="390" t="s">
        <v>3</v>
      </c>
      <c r="D5" s="390" t="s">
        <v>4</v>
      </c>
      <c r="F5" s="390" t="s">
        <v>5</v>
      </c>
      <c r="H5" s="391" t="s">
        <v>138</v>
      </c>
      <c r="K5" s="13"/>
      <c r="L5" s="386"/>
      <c r="M5" s="392"/>
      <c r="N5" s="392"/>
      <c r="O5" s="386"/>
      <c r="P5" s="387"/>
      <c r="Q5" s="384"/>
      <c r="R5" s="384"/>
      <c r="S5" s="384"/>
      <c r="T5" s="384"/>
      <c r="U5" s="384"/>
      <c r="V5" s="384"/>
      <c r="W5" s="384"/>
      <c r="X5" s="384"/>
      <c r="Y5" s="384"/>
    </row>
    <row r="6">
      <c r="A6" s="385"/>
      <c r="B6" s="393"/>
      <c r="C6" s="394" t="s">
        <v>130</v>
      </c>
      <c r="D6" s="394" t="s">
        <v>130</v>
      </c>
      <c r="E6" s="395" t="s">
        <v>139</v>
      </c>
      <c r="F6" s="394" t="s">
        <v>130</v>
      </c>
      <c r="G6" s="395" t="s">
        <v>139</v>
      </c>
      <c r="H6" s="396" t="s">
        <v>140</v>
      </c>
      <c r="I6" s="396" t="s">
        <v>141</v>
      </c>
      <c r="J6" s="396" t="s">
        <v>142</v>
      </c>
      <c r="K6" s="397" t="s">
        <v>143</v>
      </c>
      <c r="L6" s="386"/>
      <c r="M6" s="386"/>
      <c r="N6" s="392"/>
      <c r="O6" s="386"/>
      <c r="P6" s="387"/>
      <c r="Q6" s="384"/>
      <c r="R6" s="384"/>
      <c r="S6" s="384"/>
      <c r="T6" s="384"/>
      <c r="U6" s="384"/>
      <c r="V6" s="384"/>
      <c r="W6" s="384"/>
      <c r="X6" s="384"/>
      <c r="Y6" s="384"/>
    </row>
    <row r="7">
      <c r="A7" s="385"/>
      <c r="B7" s="398" t="s">
        <v>11</v>
      </c>
      <c r="C7" s="399">
        <v>1022.0</v>
      </c>
      <c r="D7" s="399">
        <v>1.6</v>
      </c>
      <c r="E7" s="399">
        <f t="shared" ref="E7:E15" si="1">1.15*D7</f>
        <v>1.84</v>
      </c>
      <c r="F7" s="399">
        <v>4.0</v>
      </c>
      <c r="G7" s="400">
        <f t="shared" ref="G7:G15" si="2">1.15*F7</f>
        <v>4.6</v>
      </c>
      <c r="H7" s="399">
        <v>0.0</v>
      </c>
      <c r="K7" s="200"/>
      <c r="L7" s="386"/>
      <c r="M7" s="386"/>
      <c r="N7" s="386"/>
      <c r="O7" s="386"/>
      <c r="P7" s="387"/>
      <c r="Q7" s="384"/>
      <c r="R7" s="384"/>
      <c r="S7" s="384"/>
      <c r="T7" s="384"/>
      <c r="U7" s="384"/>
      <c r="V7" s="384"/>
      <c r="W7" s="384"/>
      <c r="X7" s="384"/>
      <c r="Y7" s="384"/>
    </row>
    <row r="8">
      <c r="A8" s="385"/>
      <c r="B8" s="212" t="s">
        <v>12</v>
      </c>
      <c r="C8" s="401">
        <v>775.0</v>
      </c>
      <c r="D8" s="401">
        <v>6.64</v>
      </c>
      <c r="E8" s="401">
        <f t="shared" si="1"/>
        <v>7.636</v>
      </c>
      <c r="F8" s="401">
        <v>6.55</v>
      </c>
      <c r="G8" s="213">
        <f t="shared" si="2"/>
        <v>7.5325</v>
      </c>
      <c r="K8" s="208"/>
      <c r="L8" s="386"/>
      <c r="M8" s="386"/>
      <c r="N8" s="386"/>
      <c r="O8" s="386"/>
      <c r="P8" s="387"/>
      <c r="Q8" s="384"/>
      <c r="R8" s="384"/>
      <c r="S8" s="384"/>
      <c r="T8" s="384"/>
      <c r="U8" s="384"/>
      <c r="V8" s="384"/>
      <c r="W8" s="384"/>
      <c r="X8" s="384"/>
      <c r="Y8" s="384"/>
    </row>
    <row r="9">
      <c r="A9" s="385"/>
      <c r="B9" s="398" t="s">
        <v>13</v>
      </c>
      <c r="C9" s="399">
        <v>396.0</v>
      </c>
      <c r="D9" s="399">
        <v>5.0</v>
      </c>
      <c r="E9" s="399">
        <f t="shared" si="1"/>
        <v>5.75</v>
      </c>
      <c r="F9" s="399">
        <v>3.5</v>
      </c>
      <c r="G9" s="400">
        <f t="shared" si="2"/>
        <v>4.025</v>
      </c>
      <c r="K9" s="200"/>
      <c r="L9" s="386"/>
      <c r="M9" s="386"/>
      <c r="N9" s="386"/>
      <c r="O9" s="386"/>
      <c r="P9" s="387"/>
      <c r="Q9" s="384"/>
      <c r="R9" s="384"/>
      <c r="S9" s="384"/>
      <c r="T9" s="384"/>
      <c r="U9" s="384"/>
      <c r="V9" s="384"/>
      <c r="W9" s="384"/>
      <c r="X9" s="384"/>
      <c r="Y9" s="384"/>
    </row>
    <row r="10">
      <c r="A10" s="385"/>
      <c r="B10" s="212" t="s">
        <v>14</v>
      </c>
      <c r="C10" s="401">
        <v>754.0</v>
      </c>
      <c r="D10" s="401">
        <v>5.82</v>
      </c>
      <c r="E10" s="401">
        <f t="shared" si="1"/>
        <v>6.693</v>
      </c>
      <c r="F10" s="401">
        <v>6.5</v>
      </c>
      <c r="G10" s="213">
        <f t="shared" si="2"/>
        <v>7.475</v>
      </c>
      <c r="H10" s="402">
        <v>3.0</v>
      </c>
      <c r="I10" s="402">
        <v>3.0</v>
      </c>
      <c r="J10" s="402">
        <v>3.0</v>
      </c>
      <c r="K10" s="403">
        <v>3.0</v>
      </c>
      <c r="L10" s="386"/>
      <c r="M10" s="386"/>
      <c r="N10" s="386"/>
      <c r="O10" s="386"/>
      <c r="P10" s="387"/>
      <c r="Q10" s="384"/>
      <c r="R10" s="384"/>
      <c r="S10" s="384"/>
      <c r="T10" s="384"/>
      <c r="U10" s="384"/>
      <c r="V10" s="384"/>
      <c r="W10" s="384"/>
      <c r="X10" s="384"/>
      <c r="Y10" s="384"/>
    </row>
    <row r="11">
      <c r="A11" s="385"/>
      <c r="B11" s="404" t="s">
        <v>15</v>
      </c>
      <c r="C11" s="405">
        <v>622.0</v>
      </c>
      <c r="D11" s="399">
        <v>7.4</v>
      </c>
      <c r="E11" s="399">
        <f t="shared" si="1"/>
        <v>8.51</v>
      </c>
      <c r="F11" s="399">
        <v>0.0</v>
      </c>
      <c r="G11" s="400">
        <f t="shared" si="2"/>
        <v>0</v>
      </c>
      <c r="H11" s="406">
        <f>E54*E41</f>
        <v>15.4748125</v>
      </c>
      <c r="I11" s="406">
        <f>E56*I41</f>
        <v>15.4748125</v>
      </c>
      <c r="J11" s="406">
        <f>J54</f>
        <v>6.947446154</v>
      </c>
      <c r="K11" s="407">
        <f>J55</f>
        <v>6.947446154</v>
      </c>
      <c r="L11" s="386"/>
      <c r="M11" s="386"/>
      <c r="N11" s="386"/>
      <c r="O11" s="386"/>
      <c r="P11" s="387"/>
      <c r="Q11" s="384"/>
      <c r="R11" s="384"/>
      <c r="S11" s="384"/>
      <c r="T11" s="384"/>
      <c r="U11" s="384"/>
      <c r="V11" s="384"/>
      <c r="W11" s="384"/>
      <c r="X11" s="384"/>
      <c r="Y11" s="384"/>
    </row>
    <row r="12">
      <c r="A12" s="385"/>
      <c r="B12" s="212" t="s">
        <v>16</v>
      </c>
      <c r="C12" s="213">
        <v>280.0</v>
      </c>
      <c r="D12" s="401">
        <v>3.13</v>
      </c>
      <c r="E12" s="401">
        <f t="shared" si="1"/>
        <v>3.5995</v>
      </c>
      <c r="F12" s="401">
        <v>2.63</v>
      </c>
      <c r="G12" s="213">
        <f t="shared" si="2"/>
        <v>3.0245</v>
      </c>
      <c r="H12" s="401">
        <v>0.0</v>
      </c>
      <c r="K12" s="208"/>
      <c r="L12" s="386"/>
      <c r="M12" s="386"/>
      <c r="N12" s="386"/>
      <c r="O12" s="386"/>
      <c r="P12" s="387"/>
      <c r="Q12" s="384"/>
      <c r="R12" s="384"/>
      <c r="S12" s="384"/>
      <c r="T12" s="384"/>
      <c r="U12" s="384"/>
      <c r="V12" s="384"/>
      <c r="W12" s="384"/>
      <c r="X12" s="384"/>
      <c r="Y12" s="384"/>
    </row>
    <row r="13">
      <c r="A13" s="385"/>
      <c r="B13" s="408" t="s">
        <v>17</v>
      </c>
      <c r="C13" s="399">
        <f>C12+C11+C14+0.5*(C15-250)+0.3*C10</f>
        <v>2122.7</v>
      </c>
      <c r="D13" s="399">
        <v>0.7</v>
      </c>
      <c r="E13" s="399">
        <f t="shared" si="1"/>
        <v>0.805</v>
      </c>
      <c r="F13" s="399">
        <v>0.95</v>
      </c>
      <c r="G13" s="400">
        <f t="shared" si="2"/>
        <v>1.0925</v>
      </c>
      <c r="K13" s="200"/>
      <c r="L13" s="386"/>
      <c r="M13" s="386"/>
      <c r="N13" s="386"/>
      <c r="O13" s="386"/>
      <c r="P13" s="387"/>
      <c r="Q13" s="384"/>
      <c r="X13" s="384"/>
      <c r="Y13" s="384"/>
    </row>
    <row r="14">
      <c r="A14" s="385"/>
      <c r="B14" s="404" t="s">
        <v>18</v>
      </c>
      <c r="C14" s="405">
        <v>622.0</v>
      </c>
      <c r="D14" s="401">
        <v>7.4</v>
      </c>
      <c r="E14" s="401">
        <f t="shared" si="1"/>
        <v>8.51</v>
      </c>
      <c r="F14" s="401">
        <v>0.0</v>
      </c>
      <c r="G14" s="213">
        <f t="shared" si="2"/>
        <v>0</v>
      </c>
      <c r="H14" s="409">
        <f>E54*E42</f>
        <v>24.7597</v>
      </c>
      <c r="I14" s="409">
        <f>E56*I42</f>
        <v>24.7597</v>
      </c>
      <c r="J14" s="409">
        <f>J56</f>
        <v>11.11591385</v>
      </c>
      <c r="K14" s="410">
        <f>J57</f>
        <v>11.11591385</v>
      </c>
      <c r="L14" s="386"/>
      <c r="M14" s="386"/>
      <c r="N14" s="386"/>
      <c r="O14" s="386"/>
      <c r="P14" s="387"/>
      <c r="Q14" s="384"/>
      <c r="X14" s="384"/>
      <c r="Y14" s="384"/>
    </row>
    <row r="15">
      <c r="A15" s="385"/>
      <c r="B15" s="398" t="s">
        <v>19</v>
      </c>
      <c r="C15" s="399">
        <v>995.0</v>
      </c>
      <c r="D15" s="399">
        <v>8.0</v>
      </c>
      <c r="E15" s="399">
        <f t="shared" si="1"/>
        <v>9.2</v>
      </c>
      <c r="F15" s="399">
        <v>11.11</v>
      </c>
      <c r="G15" s="400">
        <f t="shared" si="2"/>
        <v>12.7765</v>
      </c>
      <c r="H15" s="399">
        <v>0.0</v>
      </c>
      <c r="K15" s="200"/>
      <c r="L15" s="386"/>
      <c r="M15" s="386"/>
      <c r="N15" s="386"/>
      <c r="O15" s="386"/>
      <c r="P15" s="387"/>
      <c r="Q15" s="384"/>
      <c r="X15" s="384"/>
      <c r="Y15" s="384"/>
    </row>
    <row r="16">
      <c r="A16" s="385"/>
      <c r="B16" s="411" t="s">
        <v>144</v>
      </c>
      <c r="C16" s="412">
        <f>SUM(C7:C15)-C13</f>
        <v>5466</v>
      </c>
      <c r="D16" s="412">
        <f t="shared" ref="D16:K16" si="3">SUM(D7:D15)</f>
        <v>45.69</v>
      </c>
      <c r="E16" s="412">
        <f t="shared" si="3"/>
        <v>52.5435</v>
      </c>
      <c r="F16" s="412">
        <f t="shared" si="3"/>
        <v>35.24</v>
      </c>
      <c r="G16" s="412">
        <f t="shared" si="3"/>
        <v>40.526</v>
      </c>
      <c r="H16" s="412">
        <f t="shared" si="3"/>
        <v>43.2345125</v>
      </c>
      <c r="I16" s="412">
        <f t="shared" si="3"/>
        <v>43.2345125</v>
      </c>
      <c r="J16" s="412">
        <f t="shared" si="3"/>
        <v>21.06336</v>
      </c>
      <c r="K16" s="413">
        <f t="shared" si="3"/>
        <v>21.06336</v>
      </c>
      <c r="L16" s="386"/>
      <c r="M16" s="386"/>
      <c r="N16" s="386"/>
      <c r="O16" s="386"/>
      <c r="P16" s="387"/>
      <c r="Q16" s="384"/>
      <c r="X16" s="384"/>
      <c r="Y16" s="384"/>
    </row>
    <row r="17">
      <c r="A17" s="385"/>
      <c r="B17" s="414"/>
      <c r="C17" s="414"/>
      <c r="D17" s="415"/>
      <c r="E17" s="416"/>
      <c r="F17" s="400"/>
      <c r="G17" s="416"/>
      <c r="H17" s="416"/>
      <c r="I17" s="416"/>
      <c r="J17" s="416"/>
      <c r="K17" s="416"/>
      <c r="L17" s="417"/>
      <c r="M17" s="417"/>
      <c r="N17" s="417"/>
      <c r="O17" s="417"/>
      <c r="P17" s="387"/>
      <c r="Q17" s="384"/>
      <c r="R17" s="384"/>
      <c r="S17" s="384"/>
      <c r="T17" s="384"/>
      <c r="U17" s="384"/>
      <c r="V17" s="384"/>
      <c r="W17" s="384"/>
      <c r="X17" s="384"/>
      <c r="Y17" s="384"/>
    </row>
    <row r="18">
      <c r="A18" s="385"/>
      <c r="B18" s="418" t="s">
        <v>145</v>
      </c>
      <c r="C18" s="150"/>
      <c r="D18" s="150"/>
      <c r="E18" s="150"/>
      <c r="F18" s="150"/>
      <c r="G18" s="150"/>
      <c r="H18" s="150"/>
      <c r="I18" s="151"/>
      <c r="K18" s="418" t="s">
        <v>146</v>
      </c>
      <c r="L18" s="150"/>
      <c r="M18" s="151"/>
      <c r="P18" s="387"/>
      <c r="W18" s="384"/>
      <c r="X18" s="384"/>
      <c r="Y18" s="384"/>
    </row>
    <row r="19">
      <c r="A19" s="385"/>
      <c r="B19" s="419" t="s">
        <v>140</v>
      </c>
      <c r="D19" s="396" t="s">
        <v>142</v>
      </c>
      <c r="F19" s="396" t="s">
        <v>141</v>
      </c>
      <c r="H19" s="396" t="s">
        <v>143</v>
      </c>
      <c r="I19" s="13"/>
      <c r="K19" s="420" t="s">
        <v>130</v>
      </c>
      <c r="M19" s="421">
        <f>D16+F16</f>
        <v>80.93</v>
      </c>
      <c r="P19" s="387"/>
      <c r="W19" s="384"/>
      <c r="X19" s="384"/>
      <c r="Y19" s="384"/>
    </row>
    <row r="20">
      <c r="A20" s="385"/>
      <c r="B20" s="422" t="s">
        <v>130</v>
      </c>
      <c r="C20" s="395" t="s">
        <v>139</v>
      </c>
      <c r="D20" s="394" t="s">
        <v>130</v>
      </c>
      <c r="E20" s="395" t="s">
        <v>139</v>
      </c>
      <c r="F20" s="394" t="s">
        <v>130</v>
      </c>
      <c r="G20" s="395" t="s">
        <v>139</v>
      </c>
      <c r="H20" s="394" t="s">
        <v>130</v>
      </c>
      <c r="I20" s="423" t="s">
        <v>139</v>
      </c>
      <c r="K20" s="424" t="s">
        <v>139</v>
      </c>
      <c r="L20" s="7"/>
      <c r="M20" s="425">
        <f>E16+G16</f>
        <v>93.0695</v>
      </c>
      <c r="P20" s="387"/>
      <c r="W20" s="384"/>
      <c r="X20" s="384"/>
      <c r="Y20" s="384"/>
    </row>
    <row r="21">
      <c r="A21" s="426"/>
      <c r="B21" s="427">
        <f>B32+H16</f>
        <v>124.1645125</v>
      </c>
      <c r="C21" s="428">
        <f>C32+H16</f>
        <v>136.3040125</v>
      </c>
      <c r="D21" s="428">
        <f>B32+J16</f>
        <v>101.99336</v>
      </c>
      <c r="E21" s="428">
        <f>C32+J16</f>
        <v>114.13286</v>
      </c>
      <c r="F21" s="428">
        <f>B32+I16</f>
        <v>124.1645125</v>
      </c>
      <c r="G21" s="428">
        <f>C32+I16</f>
        <v>136.3040125</v>
      </c>
      <c r="H21" s="428">
        <f>B32+K16</f>
        <v>101.99336</v>
      </c>
      <c r="I21" s="429">
        <f>C32+K16</f>
        <v>114.13286</v>
      </c>
      <c r="P21" s="430"/>
      <c r="W21" s="431"/>
      <c r="X21" s="431"/>
      <c r="Y21" s="431"/>
    </row>
    <row r="22">
      <c r="A22" s="385"/>
      <c r="B22" s="414"/>
      <c r="C22" s="414"/>
      <c r="D22" s="415"/>
      <c r="E22" s="416"/>
      <c r="F22" s="400"/>
      <c r="G22" s="416"/>
      <c r="H22" s="416"/>
      <c r="I22" s="416"/>
      <c r="J22" s="416"/>
      <c r="K22" s="416"/>
      <c r="L22" s="416"/>
      <c r="M22" s="416"/>
      <c r="N22" s="416"/>
      <c r="O22" s="416"/>
      <c r="P22" s="387"/>
      <c r="W22" s="384"/>
      <c r="X22" s="384"/>
      <c r="Y22" s="384"/>
    </row>
    <row r="23">
      <c r="A23" s="385"/>
      <c r="B23" s="432" t="s">
        <v>22</v>
      </c>
      <c r="C23" s="150"/>
      <c r="D23" s="433" t="s">
        <v>140</v>
      </c>
      <c r="E23" s="150"/>
      <c r="F23" s="433" t="s">
        <v>142</v>
      </c>
      <c r="G23" s="150"/>
      <c r="H23" s="433" t="s">
        <v>141</v>
      </c>
      <c r="I23" s="150"/>
      <c r="J23" s="433" t="s">
        <v>143</v>
      </c>
      <c r="K23" s="151"/>
      <c r="P23" s="387"/>
      <c r="Q23" s="384"/>
      <c r="V23" s="384"/>
      <c r="W23" s="384"/>
      <c r="X23" s="384"/>
      <c r="Y23" s="384"/>
    </row>
    <row r="24">
      <c r="A24" s="385"/>
      <c r="B24" s="434"/>
      <c r="D24" s="394" t="s">
        <v>130</v>
      </c>
      <c r="E24" s="395" t="s">
        <v>139</v>
      </c>
      <c r="F24" s="394" t="s">
        <v>130</v>
      </c>
      <c r="G24" s="395" t="s">
        <v>139</v>
      </c>
      <c r="H24" s="394" t="s">
        <v>130</v>
      </c>
      <c r="I24" s="395" t="s">
        <v>139</v>
      </c>
      <c r="J24" s="394" t="s">
        <v>130</v>
      </c>
      <c r="K24" s="423" t="s">
        <v>139</v>
      </c>
      <c r="P24" s="387"/>
      <c r="Q24" s="384"/>
      <c r="V24" s="384"/>
      <c r="W24" s="384"/>
      <c r="X24" s="384"/>
      <c r="Y24" s="384"/>
    </row>
    <row r="25">
      <c r="A25" s="385"/>
      <c r="B25" s="89" t="s">
        <v>24</v>
      </c>
      <c r="D25" s="431">
        <f>1000*$B32-$F15</f>
        <v>80918.89</v>
      </c>
      <c r="E25" s="431">
        <f>1000*$C32-$G15</f>
        <v>93056.7235</v>
      </c>
      <c r="F25" s="431">
        <f>1000*$B32-$F15</f>
        <v>80918.89</v>
      </c>
      <c r="G25" s="431">
        <f>1000*$C32-$G15</f>
        <v>93056.7235</v>
      </c>
      <c r="H25" s="431">
        <f>1000*$B32-$F15</f>
        <v>80918.89</v>
      </c>
      <c r="I25" s="431">
        <f>1000*$C32-$G15</f>
        <v>93056.7235</v>
      </c>
      <c r="J25" s="431">
        <f>1000*$B32-$F15</f>
        <v>80918.89</v>
      </c>
      <c r="K25" s="435">
        <f>1000*$C32-$G15</f>
        <v>93056.7235</v>
      </c>
      <c r="P25" s="387"/>
      <c r="Q25" s="384"/>
      <c r="V25" s="384"/>
      <c r="W25" s="384"/>
      <c r="X25" s="384"/>
      <c r="Y25" s="384"/>
    </row>
    <row r="26">
      <c r="A26" s="385"/>
      <c r="B26" s="436" t="s">
        <v>25</v>
      </c>
      <c r="D26" s="437">
        <f t="shared" ref="D26:K26" si="4">1000*B21</f>
        <v>124164.5125</v>
      </c>
      <c r="E26" s="437">
        <f t="shared" si="4"/>
        <v>136304.0125</v>
      </c>
      <c r="F26" s="437">
        <f t="shared" si="4"/>
        <v>101993.36</v>
      </c>
      <c r="G26" s="437">
        <f t="shared" si="4"/>
        <v>114132.86</v>
      </c>
      <c r="H26" s="437">
        <f t="shared" si="4"/>
        <v>124164.5125</v>
      </c>
      <c r="I26" s="437">
        <f t="shared" si="4"/>
        <v>136304.0125</v>
      </c>
      <c r="J26" s="437">
        <f t="shared" si="4"/>
        <v>101993.36</v>
      </c>
      <c r="K26" s="438">
        <f t="shared" si="4"/>
        <v>114132.86</v>
      </c>
      <c r="P26" s="387"/>
      <c r="Q26" s="384"/>
      <c r="V26" s="384"/>
      <c r="W26" s="384"/>
      <c r="X26" s="384"/>
      <c r="Y26" s="384"/>
    </row>
    <row r="27">
      <c r="A27" s="385"/>
      <c r="B27" s="97" t="s">
        <v>26</v>
      </c>
      <c r="C27" s="7"/>
      <c r="D27" s="439">
        <f t="shared" ref="D27:K27" si="5">$C16</f>
        <v>5466</v>
      </c>
      <c r="E27" s="439">
        <f t="shared" si="5"/>
        <v>5466</v>
      </c>
      <c r="F27" s="439">
        <f t="shared" si="5"/>
        <v>5466</v>
      </c>
      <c r="G27" s="439">
        <f t="shared" si="5"/>
        <v>5466</v>
      </c>
      <c r="H27" s="439">
        <f t="shared" si="5"/>
        <v>5466</v>
      </c>
      <c r="I27" s="439">
        <f t="shared" si="5"/>
        <v>5466</v>
      </c>
      <c r="J27" s="439">
        <f t="shared" si="5"/>
        <v>5466</v>
      </c>
      <c r="K27" s="440">
        <f t="shared" si="5"/>
        <v>5466</v>
      </c>
      <c r="P27" s="387"/>
      <c r="Q27" s="384"/>
      <c r="V27" s="384"/>
      <c r="W27" s="384"/>
      <c r="X27" s="384"/>
      <c r="Y27" s="384"/>
    </row>
    <row r="28">
      <c r="A28" s="385"/>
      <c r="B28" s="414"/>
      <c r="C28" s="414"/>
      <c r="D28" s="415"/>
      <c r="E28" s="416"/>
      <c r="F28" s="400"/>
      <c r="G28" s="416"/>
      <c r="H28" s="416"/>
      <c r="I28" s="416"/>
      <c r="J28" s="416"/>
      <c r="K28" s="392"/>
      <c r="L28" s="392"/>
      <c r="M28" s="392"/>
      <c r="N28" s="416"/>
      <c r="O28" s="416"/>
      <c r="P28" s="387"/>
      <c r="Q28" s="384"/>
      <c r="V28" s="384"/>
      <c r="W28" s="384"/>
      <c r="X28" s="384"/>
      <c r="Y28" s="384"/>
    </row>
    <row r="29">
      <c r="A29" s="385"/>
      <c r="B29" s="414"/>
      <c r="C29" s="414"/>
      <c r="D29" s="415"/>
      <c r="E29" s="416"/>
      <c r="F29" s="400"/>
      <c r="G29" s="416"/>
      <c r="H29" s="392"/>
      <c r="I29" s="392"/>
      <c r="J29" s="392"/>
      <c r="K29" s="392"/>
      <c r="L29" s="392"/>
      <c r="M29" s="392"/>
      <c r="N29" s="392"/>
      <c r="O29" s="416"/>
      <c r="P29" s="387"/>
      <c r="Q29" s="384"/>
      <c r="R29" s="384"/>
      <c r="U29" s="384"/>
      <c r="V29" s="384"/>
      <c r="W29" s="384"/>
      <c r="X29" s="384"/>
      <c r="Y29" s="384"/>
    </row>
    <row r="30">
      <c r="A30" s="385"/>
      <c r="B30" s="418" t="s">
        <v>146</v>
      </c>
      <c r="C30" s="151"/>
      <c r="E30" s="418" t="s">
        <v>17</v>
      </c>
      <c r="F30" s="150"/>
      <c r="G30" s="150"/>
      <c r="H30" s="150"/>
      <c r="I30" s="150"/>
      <c r="J30" s="151"/>
      <c r="L30" s="418" t="s">
        <v>147</v>
      </c>
      <c r="M30" s="150"/>
      <c r="N30" s="151"/>
      <c r="O30" s="416"/>
      <c r="P30" s="387"/>
      <c r="Q30" s="384"/>
      <c r="R30" s="384"/>
      <c r="U30" s="384"/>
      <c r="V30" s="384"/>
      <c r="W30" s="384"/>
      <c r="X30" s="384"/>
      <c r="Y30" s="384"/>
    </row>
    <row r="31">
      <c r="A31" s="385"/>
      <c r="B31" s="422" t="s">
        <v>130</v>
      </c>
      <c r="C31" s="423" t="s">
        <v>139</v>
      </c>
      <c r="E31" s="420" t="s">
        <v>148</v>
      </c>
      <c r="G31" s="441">
        <f>D13+F13</f>
        <v>1.65</v>
      </c>
      <c r="H31" s="420" t="s">
        <v>149</v>
      </c>
      <c r="J31" s="421">
        <f>F12+G31</f>
        <v>4.28</v>
      </c>
      <c r="L31" s="420" t="s">
        <v>150</v>
      </c>
      <c r="N31" s="421">
        <v>243.0</v>
      </c>
      <c r="O31" s="392"/>
      <c r="P31" s="387"/>
      <c r="Q31" s="384"/>
      <c r="R31" s="384"/>
      <c r="S31" s="384"/>
      <c r="T31" s="384"/>
      <c r="U31" s="384"/>
      <c r="V31" s="384"/>
      <c r="W31" s="384"/>
      <c r="X31" s="384"/>
      <c r="Y31" s="384"/>
    </row>
    <row r="32">
      <c r="A32" s="385"/>
      <c r="B32" s="427">
        <f t="shared" ref="B32:C32" si="6">D16+F16</f>
        <v>80.93</v>
      </c>
      <c r="C32" s="429">
        <f t="shared" si="6"/>
        <v>93.0695</v>
      </c>
      <c r="E32" s="442" t="s">
        <v>151</v>
      </c>
      <c r="F32" s="7"/>
      <c r="G32" s="443">
        <f>E13+G13</f>
        <v>1.8975</v>
      </c>
      <c r="H32" s="442" t="s">
        <v>152</v>
      </c>
      <c r="I32" s="7"/>
      <c r="J32" s="425">
        <f>G12+G32</f>
        <v>4.922</v>
      </c>
      <c r="L32" s="442" t="s">
        <v>23</v>
      </c>
      <c r="M32" s="7"/>
      <c r="N32" s="425">
        <f>C16/N31</f>
        <v>22.49382716</v>
      </c>
      <c r="O32" s="392"/>
      <c r="P32" s="387"/>
      <c r="Q32" s="384"/>
      <c r="R32" s="384"/>
      <c r="S32" s="384"/>
      <c r="T32" s="384"/>
      <c r="U32" s="384"/>
      <c r="V32" s="384"/>
      <c r="W32" s="384"/>
      <c r="X32" s="384"/>
      <c r="Y32" s="384"/>
    </row>
    <row r="33">
      <c r="A33" s="385"/>
      <c r="B33" s="392"/>
      <c r="C33" s="392"/>
      <c r="D33" s="392"/>
      <c r="E33" s="392"/>
      <c r="F33" s="392"/>
      <c r="G33" s="392"/>
      <c r="H33" s="416"/>
      <c r="I33" s="416"/>
      <c r="J33" s="416"/>
      <c r="K33" s="416"/>
      <c r="L33" s="416"/>
      <c r="M33" s="416"/>
      <c r="N33" s="416"/>
      <c r="O33" s="416"/>
      <c r="P33" s="387"/>
      <c r="Q33" s="384"/>
      <c r="R33" s="384"/>
      <c r="S33" s="384"/>
      <c r="T33" s="384"/>
      <c r="U33" s="384"/>
      <c r="V33" s="384"/>
      <c r="W33" s="384"/>
      <c r="X33" s="384"/>
      <c r="Y33" s="384"/>
    </row>
    <row r="34">
      <c r="A34" s="444"/>
      <c r="B34" s="445"/>
      <c r="C34" s="445"/>
      <c r="D34" s="446"/>
      <c r="E34" s="447"/>
      <c r="F34" s="448"/>
      <c r="G34" s="447"/>
      <c r="H34" s="447"/>
      <c r="I34" s="447"/>
      <c r="J34" s="447"/>
      <c r="K34" s="447"/>
      <c r="L34" s="447"/>
      <c r="M34" s="447"/>
      <c r="N34" s="447"/>
      <c r="O34" s="447"/>
      <c r="P34" s="449"/>
      <c r="Q34" s="384"/>
      <c r="R34" s="384"/>
      <c r="S34" s="384"/>
      <c r="T34" s="384"/>
      <c r="U34" s="384"/>
      <c r="V34" s="384"/>
      <c r="W34" s="384"/>
      <c r="X34" s="384"/>
      <c r="Y34" s="384"/>
    </row>
    <row r="35">
      <c r="A35" s="379"/>
      <c r="B35" s="450"/>
      <c r="C35" s="450"/>
      <c r="D35" s="451"/>
      <c r="E35" s="452"/>
      <c r="F35" s="453"/>
      <c r="G35" s="452"/>
      <c r="H35" s="452"/>
      <c r="I35" s="452"/>
      <c r="J35" s="452"/>
      <c r="K35" s="452"/>
      <c r="L35" s="452"/>
      <c r="M35" s="452"/>
      <c r="N35" s="452"/>
      <c r="O35" s="452"/>
      <c r="P35" s="383"/>
      <c r="Q35" s="384"/>
      <c r="R35" s="384"/>
      <c r="S35" s="384"/>
      <c r="T35" s="384"/>
      <c r="U35" s="384"/>
      <c r="V35" s="384"/>
      <c r="W35" s="384"/>
      <c r="X35" s="384"/>
      <c r="Y35" s="384"/>
    </row>
    <row r="36">
      <c r="A36" s="385"/>
      <c r="B36" s="454" t="s">
        <v>153</v>
      </c>
      <c r="E36" s="416"/>
      <c r="F36" s="400"/>
      <c r="G36" s="416"/>
      <c r="H36" s="416"/>
      <c r="I36" s="416"/>
      <c r="J36" s="416"/>
      <c r="K36" s="416"/>
      <c r="L36" s="455" t="s">
        <v>154</v>
      </c>
      <c r="M36" s="150"/>
      <c r="N36" s="150"/>
      <c r="O36" s="151"/>
      <c r="P36" s="387"/>
      <c r="Q36" s="384"/>
      <c r="R36" s="384"/>
      <c r="S36" s="384"/>
      <c r="T36" s="384"/>
      <c r="U36" s="384"/>
      <c r="V36" s="384"/>
      <c r="W36" s="384"/>
      <c r="X36" s="384"/>
      <c r="Y36" s="384"/>
    </row>
    <row r="37">
      <c r="A37" s="385"/>
      <c r="J37" s="416"/>
      <c r="K37" s="416"/>
      <c r="L37" s="456" t="s">
        <v>155</v>
      </c>
      <c r="O37" s="457">
        <v>24.7</v>
      </c>
      <c r="P37" s="387"/>
      <c r="Q37" s="384"/>
      <c r="R37" s="384"/>
      <c r="S37" s="384"/>
      <c r="T37" s="384"/>
      <c r="U37" s="384"/>
      <c r="V37" s="384"/>
      <c r="W37" s="384"/>
      <c r="X37" s="384"/>
      <c r="Y37" s="384"/>
    </row>
    <row r="38">
      <c r="A38" s="385"/>
      <c r="B38" s="455" t="s">
        <v>156</v>
      </c>
      <c r="C38" s="150"/>
      <c r="D38" s="150"/>
      <c r="E38" s="150"/>
      <c r="F38" s="150"/>
      <c r="G38" s="150"/>
      <c r="H38" s="150"/>
      <c r="I38" s="151"/>
      <c r="L38" s="458" t="s">
        <v>157</v>
      </c>
      <c r="O38" s="459">
        <v>2.0</v>
      </c>
      <c r="P38" s="387"/>
      <c r="Q38" s="384"/>
      <c r="R38" s="384"/>
      <c r="S38" s="384"/>
      <c r="T38" s="384"/>
      <c r="U38" s="384"/>
      <c r="V38" s="384"/>
      <c r="W38" s="384"/>
      <c r="X38" s="384"/>
      <c r="Y38" s="384"/>
    </row>
    <row r="39">
      <c r="A39" s="385"/>
      <c r="B39" s="460" t="s">
        <v>49</v>
      </c>
      <c r="E39" s="431">
        <v>5000.0</v>
      </c>
      <c r="F39" s="461" t="s">
        <v>57</v>
      </c>
      <c r="I39" s="459">
        <v>7500.0</v>
      </c>
      <c r="L39" s="458" t="s">
        <v>158</v>
      </c>
      <c r="O39" s="457">
        <v>0.5</v>
      </c>
      <c r="P39" s="387"/>
      <c r="Q39" s="384"/>
      <c r="R39" s="384"/>
      <c r="S39" s="384"/>
      <c r="T39" s="384"/>
      <c r="U39" s="384"/>
      <c r="V39" s="384"/>
      <c r="W39" s="384"/>
      <c r="X39" s="384"/>
      <c r="Y39" s="384"/>
    </row>
    <row r="40">
      <c r="A40" s="385"/>
      <c r="B40" s="460" t="s">
        <v>51</v>
      </c>
      <c r="E40" s="462">
        <v>2.205</v>
      </c>
      <c r="F40" s="461" t="s">
        <v>58</v>
      </c>
      <c r="I40" s="463">
        <f>I39/E39*E40</f>
        <v>3.3075</v>
      </c>
      <c r="L40" s="458" t="s">
        <v>159</v>
      </c>
      <c r="O40" s="457">
        <v>0.5</v>
      </c>
      <c r="P40" s="387"/>
      <c r="Q40" s="384"/>
      <c r="R40" s="384"/>
      <c r="S40" s="384"/>
      <c r="T40" s="384"/>
      <c r="U40" s="384"/>
      <c r="V40" s="384"/>
      <c r="W40" s="384"/>
      <c r="X40" s="384"/>
      <c r="Y40" s="384"/>
    </row>
    <row r="41">
      <c r="A41" s="385"/>
      <c r="B41" s="460" t="s">
        <v>53</v>
      </c>
      <c r="E41" s="462">
        <f>E40/(1+E48)</f>
        <v>0.8480769231</v>
      </c>
      <c r="F41" s="464" t="s">
        <v>59</v>
      </c>
      <c r="I41" s="435">
        <f>I39/E39*E41</f>
        <v>1.272115385</v>
      </c>
      <c r="L41" s="458" t="s">
        <v>160</v>
      </c>
      <c r="O41" s="457">
        <v>0.5</v>
      </c>
      <c r="P41" s="387"/>
      <c r="Q41" s="384"/>
      <c r="R41" s="384"/>
      <c r="S41" s="384"/>
      <c r="T41" s="384"/>
      <c r="U41" s="384"/>
      <c r="V41" s="384"/>
      <c r="W41" s="384"/>
      <c r="X41" s="384"/>
      <c r="Y41" s="384"/>
    </row>
    <row r="42">
      <c r="A42" s="385"/>
      <c r="B42" s="460" t="s">
        <v>55</v>
      </c>
      <c r="E42" s="431">
        <f>E40-E41</f>
        <v>1.356923077</v>
      </c>
      <c r="F42" s="464" t="s">
        <v>60</v>
      </c>
      <c r="I42" s="435">
        <f>E42*I39/E39</f>
        <v>2.035384615</v>
      </c>
      <c r="L42" s="458" t="s">
        <v>161</v>
      </c>
      <c r="O42" s="457">
        <v>0.5</v>
      </c>
      <c r="P42" s="387"/>
      <c r="Q42" s="384"/>
      <c r="R42" s="384"/>
      <c r="S42" s="384"/>
      <c r="T42" s="384"/>
      <c r="U42" s="384"/>
      <c r="V42" s="384"/>
      <c r="W42" s="384"/>
      <c r="X42" s="384"/>
      <c r="Y42" s="384"/>
    </row>
    <row r="43">
      <c r="A43" s="385"/>
      <c r="B43" s="460" t="s">
        <v>162</v>
      </c>
      <c r="E43" s="431">
        <f t="shared" ref="E43:E44" si="7">1000*E41/E49</f>
        <v>1.047008547</v>
      </c>
      <c r="F43" s="464" t="s">
        <v>163</v>
      </c>
      <c r="I43" s="435">
        <f t="shared" ref="I43:I44" si="8">1000*I41/E49</f>
        <v>1.570512821</v>
      </c>
      <c r="L43" s="456" t="s">
        <v>164</v>
      </c>
      <c r="O43" s="435">
        <f>O37-O38-O39-O41</f>
        <v>21.7</v>
      </c>
      <c r="P43" s="387"/>
      <c r="Q43" s="384"/>
      <c r="R43" s="384"/>
      <c r="S43" s="384"/>
      <c r="T43" s="384"/>
      <c r="U43" s="384"/>
      <c r="V43" s="384"/>
      <c r="W43" s="384"/>
      <c r="X43" s="384"/>
      <c r="Y43" s="384"/>
    </row>
    <row r="44">
      <c r="A44" s="385"/>
      <c r="B44" s="465" t="s">
        <v>165</v>
      </c>
      <c r="C44" s="7"/>
      <c r="D44" s="7"/>
      <c r="E44" s="428">
        <f t="shared" si="7"/>
        <v>1.189240208</v>
      </c>
      <c r="F44" s="466" t="s">
        <v>166</v>
      </c>
      <c r="G44" s="7"/>
      <c r="H44" s="7"/>
      <c r="I44" s="429">
        <f t="shared" si="8"/>
        <v>1.783860311</v>
      </c>
      <c r="L44" s="456" t="s">
        <v>167</v>
      </c>
      <c r="O44" s="457">
        <f>O43/O37</f>
        <v>0.8785425101</v>
      </c>
      <c r="P44" s="387"/>
      <c r="Q44" s="384"/>
      <c r="R44" s="384"/>
      <c r="S44" s="384"/>
      <c r="T44" s="384"/>
      <c r="U44" s="384"/>
      <c r="V44" s="384"/>
      <c r="W44" s="384"/>
      <c r="X44" s="384"/>
      <c r="Y44" s="384"/>
    </row>
    <row r="45">
      <c r="A45" s="385"/>
      <c r="B45" s="384"/>
      <c r="C45" s="384"/>
      <c r="D45" s="384" t="s">
        <v>94</v>
      </c>
      <c r="E45" s="384"/>
      <c r="F45" s="386"/>
      <c r="G45" s="386"/>
      <c r="L45" s="467" t="s">
        <v>168</v>
      </c>
      <c r="M45" s="7"/>
      <c r="N45" s="7"/>
      <c r="O45" s="429">
        <f>O43+O42+O40</f>
        <v>22.7</v>
      </c>
      <c r="P45" s="387"/>
      <c r="Q45" s="384"/>
      <c r="R45" s="384"/>
      <c r="U45" s="384"/>
      <c r="V45" s="384"/>
      <c r="W45" s="384"/>
      <c r="X45" s="384"/>
      <c r="Y45" s="384"/>
    </row>
    <row r="46">
      <c r="A46" s="385"/>
      <c r="B46" s="455" t="s">
        <v>169</v>
      </c>
      <c r="C46" s="150"/>
      <c r="D46" s="150"/>
      <c r="E46" s="151"/>
      <c r="G46" s="468" t="s">
        <v>170</v>
      </c>
      <c r="H46" s="469"/>
      <c r="I46" s="469"/>
      <c r="J46" s="470"/>
      <c r="L46" s="462"/>
      <c r="M46" s="462"/>
      <c r="N46" s="462"/>
      <c r="O46" s="462"/>
      <c r="P46" s="387"/>
      <c r="Q46" s="384"/>
      <c r="R46" s="384"/>
      <c r="X46" s="384"/>
      <c r="Y46" s="384"/>
    </row>
    <row r="47">
      <c r="A47" s="385"/>
      <c r="B47" s="471" t="s">
        <v>63</v>
      </c>
      <c r="E47" s="435">
        <v>98.92</v>
      </c>
      <c r="G47" s="472" t="s">
        <v>171</v>
      </c>
      <c r="J47" s="473">
        <v>40960.0</v>
      </c>
      <c r="L47" s="455" t="s">
        <v>172</v>
      </c>
      <c r="M47" s="150"/>
      <c r="N47" s="150"/>
      <c r="O47" s="151"/>
      <c r="P47" s="387"/>
      <c r="Q47" s="384"/>
      <c r="R47" s="384"/>
      <c r="U47" s="384"/>
      <c r="V47" s="384"/>
      <c r="W47" s="384"/>
      <c r="X47" s="384"/>
      <c r="Y47" s="384"/>
    </row>
    <row r="48">
      <c r="A48" s="385"/>
      <c r="B48" s="460" t="s">
        <v>173</v>
      </c>
      <c r="E48" s="457">
        <v>1.6</v>
      </c>
      <c r="G48" s="472" t="s">
        <v>174</v>
      </c>
      <c r="J48" s="474">
        <f>E54*E39</f>
        <v>91234.72222</v>
      </c>
      <c r="K48" s="384"/>
      <c r="L48" s="456" t="s">
        <v>155</v>
      </c>
      <c r="O48" s="457">
        <f>O37</f>
        <v>24.7</v>
      </c>
      <c r="P48" s="387"/>
      <c r="Q48" s="384"/>
      <c r="R48" s="384"/>
      <c r="U48" s="384"/>
      <c r="V48" s="384"/>
      <c r="W48" s="384"/>
      <c r="X48" s="384"/>
      <c r="Y48" s="384"/>
    </row>
    <row r="49">
      <c r="A49" s="385"/>
      <c r="B49" s="460" t="s">
        <v>46</v>
      </c>
      <c r="E49" s="435">
        <v>810.0</v>
      </c>
      <c r="G49" s="472" t="s">
        <v>175</v>
      </c>
      <c r="J49" s="474">
        <f>E56*I39</f>
        <v>91234.72222</v>
      </c>
      <c r="K49" s="384"/>
      <c r="L49" s="458" t="s">
        <v>157</v>
      </c>
      <c r="O49" s="459">
        <f>O48-O57</f>
        <v>13.95774422</v>
      </c>
      <c r="P49" s="387"/>
      <c r="Q49" s="384"/>
      <c r="R49" s="384"/>
      <c r="S49" s="386"/>
      <c r="T49" s="386"/>
      <c r="U49" s="384"/>
      <c r="V49" s="384"/>
      <c r="W49" s="384"/>
      <c r="X49" s="384"/>
      <c r="Y49" s="384"/>
    </row>
    <row r="50">
      <c r="A50" s="385"/>
      <c r="B50" s="475" t="s">
        <v>47</v>
      </c>
      <c r="C50" s="7"/>
      <c r="D50" s="7"/>
      <c r="E50" s="429">
        <v>1141.0</v>
      </c>
      <c r="G50" s="472" t="s">
        <v>176</v>
      </c>
      <c r="J50" s="473">
        <v>235.0</v>
      </c>
      <c r="K50" s="384"/>
      <c r="L50" s="458" t="s">
        <v>158</v>
      </c>
      <c r="O50" s="457">
        <f t="shared" ref="O50:O53" si="9">O39</f>
        <v>0.5</v>
      </c>
      <c r="P50" s="387"/>
      <c r="Q50" s="384"/>
      <c r="R50" s="384"/>
      <c r="U50" s="384"/>
      <c r="V50" s="384"/>
      <c r="W50" s="384"/>
      <c r="X50" s="384"/>
      <c r="Y50" s="384"/>
    </row>
    <row r="51">
      <c r="A51" s="385"/>
      <c r="G51" s="476" t="s">
        <v>177</v>
      </c>
      <c r="H51" s="477"/>
      <c r="I51" s="477"/>
      <c r="J51" s="478">
        <v>255.0</v>
      </c>
      <c r="K51" s="384"/>
      <c r="L51" s="458" t="s">
        <v>159</v>
      </c>
      <c r="O51" s="457">
        <f t="shared" si="9"/>
        <v>0.5</v>
      </c>
      <c r="P51" s="387"/>
      <c r="Q51" s="384"/>
      <c r="R51" s="384"/>
      <c r="U51" s="384"/>
      <c r="V51" s="384"/>
      <c r="W51" s="384"/>
      <c r="X51" s="384"/>
      <c r="Y51" s="384"/>
    </row>
    <row r="52">
      <c r="A52" s="385"/>
      <c r="B52" s="455" t="s">
        <v>178</v>
      </c>
      <c r="C52" s="150"/>
      <c r="D52" s="150"/>
      <c r="E52" s="151"/>
      <c r="K52" s="384"/>
      <c r="L52" s="458" t="s">
        <v>160</v>
      </c>
      <c r="O52" s="457">
        <f t="shared" si="9"/>
        <v>0.5</v>
      </c>
      <c r="P52" s="387"/>
      <c r="Q52" s="384"/>
      <c r="R52" s="384"/>
      <c r="U52" s="384"/>
      <c r="V52" s="384"/>
      <c r="W52" s="384"/>
      <c r="X52" s="384"/>
      <c r="Y52" s="384"/>
    </row>
    <row r="53">
      <c r="A53" s="385"/>
      <c r="B53" s="460" t="s">
        <v>179</v>
      </c>
      <c r="E53" s="457">
        <v>0.25</v>
      </c>
      <c r="G53" s="455" t="s">
        <v>180</v>
      </c>
      <c r="H53" s="150"/>
      <c r="I53" s="150"/>
      <c r="J53" s="151"/>
      <c r="K53" s="384"/>
      <c r="L53" s="458" t="s">
        <v>161</v>
      </c>
      <c r="O53" s="457">
        <f t="shared" si="9"/>
        <v>0.5</v>
      </c>
      <c r="P53" s="387"/>
      <c r="Q53" s="384"/>
      <c r="R53" s="384"/>
      <c r="U53" s="384"/>
      <c r="V53" s="384"/>
      <c r="W53" s="384"/>
      <c r="X53" s="384"/>
      <c r="Y53" s="384"/>
    </row>
    <row r="54">
      <c r="A54" s="385"/>
      <c r="B54" s="460" t="s">
        <v>181</v>
      </c>
      <c r="E54" s="457">
        <f>O43/E44</f>
        <v>18.24694444</v>
      </c>
      <c r="G54" s="460" t="s">
        <v>182</v>
      </c>
      <c r="J54" s="457">
        <f>E55*E41</f>
        <v>6.947446154</v>
      </c>
      <c r="K54" s="384"/>
      <c r="L54" s="456" t="s">
        <v>183</v>
      </c>
      <c r="O54" s="435">
        <f>J56/E50*1000</f>
        <v>9.742255781</v>
      </c>
      <c r="P54" s="387"/>
      <c r="Q54" s="384"/>
      <c r="R54" s="384"/>
      <c r="U54" s="384"/>
      <c r="V54" s="384"/>
      <c r="W54" s="384"/>
      <c r="X54" s="384"/>
      <c r="Y54" s="384"/>
    </row>
    <row r="55">
      <c r="A55" s="385"/>
      <c r="B55" s="460" t="s">
        <v>184</v>
      </c>
      <c r="E55" s="457">
        <f>J47/E39</f>
        <v>8.192</v>
      </c>
      <c r="G55" s="460" t="s">
        <v>185</v>
      </c>
      <c r="J55" s="435">
        <f>E57*I41</f>
        <v>6.947446154</v>
      </c>
      <c r="K55" s="384"/>
      <c r="L55" s="456" t="s">
        <v>186</v>
      </c>
      <c r="O55" s="435">
        <f>J55/E49*1000</f>
        <v>8.577094017</v>
      </c>
      <c r="P55" s="387"/>
      <c r="Q55" s="384"/>
      <c r="R55" s="384"/>
      <c r="S55" s="384"/>
      <c r="T55" s="384"/>
      <c r="U55" s="384"/>
      <c r="V55" s="384"/>
      <c r="W55" s="384"/>
      <c r="X55" s="384"/>
      <c r="Y55" s="384"/>
    </row>
    <row r="56">
      <c r="A56" s="385"/>
      <c r="B56" s="460" t="s">
        <v>187</v>
      </c>
      <c r="E56" s="457">
        <f>O43/MAX(I44,I43)</f>
        <v>12.16462963</v>
      </c>
      <c r="G56" s="460" t="s">
        <v>188</v>
      </c>
      <c r="J56" s="435">
        <f>E55*E42</f>
        <v>11.11591385</v>
      </c>
      <c r="K56" s="384"/>
      <c r="L56" s="456" t="s">
        <v>167</v>
      </c>
      <c r="O56" s="457">
        <f>O54/O48</f>
        <v>0.394423311</v>
      </c>
      <c r="P56" s="387"/>
      <c r="Q56" s="384"/>
      <c r="R56" s="384"/>
      <c r="S56" s="384"/>
      <c r="T56" s="384"/>
      <c r="U56" s="384"/>
      <c r="V56" s="384"/>
      <c r="W56" s="384"/>
      <c r="X56" s="384"/>
      <c r="Y56" s="384"/>
    </row>
    <row r="57">
      <c r="A57" s="385"/>
      <c r="B57" s="465" t="s">
        <v>189</v>
      </c>
      <c r="C57" s="7"/>
      <c r="D57" s="7"/>
      <c r="E57" s="479">
        <f>J47/I39</f>
        <v>5.461333333</v>
      </c>
      <c r="F57" s="386"/>
      <c r="G57" s="465" t="s">
        <v>190</v>
      </c>
      <c r="H57" s="7"/>
      <c r="I57" s="7"/>
      <c r="J57" s="429">
        <f>E57*I42</f>
        <v>11.11591385</v>
      </c>
      <c r="K57" s="384"/>
      <c r="L57" s="467" t="s">
        <v>168</v>
      </c>
      <c r="M57" s="7"/>
      <c r="N57" s="7"/>
      <c r="O57" s="429">
        <f>MAX(O54,O55)+O53+O51</f>
        <v>10.74225578</v>
      </c>
      <c r="P57" s="387"/>
      <c r="Q57" s="384"/>
      <c r="R57" s="384"/>
      <c r="S57" s="384"/>
      <c r="T57" s="384"/>
      <c r="U57" s="384"/>
      <c r="V57" s="384"/>
      <c r="W57" s="384"/>
      <c r="X57" s="384"/>
      <c r="Y57" s="384"/>
    </row>
    <row r="58">
      <c r="A58" s="444"/>
      <c r="B58" s="386"/>
      <c r="C58" s="386"/>
      <c r="D58" s="386"/>
      <c r="E58" s="386"/>
      <c r="F58" s="386"/>
      <c r="G58" s="386"/>
      <c r="H58" s="384"/>
      <c r="I58" s="384"/>
      <c r="J58" s="384"/>
      <c r="K58" s="480"/>
      <c r="L58" s="480"/>
      <c r="M58" s="480"/>
      <c r="N58" s="480"/>
      <c r="O58" s="480"/>
      <c r="P58" s="449"/>
      <c r="Q58" s="384"/>
      <c r="R58" s="384"/>
      <c r="S58" s="384"/>
      <c r="T58" s="384"/>
      <c r="U58" s="384"/>
      <c r="V58" s="384"/>
      <c r="W58" s="384"/>
      <c r="X58" s="384"/>
      <c r="Y58" s="384"/>
    </row>
    <row r="59">
      <c r="A59" s="379"/>
      <c r="B59" s="481"/>
      <c r="C59" s="481"/>
      <c r="D59" s="481"/>
      <c r="E59" s="481"/>
      <c r="F59" s="481"/>
      <c r="G59" s="481"/>
      <c r="H59" s="481"/>
      <c r="I59" s="481"/>
      <c r="J59" s="481"/>
      <c r="K59" s="481"/>
      <c r="L59" s="481"/>
      <c r="M59" s="481"/>
      <c r="N59" s="481"/>
      <c r="O59" s="481"/>
      <c r="P59" s="383"/>
      <c r="Q59" s="384"/>
      <c r="R59" s="384"/>
      <c r="S59" s="384"/>
      <c r="T59" s="384"/>
      <c r="U59" s="384"/>
      <c r="V59" s="384"/>
      <c r="W59" s="384"/>
      <c r="X59" s="384"/>
      <c r="Y59" s="384"/>
    </row>
    <row r="60">
      <c r="A60" s="385"/>
      <c r="B60" s="454" t="s">
        <v>191</v>
      </c>
      <c r="D60" s="384"/>
      <c r="E60" s="384"/>
      <c r="F60" s="384"/>
      <c r="G60" s="384"/>
      <c r="H60" s="384"/>
      <c r="I60" s="384"/>
      <c r="J60" s="384"/>
      <c r="K60" s="384"/>
      <c r="L60" s="384"/>
      <c r="M60" s="384"/>
      <c r="N60" s="384"/>
      <c r="O60" s="384"/>
      <c r="P60" s="387"/>
      <c r="Q60" s="384"/>
      <c r="R60" s="384"/>
      <c r="S60" s="384"/>
      <c r="T60" s="384"/>
      <c r="U60" s="384"/>
      <c r="V60" s="384"/>
      <c r="W60" s="384"/>
      <c r="X60" s="384"/>
      <c r="Y60" s="384"/>
    </row>
    <row r="61">
      <c r="A61" s="385"/>
      <c r="B61" s="392"/>
      <c r="C61" s="392"/>
      <c r="D61" s="392"/>
      <c r="G61" s="392"/>
      <c r="H61" s="384"/>
      <c r="I61" s="384"/>
      <c r="J61" s="384"/>
      <c r="K61" s="384"/>
      <c r="L61" s="384"/>
      <c r="M61" s="384"/>
      <c r="N61" s="384"/>
      <c r="O61" s="384"/>
      <c r="P61" s="387"/>
      <c r="Q61" s="384"/>
      <c r="R61" s="384"/>
      <c r="S61" s="384"/>
      <c r="T61" s="384"/>
      <c r="U61" s="384"/>
      <c r="V61" s="384"/>
      <c r="W61" s="384"/>
      <c r="X61" s="384"/>
      <c r="Y61" s="384"/>
    </row>
    <row r="62">
      <c r="A62" s="385"/>
      <c r="B62" s="482" t="s">
        <v>65</v>
      </c>
      <c r="C62" s="150"/>
      <c r="D62" s="150"/>
      <c r="E62" s="150"/>
      <c r="F62" s="150"/>
      <c r="G62" s="151"/>
      <c r="I62" s="483" t="s">
        <v>66</v>
      </c>
      <c r="J62" s="150"/>
      <c r="K62" s="150"/>
      <c r="L62" s="150"/>
      <c r="M62" s="150"/>
      <c r="N62" s="151"/>
      <c r="O62" s="384"/>
      <c r="P62" s="387"/>
      <c r="Q62" s="384"/>
      <c r="R62" s="384"/>
      <c r="S62" s="384"/>
      <c r="T62" s="384"/>
      <c r="U62" s="384"/>
      <c r="V62" s="384"/>
      <c r="W62" s="384"/>
      <c r="X62" s="384"/>
      <c r="Y62" s="384"/>
    </row>
    <row r="63">
      <c r="A63" s="385"/>
      <c r="B63" s="484" t="s">
        <v>192</v>
      </c>
      <c r="D63" s="396" t="s">
        <v>140</v>
      </c>
      <c r="E63" s="396" t="s">
        <v>142</v>
      </c>
      <c r="F63" s="396" t="s">
        <v>141</v>
      </c>
      <c r="G63" s="397" t="s">
        <v>143</v>
      </c>
      <c r="I63" s="485" t="s">
        <v>68</v>
      </c>
      <c r="K63" s="396" t="s">
        <v>140</v>
      </c>
      <c r="L63" s="396" t="s">
        <v>142</v>
      </c>
      <c r="M63" s="396" t="s">
        <v>141</v>
      </c>
      <c r="N63" s="397" t="s">
        <v>143</v>
      </c>
      <c r="P63" s="486"/>
      <c r="R63" s="384"/>
      <c r="S63" s="384"/>
      <c r="T63" s="384"/>
      <c r="U63" s="384"/>
      <c r="V63" s="384"/>
      <c r="W63" s="384"/>
      <c r="X63" s="384"/>
      <c r="Y63" s="384"/>
    </row>
    <row r="64">
      <c r="A64" s="385"/>
      <c r="B64" s="487" t="s">
        <v>69</v>
      </c>
      <c r="D64" s="488">
        <f>H10+H11+H14</f>
        <v>43.2345125</v>
      </c>
      <c r="E64" s="488">
        <f>J10+J11+J14</f>
        <v>21.06336</v>
      </c>
      <c r="F64" s="488">
        <f>I10+I11+I14</f>
        <v>43.2345125</v>
      </c>
      <c r="G64" s="489">
        <f>K10+K11+K14</f>
        <v>21.06336</v>
      </c>
      <c r="I64" s="490" t="s">
        <v>70</v>
      </c>
      <c r="J64" s="7"/>
      <c r="K64" s="428">
        <f>E47/25.84</f>
        <v>3.828173375</v>
      </c>
      <c r="L64" s="428">
        <f t="shared" ref="L64:N64" si="10">K64</f>
        <v>3.828173375</v>
      </c>
      <c r="M64" s="428">
        <f t="shared" si="10"/>
        <v>3.828173375</v>
      </c>
      <c r="N64" s="429">
        <f t="shared" si="10"/>
        <v>3.828173375</v>
      </c>
      <c r="P64" s="486"/>
      <c r="U64" s="4"/>
    </row>
    <row r="65">
      <c r="A65" s="385"/>
      <c r="B65" s="487" t="s">
        <v>71</v>
      </c>
      <c r="D65" s="488">
        <f>SUM(C10:C15)-C13</f>
        <v>3273</v>
      </c>
      <c r="E65" s="488">
        <f>D65</f>
        <v>3273</v>
      </c>
      <c r="F65" s="488">
        <f>D65</f>
        <v>3273</v>
      </c>
      <c r="G65" s="489">
        <f>F65</f>
        <v>3273</v>
      </c>
      <c r="I65" s="431"/>
      <c r="J65" s="431"/>
      <c r="K65" s="431"/>
      <c r="L65" s="431"/>
      <c r="M65" s="431"/>
      <c r="P65" s="486"/>
      <c r="U65" s="4"/>
    </row>
    <row r="66">
      <c r="A66" s="385"/>
      <c r="B66" s="487" t="s">
        <v>73</v>
      </c>
      <c r="D66" s="488">
        <f t="shared" ref="D66:G66" si="11">D64</f>
        <v>43.2345125</v>
      </c>
      <c r="E66" s="488">
        <f t="shared" si="11"/>
        <v>21.06336</v>
      </c>
      <c r="F66" s="488">
        <f t="shared" si="11"/>
        <v>43.2345125</v>
      </c>
      <c r="G66" s="489">
        <f t="shared" si="11"/>
        <v>21.06336</v>
      </c>
      <c r="I66" s="431"/>
      <c r="J66" s="431"/>
      <c r="K66" s="431"/>
      <c r="L66" s="431"/>
      <c r="M66" s="431"/>
      <c r="P66" s="486"/>
      <c r="U66" s="4"/>
    </row>
    <row r="67">
      <c r="A67" s="385"/>
      <c r="B67" s="491" t="s">
        <v>75</v>
      </c>
      <c r="C67" s="7"/>
      <c r="D67" s="492">
        <f>E54</f>
        <v>18.24694444</v>
      </c>
      <c r="E67" s="492">
        <f>E55</f>
        <v>8.192</v>
      </c>
      <c r="F67" s="492">
        <f>E56</f>
        <v>12.16462963</v>
      </c>
      <c r="G67" s="429">
        <f>E57</f>
        <v>5.461333333</v>
      </c>
      <c r="I67" s="168"/>
      <c r="J67" s="493"/>
      <c r="K67" s="493"/>
      <c r="L67" s="493"/>
      <c r="M67" s="384"/>
      <c r="N67" s="384"/>
      <c r="P67" s="486"/>
      <c r="U67" s="4"/>
    </row>
    <row r="68">
      <c r="A68" s="444"/>
      <c r="B68" s="480"/>
      <c r="C68" s="480"/>
      <c r="D68" s="480"/>
      <c r="E68" s="494"/>
      <c r="F68" s="494"/>
      <c r="G68" s="480"/>
      <c r="H68" s="494"/>
      <c r="I68" s="480"/>
      <c r="J68" s="480"/>
      <c r="K68" s="480"/>
      <c r="L68" s="480"/>
      <c r="M68" s="480"/>
      <c r="N68" s="480"/>
      <c r="O68" s="480"/>
      <c r="P68" s="495"/>
      <c r="U68" s="4"/>
      <c r="V68" s="4"/>
      <c r="W68" s="4"/>
      <c r="X68" s="62"/>
      <c r="Y68" s="62"/>
    </row>
    <row r="69">
      <c r="A69" s="379"/>
      <c r="B69" s="481"/>
      <c r="C69" s="481"/>
      <c r="D69" s="481"/>
      <c r="E69" s="496"/>
      <c r="F69" s="496"/>
      <c r="G69" s="481"/>
      <c r="H69" s="496"/>
      <c r="I69" s="481"/>
      <c r="J69" s="481"/>
      <c r="K69" s="481"/>
      <c r="L69" s="481"/>
      <c r="M69" s="496"/>
      <c r="N69" s="481"/>
      <c r="O69" s="481"/>
      <c r="P69" s="497"/>
      <c r="U69" s="4"/>
      <c r="V69" s="4"/>
      <c r="W69" s="4"/>
      <c r="X69" s="62"/>
      <c r="Y69" s="62"/>
    </row>
    <row r="70">
      <c r="A70" s="385"/>
      <c r="B70" s="454" t="s">
        <v>193</v>
      </c>
      <c r="D70" s="384"/>
      <c r="E70" s="384"/>
      <c r="F70" s="384"/>
      <c r="G70" s="384"/>
      <c r="H70" s="384"/>
      <c r="I70" s="384"/>
      <c r="J70" s="384"/>
      <c r="K70" s="384"/>
      <c r="L70" s="384"/>
      <c r="N70" s="384"/>
      <c r="O70" s="384"/>
      <c r="P70" s="486"/>
      <c r="U70" s="4"/>
      <c r="V70" s="4"/>
      <c r="W70" s="4"/>
      <c r="X70" s="62"/>
      <c r="Y70" s="62"/>
    </row>
    <row r="71">
      <c r="A71" s="385"/>
      <c r="B71" s="414"/>
      <c r="C71" s="414"/>
      <c r="D71" s="414"/>
      <c r="E71" s="414"/>
      <c r="F71" s="414"/>
      <c r="G71" s="414"/>
      <c r="H71" s="414"/>
      <c r="I71" s="414"/>
      <c r="J71" s="414"/>
      <c r="K71" s="414"/>
      <c r="L71" s="384"/>
      <c r="M71" s="384"/>
      <c r="N71" s="384"/>
      <c r="O71" s="384"/>
      <c r="P71" s="387"/>
      <c r="Q71" s="384"/>
      <c r="R71" s="384"/>
      <c r="S71" s="384"/>
      <c r="T71" s="384"/>
      <c r="W71" s="384"/>
      <c r="X71" s="384"/>
      <c r="Y71" s="384"/>
    </row>
    <row r="72">
      <c r="A72" s="385"/>
      <c r="B72" s="483" t="s">
        <v>77</v>
      </c>
      <c r="C72" s="150"/>
      <c r="D72" s="150"/>
      <c r="E72" s="150"/>
      <c r="F72" s="150"/>
      <c r="G72" s="150"/>
      <c r="H72" s="150"/>
      <c r="I72" s="150"/>
      <c r="J72" s="150"/>
      <c r="K72" s="151"/>
      <c r="L72" s="384"/>
      <c r="M72" s="455" t="s">
        <v>194</v>
      </c>
      <c r="N72" s="150"/>
      <c r="O72" s="151"/>
      <c r="P72" s="387"/>
      <c r="Q72" s="384"/>
      <c r="R72" s="384"/>
      <c r="S72" s="384"/>
      <c r="T72" s="384"/>
      <c r="W72" s="384"/>
      <c r="X72" s="384"/>
      <c r="Y72" s="384"/>
    </row>
    <row r="73">
      <c r="A73" s="385"/>
      <c r="B73" s="498" t="s">
        <v>29</v>
      </c>
      <c r="D73" s="394" t="s">
        <v>140</v>
      </c>
      <c r="F73" s="394" t="s">
        <v>142</v>
      </c>
      <c r="H73" s="394" t="s">
        <v>141</v>
      </c>
      <c r="J73" s="394" t="s">
        <v>143</v>
      </c>
      <c r="K73" s="13"/>
      <c r="L73" s="414"/>
      <c r="M73" s="499" t="s">
        <v>195</v>
      </c>
      <c r="O73" s="13"/>
      <c r="P73" s="387"/>
      <c r="Q73" s="384"/>
      <c r="R73" s="384"/>
      <c r="S73" s="384"/>
      <c r="T73" s="384"/>
      <c r="W73" s="384"/>
      <c r="X73" s="384"/>
      <c r="Y73" s="384"/>
    </row>
    <row r="74">
      <c r="A74" s="385"/>
      <c r="B74" s="434"/>
      <c r="D74" s="394" t="s">
        <v>130</v>
      </c>
      <c r="E74" s="500" t="s">
        <v>139</v>
      </c>
      <c r="F74" s="394" t="s">
        <v>130</v>
      </c>
      <c r="G74" s="500" t="s">
        <v>139</v>
      </c>
      <c r="H74" s="394" t="s">
        <v>130</v>
      </c>
      <c r="I74" s="500" t="s">
        <v>139</v>
      </c>
      <c r="J74" s="394" t="s">
        <v>130</v>
      </c>
      <c r="K74" s="501" t="s">
        <v>139</v>
      </c>
      <c r="L74" s="502"/>
      <c r="M74" s="434"/>
      <c r="O74" s="13"/>
      <c r="P74" s="486"/>
      <c r="R74" s="384"/>
      <c r="S74" s="384"/>
      <c r="T74" s="384"/>
      <c r="W74" s="384"/>
      <c r="X74" s="384"/>
      <c r="Y74" s="384"/>
    </row>
    <row r="75">
      <c r="A75" s="385"/>
      <c r="B75" s="126" t="s">
        <v>83</v>
      </c>
      <c r="D75" s="236">
        <v>27.1</v>
      </c>
      <c r="E75" s="236">
        <v>25.5</v>
      </c>
      <c r="F75" s="236">
        <v>31.0</v>
      </c>
      <c r="G75" s="236">
        <v>28.9</v>
      </c>
      <c r="H75" s="236">
        <v>35.1</v>
      </c>
      <c r="I75" s="236">
        <v>33.1</v>
      </c>
      <c r="J75" s="236">
        <v>39.3</v>
      </c>
      <c r="K75" s="249">
        <v>37.2</v>
      </c>
      <c r="L75" s="502"/>
      <c r="M75" s="434"/>
      <c r="O75" s="13"/>
      <c r="P75" s="486"/>
      <c r="R75" s="384"/>
      <c r="S75" s="384"/>
      <c r="T75" s="384"/>
      <c r="W75" s="384"/>
      <c r="X75" s="384"/>
      <c r="Y75" s="384"/>
    </row>
    <row r="76">
      <c r="A76" s="385"/>
      <c r="B76" s="503" t="s">
        <v>86</v>
      </c>
      <c r="D76" s="504">
        <v>13412.0</v>
      </c>
      <c r="E76" s="504">
        <v>11288.0</v>
      </c>
      <c r="F76" s="504">
        <v>4574.0</v>
      </c>
      <c r="G76" s="504">
        <v>3692.0</v>
      </c>
      <c r="H76" s="504">
        <v>12600.0</v>
      </c>
      <c r="I76" s="504">
        <v>11923.0</v>
      </c>
      <c r="J76" s="504">
        <v>4530.0</v>
      </c>
      <c r="K76" s="505">
        <v>3999.0</v>
      </c>
      <c r="L76" s="502"/>
      <c r="M76" s="499" t="s">
        <v>196</v>
      </c>
      <c r="O76" s="13"/>
      <c r="P76" s="486"/>
      <c r="R76" s="384"/>
      <c r="S76" s="384"/>
      <c r="T76" s="384"/>
      <c r="W76" s="384"/>
      <c r="X76" s="384"/>
      <c r="Y76" s="384"/>
    </row>
    <row r="77">
      <c r="A77" s="385"/>
      <c r="B77" s="126" t="s">
        <v>89</v>
      </c>
      <c r="D77" s="506">
        <v>539.0</v>
      </c>
      <c r="E77" s="506">
        <v>487.0</v>
      </c>
      <c r="F77" s="507">
        <v>317.0</v>
      </c>
      <c r="G77" s="507">
        <v>279.0</v>
      </c>
      <c r="H77" s="506">
        <v>618.0</v>
      </c>
      <c r="I77" s="506">
        <v>559.0</v>
      </c>
      <c r="J77" s="507">
        <v>344.0</v>
      </c>
      <c r="K77" s="508">
        <v>304.0</v>
      </c>
      <c r="L77" s="502"/>
      <c r="M77" s="434"/>
      <c r="O77" s="13"/>
      <c r="P77" s="486"/>
      <c r="R77" s="384"/>
      <c r="S77" s="384"/>
      <c r="T77" s="384"/>
      <c r="W77" s="384"/>
      <c r="X77" s="384"/>
      <c r="Y77" s="384"/>
    </row>
    <row r="78">
      <c r="A78" s="509"/>
      <c r="B78" s="126" t="s">
        <v>92</v>
      </c>
      <c r="D78" s="510">
        <v>33.0</v>
      </c>
      <c r="E78" s="510">
        <v>28.3</v>
      </c>
      <c r="F78" s="510">
        <v>41.6</v>
      </c>
      <c r="G78" s="510">
        <v>36.2</v>
      </c>
      <c r="H78" s="510">
        <v>53.0</v>
      </c>
      <c r="I78" s="510">
        <v>47.6</v>
      </c>
      <c r="J78" s="510">
        <v>68.3</v>
      </c>
      <c r="K78" s="511">
        <v>60.1</v>
      </c>
      <c r="L78" s="512"/>
      <c r="M78" s="434"/>
      <c r="O78" s="13"/>
      <c r="P78" s="513"/>
      <c r="Q78" s="514"/>
      <c r="R78" s="515"/>
      <c r="S78" s="515"/>
      <c r="T78" s="515"/>
      <c r="U78" s="514"/>
      <c r="V78" s="514"/>
      <c r="W78" s="515"/>
      <c r="X78" s="515"/>
      <c r="Y78" s="515"/>
    </row>
    <row r="79">
      <c r="A79" s="385"/>
      <c r="B79" s="143" t="s">
        <v>197</v>
      </c>
      <c r="D79" s="510">
        <v>56.9</v>
      </c>
      <c r="E79" s="510">
        <v>43.7</v>
      </c>
      <c r="F79" s="516">
        <v>32.5</v>
      </c>
      <c r="G79" s="516">
        <v>31.1</v>
      </c>
      <c r="H79" s="510">
        <v>41.0</v>
      </c>
      <c r="I79" s="510">
        <v>50.8</v>
      </c>
      <c r="J79" s="516">
        <v>30.8</v>
      </c>
      <c r="K79" s="517">
        <v>29.6</v>
      </c>
      <c r="L79" s="502"/>
      <c r="M79" s="434"/>
      <c r="O79" s="13"/>
      <c r="P79" s="486"/>
      <c r="S79" s="384"/>
      <c r="T79" s="384"/>
      <c r="U79" s="384"/>
      <c r="V79" s="384"/>
      <c r="W79" s="384"/>
      <c r="X79" s="384"/>
      <c r="Y79" s="384"/>
    </row>
    <row r="80">
      <c r="A80" s="385"/>
      <c r="B80" s="126" t="s">
        <v>90</v>
      </c>
      <c r="D80" s="236">
        <v>1.686</v>
      </c>
      <c r="E80" s="236">
        <v>1.511</v>
      </c>
      <c r="F80" s="236">
        <v>0.944</v>
      </c>
      <c r="G80" s="236">
        <v>0.829</v>
      </c>
      <c r="H80" s="236">
        <v>1.901</v>
      </c>
      <c r="I80" s="236">
        <v>1.712</v>
      </c>
      <c r="J80" s="236">
        <v>1.021</v>
      </c>
      <c r="K80" s="249">
        <v>0.901</v>
      </c>
      <c r="L80" s="414"/>
      <c r="M80" s="434"/>
      <c r="O80" s="13"/>
      <c r="P80" s="387"/>
      <c r="S80" s="384"/>
      <c r="T80" s="384"/>
      <c r="U80" s="384"/>
      <c r="V80" s="384"/>
      <c r="W80" s="384"/>
      <c r="X80" s="384"/>
      <c r="Y80" s="384"/>
    </row>
    <row r="81">
      <c r="A81" s="385"/>
      <c r="B81" s="490" t="s">
        <v>93</v>
      </c>
      <c r="C81" s="7"/>
      <c r="D81" s="518">
        <f t="shared" ref="D81:K81" si="12">D78/9.81</f>
        <v>3.363914373</v>
      </c>
      <c r="E81" s="518">
        <f t="shared" si="12"/>
        <v>2.884811417</v>
      </c>
      <c r="F81" s="518">
        <f t="shared" si="12"/>
        <v>4.240570846</v>
      </c>
      <c r="G81" s="518">
        <f t="shared" si="12"/>
        <v>3.69011213</v>
      </c>
      <c r="H81" s="518">
        <f t="shared" si="12"/>
        <v>5.402650357</v>
      </c>
      <c r="I81" s="518">
        <f t="shared" si="12"/>
        <v>4.852191641</v>
      </c>
      <c r="J81" s="518">
        <f t="shared" si="12"/>
        <v>6.962283384</v>
      </c>
      <c r="K81" s="519">
        <f t="shared" si="12"/>
        <v>6.126401631</v>
      </c>
      <c r="L81" s="502"/>
      <c r="M81" s="499" t="s">
        <v>198</v>
      </c>
      <c r="O81" s="13"/>
      <c r="P81" s="486"/>
      <c r="R81" s="384"/>
      <c r="S81" s="384"/>
      <c r="T81" s="384"/>
      <c r="U81" s="384"/>
      <c r="V81" s="384"/>
      <c r="W81" s="384"/>
      <c r="X81" s="384"/>
      <c r="Y81" s="384"/>
    </row>
    <row r="82">
      <c r="A82" s="385"/>
      <c r="B82" s="502"/>
      <c r="C82" s="502"/>
      <c r="D82" s="502"/>
      <c r="E82" s="502"/>
      <c r="F82" s="502"/>
      <c r="G82" s="414"/>
      <c r="H82" s="414"/>
      <c r="I82" s="414"/>
      <c r="J82" s="414"/>
      <c r="K82" s="414"/>
      <c r="L82" s="74"/>
      <c r="M82" s="434"/>
      <c r="O82" s="13"/>
      <c r="P82" s="520"/>
      <c r="S82" s="384"/>
      <c r="T82" s="384"/>
      <c r="U82" s="384"/>
      <c r="V82" s="384"/>
      <c r="W82" s="384"/>
      <c r="X82" s="384"/>
      <c r="Y82" s="384"/>
    </row>
    <row r="83">
      <c r="A83" s="385"/>
      <c r="B83" s="483" t="s">
        <v>78</v>
      </c>
      <c r="C83" s="150"/>
      <c r="D83" s="150"/>
      <c r="E83" s="150"/>
      <c r="F83" s="150"/>
      <c r="G83" s="150"/>
      <c r="H83" s="150"/>
      <c r="I83" s="150"/>
      <c r="J83" s="150"/>
      <c r="K83" s="151"/>
      <c r="L83" s="414"/>
      <c r="M83" s="499" t="s">
        <v>199</v>
      </c>
      <c r="O83" s="13"/>
      <c r="P83" s="387"/>
      <c r="S83" s="384"/>
      <c r="T83" s="384"/>
      <c r="U83" s="384"/>
      <c r="V83" s="384"/>
      <c r="W83" s="384"/>
      <c r="X83" s="384"/>
      <c r="Y83" s="384"/>
    </row>
    <row r="84">
      <c r="A84" s="385"/>
      <c r="B84" s="498" t="s">
        <v>29</v>
      </c>
      <c r="D84" s="394" t="s">
        <v>140</v>
      </c>
      <c r="F84" s="394" t="s">
        <v>142</v>
      </c>
      <c r="H84" s="394" t="s">
        <v>141</v>
      </c>
      <c r="J84" s="394" t="s">
        <v>143</v>
      </c>
      <c r="K84" s="13"/>
      <c r="L84" s="414"/>
      <c r="M84" s="434"/>
      <c r="O84" s="13"/>
      <c r="P84" s="387"/>
      <c r="S84" s="384"/>
      <c r="T84" s="384"/>
      <c r="U84" s="384"/>
      <c r="V84" s="384"/>
      <c r="W84" s="384"/>
      <c r="X84" s="384"/>
      <c r="Y84" s="384"/>
    </row>
    <row r="85">
      <c r="A85" s="385"/>
      <c r="B85" s="434"/>
      <c r="D85" s="394" t="s">
        <v>130</v>
      </c>
      <c r="E85" s="500" t="s">
        <v>139</v>
      </c>
      <c r="F85" s="394" t="s">
        <v>130</v>
      </c>
      <c r="G85" s="500" t="s">
        <v>139</v>
      </c>
      <c r="H85" s="394" t="s">
        <v>130</v>
      </c>
      <c r="I85" s="500" t="s">
        <v>139</v>
      </c>
      <c r="J85" s="394" t="s">
        <v>130</v>
      </c>
      <c r="K85" s="501" t="s">
        <v>139</v>
      </c>
      <c r="L85" s="384"/>
      <c r="M85" s="499" t="s">
        <v>200</v>
      </c>
      <c r="O85" s="13"/>
      <c r="P85" s="387"/>
      <c r="S85" s="384"/>
      <c r="T85" s="384"/>
      <c r="U85" s="384"/>
      <c r="V85" s="384"/>
      <c r="W85" s="384"/>
      <c r="X85" s="384"/>
      <c r="Y85" s="384"/>
    </row>
    <row r="86">
      <c r="A86" s="385"/>
      <c r="B86" s="521" t="s">
        <v>81</v>
      </c>
      <c r="D86" s="522">
        <v>38262.0</v>
      </c>
      <c r="E86" s="522">
        <v>34104.0</v>
      </c>
      <c r="F86" s="522">
        <v>15231.0</v>
      </c>
      <c r="G86" s="522">
        <v>13071.0</v>
      </c>
      <c r="H86" s="522">
        <v>38006.0</v>
      </c>
      <c r="I86" s="522">
        <v>34775.0</v>
      </c>
      <c r="J86" s="522">
        <v>15047.0</v>
      </c>
      <c r="K86" s="523">
        <v>13440.0</v>
      </c>
      <c r="L86" s="384"/>
      <c r="M86" s="434"/>
      <c r="O86" s="13"/>
      <c r="P86" s="387"/>
      <c r="S86" s="384"/>
      <c r="T86" s="384"/>
      <c r="U86" s="384"/>
      <c r="V86" s="384"/>
      <c r="W86" s="384"/>
      <c r="X86" s="384"/>
      <c r="Y86" s="384"/>
    </row>
    <row r="87">
      <c r="A87" s="385"/>
      <c r="B87" s="524" t="s">
        <v>84</v>
      </c>
      <c r="D87" s="525">
        <v>1762.1</v>
      </c>
      <c r="E87" s="525">
        <v>1602.3</v>
      </c>
      <c r="F87" s="525">
        <v>1069.0</v>
      </c>
      <c r="G87" s="525">
        <v>939.5</v>
      </c>
      <c r="H87" s="525">
        <v>1984.1</v>
      </c>
      <c r="I87" s="525">
        <v>1806.3</v>
      </c>
      <c r="J87" s="525">
        <v>1142.5</v>
      </c>
      <c r="K87" s="526">
        <v>1014.4</v>
      </c>
      <c r="L87" s="384"/>
      <c r="M87" s="434"/>
      <c r="O87" s="13"/>
      <c r="P87" s="387"/>
      <c r="S87" s="384"/>
      <c r="T87" s="384"/>
      <c r="U87" s="384"/>
      <c r="V87" s="384"/>
      <c r="W87" s="384"/>
      <c r="X87" s="384"/>
      <c r="Y87" s="384"/>
    </row>
    <row r="88">
      <c r="A88" s="509"/>
      <c r="B88" s="527" t="s">
        <v>197</v>
      </c>
      <c r="D88" s="528">
        <v>52.7</v>
      </c>
      <c r="E88" s="528">
        <v>51.1</v>
      </c>
      <c r="F88" s="528">
        <v>32.8</v>
      </c>
      <c r="G88" s="528">
        <v>31.3</v>
      </c>
      <c r="H88" s="528">
        <v>48.7</v>
      </c>
      <c r="I88" s="528">
        <v>47.7</v>
      </c>
      <c r="J88" s="528">
        <v>31.1</v>
      </c>
      <c r="K88" s="529">
        <v>30.1</v>
      </c>
      <c r="L88" s="515"/>
      <c r="M88" s="434"/>
      <c r="O88" s="13"/>
      <c r="P88" s="530"/>
      <c r="Q88" s="515"/>
      <c r="R88" s="515"/>
      <c r="S88" s="515"/>
      <c r="T88" s="515"/>
      <c r="U88" s="515"/>
      <c r="V88" s="515"/>
      <c r="W88" s="515"/>
      <c r="X88" s="515"/>
      <c r="Y88" s="515"/>
    </row>
    <row r="89">
      <c r="A89" s="385"/>
      <c r="B89" s="527" t="s">
        <v>201</v>
      </c>
      <c r="D89" s="531">
        <v>1.678</v>
      </c>
      <c r="E89" s="531">
        <v>1.5157</v>
      </c>
      <c r="F89" s="531">
        <v>0.9718</v>
      </c>
      <c r="G89" s="531">
        <v>0.8524</v>
      </c>
      <c r="H89" s="531">
        <v>1.86</v>
      </c>
      <c r="I89" s="531">
        <v>1.686</v>
      </c>
      <c r="J89" s="531">
        <v>1.0341</v>
      </c>
      <c r="K89" s="532">
        <v>0.9171</v>
      </c>
      <c r="L89" s="384"/>
      <c r="M89" s="499" t="s">
        <v>202</v>
      </c>
      <c r="O89" s="13"/>
      <c r="P89" s="387"/>
      <c r="Q89" s="384"/>
      <c r="R89" s="384"/>
      <c r="S89" s="384"/>
      <c r="T89" s="384"/>
      <c r="U89" s="384"/>
      <c r="V89" s="384"/>
      <c r="W89" s="384"/>
      <c r="X89" s="384"/>
      <c r="Y89" s="384"/>
    </row>
    <row r="90">
      <c r="A90" s="385"/>
      <c r="B90" s="527" t="s">
        <v>203</v>
      </c>
      <c r="D90" s="531">
        <v>91.7</v>
      </c>
      <c r="E90" s="531">
        <v>86.4</v>
      </c>
      <c r="F90" s="531">
        <v>101.8</v>
      </c>
      <c r="G90" s="531">
        <v>94.6</v>
      </c>
      <c r="H90" s="531">
        <v>116.1</v>
      </c>
      <c r="I90" s="531">
        <v>111.2</v>
      </c>
      <c r="J90" s="531">
        <v>129.4</v>
      </c>
      <c r="K90" s="532">
        <v>123.0</v>
      </c>
      <c r="L90" s="384"/>
      <c r="M90" s="434"/>
      <c r="O90" s="13"/>
      <c r="P90" s="387"/>
      <c r="Q90" s="384"/>
      <c r="R90" s="384"/>
      <c r="S90" s="384"/>
      <c r="T90" s="384"/>
      <c r="U90" s="384"/>
      <c r="V90" s="384"/>
      <c r="W90" s="384"/>
      <c r="X90" s="384"/>
      <c r="Y90" s="384"/>
    </row>
    <row r="91">
      <c r="A91" s="385"/>
      <c r="B91" s="527" t="s">
        <v>204</v>
      </c>
      <c r="D91" s="531">
        <f t="shared" ref="D91:K91" si="13">D90/3.281</f>
        <v>27.9487961</v>
      </c>
      <c r="E91" s="531">
        <f t="shared" si="13"/>
        <v>26.33343493</v>
      </c>
      <c r="F91" s="531">
        <f t="shared" si="13"/>
        <v>31.02712588</v>
      </c>
      <c r="G91" s="531">
        <f t="shared" si="13"/>
        <v>28.83267297</v>
      </c>
      <c r="H91" s="531">
        <f t="shared" si="13"/>
        <v>35.38555319</v>
      </c>
      <c r="I91" s="531">
        <f t="shared" si="13"/>
        <v>33.89210607</v>
      </c>
      <c r="J91" s="531">
        <f t="shared" si="13"/>
        <v>39.43919537</v>
      </c>
      <c r="K91" s="532">
        <f t="shared" si="13"/>
        <v>37.48857056</v>
      </c>
      <c r="L91" s="384"/>
      <c r="M91" s="434"/>
      <c r="O91" s="13"/>
      <c r="P91" s="387"/>
      <c r="Q91" s="384"/>
      <c r="R91" s="384"/>
      <c r="S91" s="384"/>
      <c r="T91" s="384"/>
      <c r="U91" s="384"/>
      <c r="V91" s="384"/>
      <c r="W91" s="384"/>
      <c r="X91" s="384"/>
      <c r="Y91" s="384"/>
    </row>
    <row r="92">
      <c r="A92" s="385"/>
      <c r="B92" s="521" t="s">
        <v>86</v>
      </c>
      <c r="D92" s="522">
        <f t="shared" ref="D92:K92" si="14">D86/3.281</f>
        <v>11661.68851</v>
      </c>
      <c r="E92" s="522">
        <f t="shared" si="14"/>
        <v>10394.39195</v>
      </c>
      <c r="F92" s="522">
        <f t="shared" si="14"/>
        <v>4642.182262</v>
      </c>
      <c r="G92" s="522">
        <f t="shared" si="14"/>
        <v>3983.846388</v>
      </c>
      <c r="H92" s="522">
        <f t="shared" si="14"/>
        <v>11583.66352</v>
      </c>
      <c r="I92" s="522">
        <f t="shared" si="14"/>
        <v>10598.90277</v>
      </c>
      <c r="J92" s="522">
        <f t="shared" si="14"/>
        <v>4586.101798</v>
      </c>
      <c r="K92" s="523">
        <f t="shared" si="14"/>
        <v>4096.3121</v>
      </c>
      <c r="L92" s="384"/>
      <c r="M92" s="434"/>
      <c r="O92" s="13"/>
      <c r="P92" s="387"/>
      <c r="Q92" s="384"/>
      <c r="R92" s="384"/>
      <c r="S92" s="384"/>
      <c r="T92" s="384"/>
      <c r="U92" s="384"/>
      <c r="V92" s="384"/>
      <c r="W92" s="384"/>
      <c r="X92" s="384"/>
      <c r="Y92" s="384"/>
    </row>
    <row r="93">
      <c r="A93" s="385"/>
      <c r="B93" s="490" t="s">
        <v>89</v>
      </c>
      <c r="C93" s="7"/>
      <c r="D93" s="518">
        <f t="shared" ref="D93:K93" si="15">D87/3.281</f>
        <v>537.0618714</v>
      </c>
      <c r="E93" s="518">
        <f t="shared" si="15"/>
        <v>488.3572082</v>
      </c>
      <c r="F93" s="518">
        <f t="shared" si="15"/>
        <v>325.8153002</v>
      </c>
      <c r="G93" s="518">
        <f t="shared" si="15"/>
        <v>286.3456263</v>
      </c>
      <c r="H93" s="518">
        <f t="shared" si="15"/>
        <v>604.7241695</v>
      </c>
      <c r="I93" s="518">
        <f t="shared" si="15"/>
        <v>550.533374</v>
      </c>
      <c r="J93" s="518">
        <f t="shared" si="15"/>
        <v>348.217007</v>
      </c>
      <c r="K93" s="519">
        <f t="shared" si="15"/>
        <v>309.1740323</v>
      </c>
      <c r="L93" s="384"/>
      <c r="M93" s="434"/>
      <c r="O93" s="13"/>
      <c r="P93" s="387"/>
      <c r="Q93" s="384"/>
      <c r="R93" s="384"/>
      <c r="S93" s="384"/>
      <c r="T93" s="384"/>
      <c r="U93" s="384"/>
      <c r="V93" s="384"/>
      <c r="W93" s="384"/>
      <c r="X93" s="384"/>
      <c r="Y93" s="384"/>
    </row>
    <row r="94">
      <c r="A94" s="509"/>
      <c r="B94" s="384"/>
      <c r="C94" s="384"/>
      <c r="D94" s="384"/>
      <c r="E94" s="384"/>
      <c r="F94" s="384"/>
      <c r="G94" s="384"/>
      <c r="H94" s="384"/>
      <c r="I94" s="384"/>
      <c r="J94" s="384"/>
      <c r="K94" s="384"/>
      <c r="L94" s="515"/>
      <c r="M94" s="499" t="s">
        <v>205</v>
      </c>
      <c r="O94" s="13"/>
      <c r="P94" s="530"/>
      <c r="Q94" s="515"/>
      <c r="R94" s="515"/>
      <c r="S94" s="515"/>
      <c r="T94" s="515"/>
      <c r="U94" s="515"/>
      <c r="V94" s="515"/>
      <c r="W94" s="515"/>
      <c r="X94" s="515"/>
      <c r="Y94" s="515"/>
    </row>
    <row r="95">
      <c r="A95" s="385"/>
      <c r="B95" s="384"/>
      <c r="C95" s="384"/>
      <c r="D95" s="384"/>
      <c r="E95" s="384"/>
      <c r="F95" s="384"/>
      <c r="G95" s="384"/>
      <c r="H95" s="384"/>
      <c r="I95" s="384"/>
      <c r="J95" s="384"/>
      <c r="K95" s="384"/>
      <c r="L95" s="384"/>
      <c r="M95" s="434"/>
      <c r="O95" s="13"/>
      <c r="P95" s="387"/>
      <c r="Q95" s="384"/>
      <c r="R95" s="384"/>
      <c r="S95" s="384"/>
      <c r="T95" s="384"/>
      <c r="U95" s="384"/>
      <c r="V95" s="384"/>
      <c r="W95" s="384"/>
      <c r="X95" s="384"/>
      <c r="Y95" s="384"/>
    </row>
    <row r="96">
      <c r="A96" s="385"/>
      <c r="B96" s="533" t="s">
        <v>206</v>
      </c>
      <c r="C96" s="150"/>
      <c r="D96" s="150"/>
      <c r="E96" s="150"/>
      <c r="F96" s="150"/>
      <c r="G96" s="150"/>
      <c r="H96" s="150"/>
      <c r="I96" s="150"/>
      <c r="J96" s="150"/>
      <c r="K96" s="151"/>
      <c r="L96" s="384"/>
      <c r="M96" s="434"/>
      <c r="O96" s="13"/>
      <c r="P96" s="387"/>
      <c r="Q96" s="384"/>
      <c r="R96" s="384"/>
      <c r="S96" s="384"/>
      <c r="T96" s="384"/>
      <c r="U96" s="384"/>
      <c r="V96" s="384"/>
      <c r="W96" s="384"/>
      <c r="X96" s="384"/>
      <c r="Y96" s="384"/>
    </row>
    <row r="97">
      <c r="A97" s="385"/>
      <c r="B97" s="498" t="s">
        <v>29</v>
      </c>
      <c r="D97" s="394" t="s">
        <v>140</v>
      </c>
      <c r="F97" s="394" t="s">
        <v>142</v>
      </c>
      <c r="H97" s="394" t="s">
        <v>141</v>
      </c>
      <c r="J97" s="394" t="s">
        <v>143</v>
      </c>
      <c r="K97" s="13"/>
      <c r="L97" s="384"/>
      <c r="M97" s="434"/>
      <c r="O97" s="13"/>
      <c r="P97" s="387"/>
      <c r="Q97" s="384"/>
      <c r="R97" s="384"/>
      <c r="S97" s="384"/>
      <c r="T97" s="534"/>
      <c r="U97" s="384"/>
      <c r="V97" s="384"/>
      <c r="W97" s="384"/>
      <c r="X97" s="384"/>
      <c r="Y97" s="384"/>
    </row>
    <row r="98">
      <c r="A98" s="385"/>
      <c r="B98" s="434"/>
      <c r="D98" s="394" t="s">
        <v>130</v>
      </c>
      <c r="E98" s="500" t="s">
        <v>139</v>
      </c>
      <c r="F98" s="394" t="s">
        <v>130</v>
      </c>
      <c r="G98" s="500" t="s">
        <v>139</v>
      </c>
      <c r="H98" s="394" t="s">
        <v>130</v>
      </c>
      <c r="I98" s="500" t="s">
        <v>139</v>
      </c>
      <c r="J98" s="394" t="s">
        <v>130</v>
      </c>
      <c r="K98" s="501" t="s">
        <v>139</v>
      </c>
      <c r="L98" s="384"/>
      <c r="M98" s="434"/>
      <c r="O98" s="13"/>
      <c r="P98" s="387"/>
      <c r="Q98" s="384"/>
      <c r="R98" s="384"/>
      <c r="S98" s="384"/>
      <c r="T98" s="384"/>
      <c r="U98" s="384"/>
      <c r="V98" s="384"/>
      <c r="W98" s="384"/>
      <c r="X98" s="384"/>
      <c r="Y98" s="384"/>
    </row>
    <row r="99">
      <c r="A99" s="385"/>
      <c r="B99" s="535" t="s">
        <v>82</v>
      </c>
      <c r="D99" s="536">
        <f t="shared" ref="D99:K99" si="16">-(D76-D92)/D76</f>
        <v>-0.1305033918</v>
      </c>
      <c r="E99" s="536">
        <f t="shared" si="16"/>
        <v>-0.0791644265</v>
      </c>
      <c r="F99" s="536">
        <f t="shared" si="16"/>
        <v>0.01490648481</v>
      </c>
      <c r="G99" s="536">
        <f t="shared" si="16"/>
        <v>0.07904831752</v>
      </c>
      <c r="H99" s="536">
        <f t="shared" si="16"/>
        <v>-0.08066162562</v>
      </c>
      <c r="I99" s="536">
        <f t="shared" si="16"/>
        <v>-0.1110540322</v>
      </c>
      <c r="J99" s="536">
        <f t="shared" si="16"/>
        <v>0.01238450292</v>
      </c>
      <c r="K99" s="537">
        <f t="shared" si="16"/>
        <v>0.02433410852</v>
      </c>
      <c r="L99" s="384"/>
      <c r="M99" s="434"/>
      <c r="O99" s="13"/>
      <c r="P99" s="387"/>
      <c r="Q99" s="384"/>
      <c r="R99" s="384"/>
      <c r="S99" s="384"/>
      <c r="T99" s="384"/>
      <c r="U99" s="384"/>
      <c r="V99" s="384"/>
      <c r="W99" s="384"/>
      <c r="X99" s="384"/>
      <c r="Y99" s="384"/>
    </row>
    <row r="100">
      <c r="A100" s="385"/>
      <c r="B100" s="538" t="s">
        <v>207</v>
      </c>
      <c r="D100" s="536">
        <f t="shared" ref="D100:K100" si="17">-(D80-D89)/D80</f>
        <v>-0.004744958482</v>
      </c>
      <c r="E100" s="536">
        <f t="shared" si="17"/>
        <v>0.003110522833</v>
      </c>
      <c r="F100" s="536">
        <f t="shared" si="17"/>
        <v>0.02944915254</v>
      </c>
      <c r="G100" s="536">
        <f t="shared" si="17"/>
        <v>0.02822677925</v>
      </c>
      <c r="H100" s="536">
        <f t="shared" si="17"/>
        <v>-0.021567596</v>
      </c>
      <c r="I100" s="536">
        <f t="shared" si="17"/>
        <v>-0.01518691589</v>
      </c>
      <c r="J100" s="536">
        <f t="shared" si="17"/>
        <v>0.01283055828</v>
      </c>
      <c r="K100" s="537">
        <f t="shared" si="17"/>
        <v>0.01786903441</v>
      </c>
      <c r="L100" s="384"/>
      <c r="M100" s="539"/>
      <c r="O100" s="13"/>
      <c r="P100" s="387"/>
      <c r="Q100" s="384"/>
      <c r="R100" s="384"/>
      <c r="S100" s="384"/>
      <c r="T100" s="384"/>
      <c r="U100" s="384"/>
      <c r="V100" s="384"/>
      <c r="W100" s="384"/>
      <c r="X100" s="384"/>
      <c r="Y100" s="384"/>
    </row>
    <row r="101">
      <c r="A101" s="385"/>
      <c r="B101" s="538" t="s">
        <v>208</v>
      </c>
      <c r="D101" s="536">
        <f t="shared" ref="D101:K101" si="18">-(D79-D88)/D79</f>
        <v>-0.07381370826</v>
      </c>
      <c r="E101" s="536">
        <f t="shared" si="18"/>
        <v>0.1693363844</v>
      </c>
      <c r="F101" s="536">
        <f t="shared" si="18"/>
        <v>0.009230769231</v>
      </c>
      <c r="G101" s="536">
        <f t="shared" si="18"/>
        <v>0.006430868167</v>
      </c>
      <c r="H101" s="536">
        <f t="shared" si="18"/>
        <v>0.187804878</v>
      </c>
      <c r="I101" s="536">
        <f t="shared" si="18"/>
        <v>-0.06102362205</v>
      </c>
      <c r="J101" s="536">
        <f t="shared" si="18"/>
        <v>0.00974025974</v>
      </c>
      <c r="K101" s="537">
        <f t="shared" si="18"/>
        <v>0.01689189189</v>
      </c>
      <c r="L101" s="384"/>
      <c r="M101" s="539"/>
      <c r="O101" s="13"/>
      <c r="P101" s="387"/>
      <c r="Q101" s="384"/>
      <c r="R101" s="384"/>
      <c r="S101" s="384"/>
      <c r="T101" s="384"/>
      <c r="U101" s="384"/>
      <c r="V101" s="384"/>
      <c r="W101" s="384"/>
      <c r="X101" s="384"/>
      <c r="Y101" s="384"/>
    </row>
    <row r="102">
      <c r="A102" s="385"/>
      <c r="B102" s="540" t="s">
        <v>209</v>
      </c>
      <c r="C102" s="7"/>
      <c r="D102" s="541">
        <f t="shared" ref="D102:K102" si="19">-(D75-D91)/D75</f>
        <v>0.03132088925</v>
      </c>
      <c r="E102" s="541">
        <f t="shared" si="19"/>
        <v>0.03268372268</v>
      </c>
      <c r="F102" s="541">
        <f t="shared" si="19"/>
        <v>0.0008750282664</v>
      </c>
      <c r="G102" s="541">
        <f t="shared" si="19"/>
        <v>-0.002329655171</v>
      </c>
      <c r="H102" s="541">
        <f t="shared" si="19"/>
        <v>0.008135418376</v>
      </c>
      <c r="I102" s="541">
        <f t="shared" si="19"/>
        <v>0.02393069683</v>
      </c>
      <c r="J102" s="541">
        <f t="shared" si="19"/>
        <v>0.003541866852</v>
      </c>
      <c r="K102" s="542">
        <f t="shared" si="19"/>
        <v>0.007757273058</v>
      </c>
      <c r="L102" s="384"/>
      <c r="M102" s="543"/>
      <c r="N102" s="7"/>
      <c r="O102" s="8"/>
      <c r="P102" s="486"/>
      <c r="X102" s="384"/>
      <c r="Y102" s="384"/>
    </row>
    <row r="103">
      <c r="A103" s="385"/>
      <c r="L103" s="384"/>
      <c r="O103" s="384"/>
      <c r="P103" s="486"/>
      <c r="X103" s="384"/>
      <c r="Y103" s="384"/>
    </row>
    <row r="104">
      <c r="A104" s="444"/>
      <c r="B104" s="494"/>
      <c r="C104" s="494"/>
      <c r="D104" s="494"/>
      <c r="E104" s="494"/>
      <c r="F104" s="494"/>
      <c r="G104" s="494"/>
      <c r="H104" s="494"/>
      <c r="I104" s="494"/>
      <c r="J104" s="494"/>
      <c r="K104" s="494"/>
      <c r="L104" s="480"/>
      <c r="M104" s="494"/>
      <c r="N104" s="494"/>
      <c r="O104" s="480"/>
      <c r="P104" s="495"/>
      <c r="X104" s="384"/>
      <c r="Y104" s="384"/>
    </row>
    <row r="105">
      <c r="A105" s="384"/>
      <c r="B105" s="384"/>
      <c r="C105" s="384"/>
      <c r="D105" s="384"/>
      <c r="E105" s="384"/>
      <c r="F105" s="384"/>
      <c r="G105" s="384"/>
      <c r="H105" s="384"/>
      <c r="I105" s="384"/>
      <c r="J105" s="384"/>
      <c r="K105" s="384"/>
      <c r="L105" s="384"/>
      <c r="O105" s="384"/>
      <c r="X105" s="384"/>
      <c r="Y105" s="384"/>
    </row>
    <row r="106">
      <c r="A106" s="384"/>
      <c r="B106" s="384"/>
      <c r="C106" s="384"/>
      <c r="D106" s="384"/>
      <c r="E106" s="384"/>
      <c r="F106" s="384"/>
      <c r="G106" s="384"/>
      <c r="H106" s="384"/>
      <c r="I106" s="384"/>
      <c r="J106" s="384"/>
      <c r="K106" s="384"/>
      <c r="L106" s="384"/>
      <c r="M106" s="384"/>
      <c r="N106" s="384"/>
      <c r="O106" s="384"/>
      <c r="X106" s="384"/>
      <c r="Y106" s="384"/>
    </row>
    <row r="107">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row>
    <row r="108">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row>
    <row r="898">
      <c r="A898" s="384"/>
      <c r="B898" s="384"/>
      <c r="C898" s="384"/>
      <c r="D898" s="384"/>
      <c r="E898" s="384"/>
      <c r="F898" s="384"/>
      <c r="G898" s="384"/>
      <c r="H898" s="384"/>
      <c r="I898" s="384"/>
      <c r="J898" s="384"/>
      <c r="K898" s="384"/>
      <c r="L898" s="384"/>
      <c r="M898" s="384"/>
      <c r="N898" s="384"/>
      <c r="O898" s="384"/>
      <c r="P898" s="384"/>
      <c r="Q898" s="384"/>
      <c r="R898" s="384"/>
      <c r="S898" s="384"/>
      <c r="T898" s="384"/>
      <c r="U898" s="384"/>
      <c r="V898" s="384"/>
      <c r="W898" s="384"/>
      <c r="X898" s="384"/>
      <c r="Y898" s="384"/>
    </row>
    <row r="899">
      <c r="A899" s="384"/>
      <c r="B899" s="384"/>
      <c r="C899" s="384"/>
      <c r="D899" s="384"/>
      <c r="E899" s="384"/>
      <c r="F899" s="384"/>
      <c r="G899" s="384"/>
      <c r="H899" s="384"/>
      <c r="I899" s="384"/>
      <c r="J899" s="384"/>
      <c r="K899" s="384"/>
      <c r="L899" s="384"/>
      <c r="M899" s="384"/>
      <c r="N899" s="384"/>
      <c r="O899" s="384"/>
      <c r="P899" s="384"/>
      <c r="Q899" s="384"/>
      <c r="R899" s="384"/>
      <c r="S899" s="384"/>
      <c r="T899" s="384"/>
      <c r="U899" s="384"/>
      <c r="V899" s="384"/>
      <c r="W899" s="384"/>
      <c r="X899" s="384"/>
      <c r="Y899" s="384"/>
    </row>
    <row r="900">
      <c r="A900" s="384"/>
      <c r="B900" s="384"/>
      <c r="C900" s="384"/>
      <c r="D900" s="384"/>
      <c r="E900" s="384"/>
      <c r="F900" s="384"/>
      <c r="G900" s="384"/>
      <c r="H900" s="384"/>
      <c r="I900" s="384"/>
      <c r="J900" s="384"/>
      <c r="K900" s="384"/>
      <c r="L900" s="384"/>
      <c r="M900" s="384"/>
      <c r="N900" s="384"/>
      <c r="O900" s="384"/>
      <c r="P900" s="384"/>
      <c r="Q900" s="384"/>
      <c r="R900" s="384"/>
      <c r="S900" s="384"/>
      <c r="T900" s="384"/>
      <c r="U900" s="384"/>
      <c r="V900" s="384"/>
      <c r="W900" s="384"/>
      <c r="X900" s="384"/>
      <c r="Y900" s="384"/>
    </row>
    <row r="901">
      <c r="A901" s="384"/>
      <c r="B901" s="384"/>
      <c r="C901" s="384"/>
      <c r="D901" s="384"/>
      <c r="E901" s="384"/>
      <c r="F901" s="384"/>
      <c r="G901" s="384"/>
      <c r="H901" s="384"/>
      <c r="I901" s="384"/>
      <c r="J901" s="384"/>
      <c r="K901" s="384"/>
      <c r="L901" s="384"/>
      <c r="M901" s="384"/>
      <c r="N901" s="384"/>
      <c r="O901" s="384"/>
      <c r="P901" s="384"/>
      <c r="Q901" s="384"/>
      <c r="R901" s="384"/>
      <c r="S901" s="384"/>
      <c r="T901" s="384"/>
      <c r="U901" s="384"/>
      <c r="V901" s="384"/>
      <c r="W901" s="384"/>
      <c r="X901" s="384"/>
      <c r="Y901" s="384"/>
    </row>
    <row r="902">
      <c r="A902" s="384"/>
      <c r="B902" s="384"/>
      <c r="C902" s="384"/>
      <c r="D902" s="384"/>
      <c r="E902" s="384"/>
      <c r="F902" s="384"/>
      <c r="G902" s="384"/>
      <c r="H902" s="384"/>
      <c r="I902" s="384"/>
      <c r="J902" s="384"/>
      <c r="K902" s="384"/>
      <c r="L902" s="384"/>
      <c r="M902" s="384"/>
      <c r="N902" s="384"/>
      <c r="O902" s="384"/>
      <c r="P902" s="384"/>
      <c r="Q902" s="384"/>
      <c r="R902" s="384"/>
      <c r="S902" s="384"/>
      <c r="T902" s="384"/>
      <c r="U902" s="384"/>
      <c r="V902" s="384"/>
      <c r="W902" s="384"/>
      <c r="X902" s="384"/>
      <c r="Y902" s="384"/>
    </row>
    <row r="903">
      <c r="A903" s="384"/>
      <c r="B903" s="384"/>
      <c r="C903" s="384"/>
      <c r="D903" s="384"/>
      <c r="E903" s="384"/>
      <c r="F903" s="384"/>
      <c r="G903" s="384"/>
      <c r="H903" s="384"/>
      <c r="I903" s="384"/>
      <c r="J903" s="384"/>
      <c r="K903" s="384"/>
      <c r="L903" s="384"/>
      <c r="M903" s="384"/>
      <c r="N903" s="384"/>
      <c r="O903" s="384"/>
      <c r="P903" s="384"/>
      <c r="Q903" s="384"/>
      <c r="R903" s="384"/>
      <c r="S903" s="384"/>
      <c r="T903" s="384"/>
      <c r="U903" s="384"/>
      <c r="V903" s="384"/>
      <c r="W903" s="384"/>
      <c r="X903" s="384"/>
      <c r="Y903" s="384"/>
    </row>
    <row r="904">
      <c r="A904" s="384"/>
      <c r="B904" s="384"/>
      <c r="C904" s="384"/>
      <c r="D904" s="384"/>
      <c r="E904" s="384"/>
      <c r="F904" s="384"/>
      <c r="G904" s="384"/>
      <c r="H904" s="384"/>
      <c r="I904" s="384"/>
      <c r="J904" s="384"/>
      <c r="K904" s="384"/>
      <c r="L904" s="384"/>
      <c r="M904" s="384"/>
      <c r="N904" s="384"/>
      <c r="O904" s="384"/>
      <c r="P904" s="384"/>
      <c r="Q904" s="384"/>
      <c r="R904" s="384"/>
      <c r="S904" s="384"/>
      <c r="T904" s="384"/>
      <c r="U904" s="384"/>
      <c r="V904" s="384"/>
      <c r="W904" s="384"/>
      <c r="X904" s="384"/>
      <c r="Y904" s="384"/>
    </row>
    <row r="905">
      <c r="A905" s="384"/>
      <c r="B905" s="384"/>
      <c r="C905" s="384"/>
      <c r="D905" s="384"/>
      <c r="E905" s="384"/>
      <c r="F905" s="384"/>
      <c r="G905" s="384"/>
      <c r="H905" s="384"/>
      <c r="I905" s="384"/>
      <c r="J905" s="384"/>
      <c r="K905" s="384"/>
      <c r="L905" s="384"/>
      <c r="M905" s="384"/>
      <c r="N905" s="384"/>
      <c r="O905" s="384"/>
      <c r="P905" s="384"/>
      <c r="Q905" s="384"/>
      <c r="R905" s="384"/>
      <c r="S905" s="384"/>
      <c r="T905" s="384"/>
      <c r="U905" s="384"/>
      <c r="V905" s="384"/>
      <c r="W905" s="384"/>
      <c r="X905" s="384"/>
      <c r="Y905" s="384"/>
    </row>
    <row r="906">
      <c r="A906" s="384"/>
      <c r="B906" s="384"/>
      <c r="C906" s="384"/>
      <c r="D906" s="384"/>
      <c r="E906" s="384"/>
      <c r="F906" s="384"/>
      <c r="G906" s="384"/>
      <c r="H906" s="384"/>
      <c r="I906" s="384"/>
      <c r="J906" s="384"/>
      <c r="K906" s="384"/>
      <c r="L906" s="384"/>
      <c r="M906" s="384"/>
      <c r="N906" s="384"/>
      <c r="O906" s="384"/>
      <c r="P906" s="384"/>
      <c r="Q906" s="384"/>
      <c r="R906" s="384"/>
      <c r="S906" s="384"/>
      <c r="T906" s="384"/>
      <c r="U906" s="384"/>
      <c r="V906" s="384"/>
      <c r="W906" s="384"/>
      <c r="X906" s="384"/>
      <c r="Y906" s="384"/>
    </row>
    <row r="907">
      <c r="A907" s="384"/>
      <c r="B907" s="384"/>
      <c r="C907" s="384"/>
      <c r="D907" s="384"/>
      <c r="E907" s="384"/>
      <c r="F907" s="384"/>
      <c r="G907" s="384"/>
      <c r="H907" s="384"/>
      <c r="I907" s="384"/>
      <c r="J907" s="384"/>
      <c r="K907" s="384"/>
      <c r="L907" s="384"/>
      <c r="M907" s="384"/>
      <c r="N907" s="384"/>
      <c r="O907" s="384"/>
      <c r="P907" s="384"/>
      <c r="Q907" s="384"/>
      <c r="R907" s="384"/>
      <c r="S907" s="384"/>
      <c r="T907" s="384"/>
      <c r="U907" s="384"/>
      <c r="V907" s="384"/>
      <c r="W907" s="384"/>
      <c r="X907" s="384"/>
      <c r="Y907" s="384"/>
    </row>
    <row r="908">
      <c r="A908" s="384"/>
      <c r="B908" s="384"/>
      <c r="C908" s="384"/>
      <c r="D908" s="384"/>
      <c r="E908" s="384"/>
      <c r="F908" s="384"/>
      <c r="G908" s="384"/>
      <c r="H908" s="384"/>
      <c r="I908" s="384"/>
      <c r="J908" s="384"/>
      <c r="K908" s="384"/>
      <c r="L908" s="384"/>
      <c r="M908" s="384"/>
      <c r="N908" s="384"/>
      <c r="O908" s="384"/>
      <c r="P908" s="384"/>
      <c r="Q908" s="384"/>
      <c r="R908" s="384"/>
      <c r="S908" s="384"/>
      <c r="T908" s="384"/>
      <c r="U908" s="384"/>
      <c r="V908" s="384"/>
      <c r="W908" s="384"/>
      <c r="X908" s="384"/>
      <c r="Y908" s="384"/>
    </row>
    <row r="909">
      <c r="A909" s="384"/>
      <c r="B909" s="384"/>
      <c r="C909" s="384"/>
      <c r="D909" s="384"/>
      <c r="E909" s="384"/>
      <c r="F909" s="384"/>
      <c r="G909" s="384"/>
      <c r="H909" s="384"/>
      <c r="I909" s="384"/>
      <c r="J909" s="384"/>
      <c r="K909" s="384"/>
      <c r="L909" s="384"/>
      <c r="M909" s="384"/>
      <c r="N909" s="384"/>
      <c r="O909" s="384"/>
      <c r="P909" s="384"/>
      <c r="Q909" s="384"/>
      <c r="R909" s="384"/>
      <c r="S909" s="384"/>
      <c r="T909" s="384"/>
      <c r="U909" s="384"/>
      <c r="V909" s="384"/>
      <c r="W909" s="384"/>
      <c r="X909" s="384"/>
      <c r="Y909" s="384"/>
    </row>
    <row r="910">
      <c r="A910" s="384"/>
      <c r="B910" s="384"/>
      <c r="C910" s="384"/>
      <c r="D910" s="384"/>
      <c r="E910" s="384"/>
      <c r="F910" s="384"/>
      <c r="G910" s="384"/>
      <c r="H910" s="384"/>
      <c r="I910" s="384"/>
      <c r="J910" s="384"/>
      <c r="K910" s="384"/>
      <c r="L910" s="384"/>
      <c r="M910" s="384"/>
      <c r="N910" s="384"/>
      <c r="O910" s="384"/>
      <c r="P910" s="384"/>
      <c r="Q910" s="384"/>
      <c r="R910" s="384"/>
      <c r="S910" s="384"/>
      <c r="T910" s="384"/>
      <c r="U910" s="384"/>
      <c r="V910" s="384"/>
      <c r="W910" s="384"/>
      <c r="X910" s="384"/>
      <c r="Y910" s="384"/>
    </row>
    <row r="911">
      <c r="A911" s="384"/>
      <c r="B911" s="384"/>
      <c r="C911" s="384"/>
      <c r="D911" s="384"/>
      <c r="E911" s="384"/>
      <c r="F911" s="384"/>
      <c r="G911" s="384"/>
      <c r="H911" s="384"/>
      <c r="I911" s="384"/>
      <c r="J911" s="384"/>
      <c r="K911" s="384"/>
      <c r="L911" s="384"/>
      <c r="M911" s="384"/>
      <c r="N911" s="384"/>
      <c r="O911" s="384"/>
      <c r="P911" s="384"/>
      <c r="Q911" s="384"/>
      <c r="R911" s="384"/>
      <c r="S911" s="384"/>
      <c r="T911" s="384"/>
      <c r="U911" s="384"/>
      <c r="V911" s="384"/>
      <c r="W911" s="384"/>
      <c r="X911" s="384"/>
      <c r="Y911" s="384"/>
    </row>
    <row r="912">
      <c r="A912" s="384"/>
      <c r="B912" s="384"/>
      <c r="C912" s="384"/>
      <c r="D912" s="384"/>
      <c r="E912" s="384"/>
      <c r="F912" s="384"/>
      <c r="G912" s="384"/>
      <c r="H912" s="384"/>
      <c r="I912" s="384"/>
      <c r="J912" s="384"/>
      <c r="K912" s="384"/>
      <c r="L912" s="384"/>
      <c r="M912" s="384"/>
      <c r="N912" s="384"/>
      <c r="O912" s="384"/>
      <c r="P912" s="384"/>
      <c r="Q912" s="384"/>
      <c r="R912" s="384"/>
      <c r="S912" s="384"/>
      <c r="T912" s="384"/>
      <c r="U912" s="384"/>
      <c r="V912" s="384"/>
      <c r="W912" s="384"/>
      <c r="X912" s="384"/>
      <c r="Y912" s="384"/>
    </row>
    <row r="913">
      <c r="A913" s="384"/>
      <c r="B913" s="384"/>
      <c r="C913" s="384"/>
      <c r="D913" s="384"/>
      <c r="E913" s="384"/>
      <c r="F913" s="384"/>
      <c r="G913" s="384"/>
      <c r="H913" s="384"/>
      <c r="I913" s="384"/>
      <c r="J913" s="384"/>
      <c r="K913" s="384"/>
      <c r="L913" s="384"/>
      <c r="M913" s="384"/>
      <c r="N913" s="384"/>
      <c r="O913" s="384"/>
      <c r="P913" s="384"/>
      <c r="Q913" s="384"/>
      <c r="R913" s="384"/>
      <c r="S913" s="384"/>
      <c r="T913" s="384"/>
      <c r="U913" s="384"/>
      <c r="V913" s="384"/>
      <c r="W913" s="384"/>
      <c r="X913" s="384"/>
      <c r="Y913" s="384"/>
    </row>
    <row r="914">
      <c r="A914" s="384"/>
      <c r="B914" s="384"/>
      <c r="C914" s="384"/>
      <c r="D914" s="384"/>
      <c r="E914" s="384"/>
      <c r="F914" s="384"/>
      <c r="G914" s="384"/>
      <c r="H914" s="384"/>
      <c r="I914" s="384"/>
      <c r="J914" s="384"/>
      <c r="K914" s="384"/>
      <c r="L914" s="384"/>
      <c r="M914" s="384"/>
      <c r="N914" s="384"/>
      <c r="O914" s="384"/>
      <c r="P914" s="384"/>
      <c r="Q914" s="384"/>
      <c r="R914" s="384"/>
      <c r="S914" s="384"/>
      <c r="T914" s="384"/>
      <c r="U914" s="384"/>
      <c r="V914" s="384"/>
      <c r="W914" s="384"/>
      <c r="X914" s="384"/>
      <c r="Y914" s="384"/>
    </row>
    <row r="915">
      <c r="A915" s="384"/>
      <c r="B915" s="384"/>
      <c r="C915" s="384"/>
      <c r="D915" s="384"/>
      <c r="E915" s="384"/>
      <c r="F915" s="384"/>
      <c r="G915" s="384"/>
      <c r="H915" s="384"/>
      <c r="I915" s="384"/>
      <c r="J915" s="384"/>
      <c r="K915" s="384"/>
      <c r="L915" s="384"/>
      <c r="M915" s="384"/>
      <c r="N915" s="384"/>
      <c r="O915" s="384"/>
      <c r="P915" s="384"/>
      <c r="Q915" s="384"/>
      <c r="R915" s="384"/>
      <c r="S915" s="384"/>
      <c r="T915" s="384"/>
      <c r="U915" s="384"/>
      <c r="V915" s="384"/>
      <c r="W915" s="384"/>
      <c r="X915" s="384"/>
      <c r="Y915" s="384"/>
    </row>
    <row r="916">
      <c r="A916" s="384"/>
      <c r="B916" s="384"/>
      <c r="C916" s="384"/>
      <c r="D916" s="384"/>
      <c r="E916" s="384"/>
      <c r="F916" s="384"/>
      <c r="G916" s="384"/>
      <c r="H916" s="384"/>
      <c r="I916" s="384"/>
      <c r="J916" s="384"/>
      <c r="K916" s="384"/>
      <c r="L916" s="384"/>
      <c r="M916" s="384"/>
      <c r="N916" s="384"/>
      <c r="O916" s="384"/>
      <c r="P916" s="384"/>
      <c r="Q916" s="384"/>
      <c r="R916" s="384"/>
      <c r="S916" s="384"/>
      <c r="T916" s="384"/>
      <c r="U916" s="384"/>
      <c r="V916" s="384"/>
      <c r="W916" s="384"/>
      <c r="X916" s="384"/>
      <c r="Y916" s="384"/>
    </row>
    <row r="917">
      <c r="A917" s="384"/>
      <c r="B917" s="384"/>
      <c r="C917" s="384"/>
      <c r="D917" s="384"/>
      <c r="E917" s="384"/>
      <c r="F917" s="384"/>
      <c r="G917" s="384"/>
      <c r="H917" s="384"/>
      <c r="I917" s="384"/>
      <c r="J917" s="384"/>
      <c r="K917" s="384"/>
      <c r="L917" s="384"/>
      <c r="M917" s="384"/>
      <c r="N917" s="384"/>
      <c r="O917" s="384"/>
      <c r="P917" s="384"/>
      <c r="Q917" s="384"/>
      <c r="R917" s="384"/>
      <c r="S917" s="384"/>
      <c r="T917" s="384"/>
      <c r="U917" s="384"/>
      <c r="V917" s="384"/>
      <c r="W917" s="384"/>
      <c r="X917" s="384"/>
      <c r="Y917" s="384"/>
    </row>
    <row r="918">
      <c r="A918" s="384"/>
      <c r="B918" s="384"/>
      <c r="C918" s="384"/>
      <c r="D918" s="384"/>
      <c r="E918" s="384"/>
      <c r="F918" s="384"/>
      <c r="G918" s="384"/>
      <c r="H918" s="384"/>
      <c r="I918" s="384"/>
      <c r="J918" s="384"/>
      <c r="K918" s="384"/>
      <c r="L918" s="384"/>
      <c r="M918" s="384"/>
      <c r="N918" s="384"/>
      <c r="O918" s="384"/>
      <c r="P918" s="384"/>
      <c r="Q918" s="384"/>
      <c r="R918" s="384"/>
      <c r="S918" s="384"/>
      <c r="T918" s="384"/>
      <c r="U918" s="384"/>
      <c r="V918" s="384"/>
      <c r="W918" s="384"/>
      <c r="X918" s="384"/>
      <c r="Y918" s="384"/>
    </row>
    <row r="919">
      <c r="A919" s="384"/>
      <c r="B919" s="384"/>
      <c r="C919" s="384"/>
      <c r="D919" s="384"/>
      <c r="E919" s="384"/>
      <c r="F919" s="384"/>
      <c r="G919" s="384"/>
      <c r="H919" s="384"/>
      <c r="I919" s="384"/>
      <c r="J919" s="384"/>
      <c r="K919" s="384"/>
      <c r="L919" s="384"/>
      <c r="M919" s="384"/>
      <c r="N919" s="384"/>
      <c r="O919" s="384"/>
      <c r="P919" s="384"/>
      <c r="Q919" s="384"/>
      <c r="R919" s="384"/>
      <c r="S919" s="384"/>
      <c r="T919" s="384"/>
      <c r="U919" s="384"/>
      <c r="V919" s="384"/>
      <c r="W919" s="384"/>
      <c r="X919" s="384"/>
      <c r="Y919" s="384"/>
    </row>
    <row r="920">
      <c r="A920" s="384"/>
      <c r="B920" s="384"/>
      <c r="C920" s="384"/>
      <c r="D920" s="384"/>
      <c r="E920" s="384"/>
      <c r="F920" s="384"/>
      <c r="G920" s="384"/>
      <c r="H920" s="384"/>
      <c r="I920" s="384"/>
      <c r="J920" s="384"/>
      <c r="K920" s="384"/>
      <c r="L920" s="384"/>
      <c r="M920" s="384"/>
      <c r="N920" s="384"/>
      <c r="O920" s="384"/>
      <c r="P920" s="384"/>
      <c r="Q920" s="384"/>
      <c r="R920" s="384"/>
      <c r="S920" s="384"/>
      <c r="T920" s="384"/>
      <c r="U920" s="384"/>
      <c r="V920" s="384"/>
      <c r="W920" s="384"/>
      <c r="X920" s="384"/>
      <c r="Y920" s="384"/>
    </row>
    <row r="921">
      <c r="A921" s="384"/>
      <c r="B921" s="384"/>
      <c r="C921" s="384"/>
      <c r="D921" s="384"/>
      <c r="E921" s="384"/>
      <c r="F921" s="384"/>
      <c r="G921" s="384"/>
      <c r="H921" s="384"/>
      <c r="I921" s="384"/>
      <c r="J921" s="384"/>
      <c r="K921" s="384"/>
      <c r="L921" s="384"/>
      <c r="M921" s="384"/>
      <c r="N921" s="384"/>
      <c r="O921" s="384"/>
      <c r="P921" s="384"/>
      <c r="Q921" s="384"/>
      <c r="R921" s="384"/>
      <c r="S921" s="384"/>
      <c r="T921" s="384"/>
      <c r="U921" s="384"/>
      <c r="V921" s="384"/>
      <c r="W921" s="384"/>
      <c r="X921" s="384"/>
      <c r="Y921" s="384"/>
    </row>
    <row r="922">
      <c r="A922" s="384"/>
      <c r="B922" s="384"/>
      <c r="C922" s="384"/>
      <c r="D922" s="384"/>
      <c r="E922" s="384"/>
      <c r="F922" s="384"/>
      <c r="G922" s="384"/>
      <c r="H922" s="384"/>
      <c r="I922" s="384"/>
      <c r="J922" s="384"/>
      <c r="K922" s="384"/>
      <c r="L922" s="384"/>
      <c r="M922" s="384"/>
      <c r="N922" s="384"/>
      <c r="O922" s="384"/>
      <c r="P922" s="384"/>
      <c r="Q922" s="384"/>
      <c r="R922" s="384"/>
      <c r="S922" s="384"/>
      <c r="T922" s="384"/>
      <c r="U922" s="384"/>
      <c r="V922" s="384"/>
      <c r="W922" s="384"/>
      <c r="X922" s="384"/>
      <c r="Y922" s="384"/>
    </row>
    <row r="923">
      <c r="A923" s="384"/>
      <c r="B923" s="384"/>
      <c r="C923" s="384"/>
      <c r="D923" s="384"/>
      <c r="E923" s="384"/>
      <c r="F923" s="384"/>
      <c r="G923" s="384"/>
      <c r="H923" s="384"/>
      <c r="I923" s="384"/>
      <c r="J923" s="384"/>
      <c r="K923" s="384"/>
      <c r="L923" s="384"/>
      <c r="M923" s="384"/>
      <c r="N923" s="384"/>
      <c r="O923" s="384"/>
      <c r="P923" s="384"/>
      <c r="Q923" s="384"/>
      <c r="R923" s="384"/>
      <c r="S923" s="384"/>
      <c r="T923" s="384"/>
      <c r="U923" s="384"/>
      <c r="V923" s="384"/>
      <c r="W923" s="384"/>
      <c r="X923" s="384"/>
      <c r="Y923" s="384"/>
    </row>
    <row r="924">
      <c r="A924" s="384"/>
      <c r="B924" s="384"/>
      <c r="C924" s="384"/>
      <c r="D924" s="384"/>
      <c r="E924" s="384"/>
      <c r="F924" s="384"/>
      <c r="G924" s="384"/>
      <c r="H924" s="384"/>
      <c r="I924" s="384"/>
      <c r="J924" s="384"/>
      <c r="K924" s="384"/>
      <c r="L924" s="384"/>
      <c r="M924" s="384"/>
      <c r="N924" s="384"/>
      <c r="O924" s="384"/>
      <c r="P924" s="384"/>
      <c r="Q924" s="384"/>
      <c r="R924" s="384"/>
      <c r="S924" s="384"/>
      <c r="T924" s="384"/>
      <c r="U924" s="384"/>
      <c r="V924" s="384"/>
      <c r="W924" s="384"/>
      <c r="X924" s="384"/>
      <c r="Y924" s="384"/>
    </row>
    <row r="925">
      <c r="A925" s="384"/>
      <c r="B925" s="384"/>
      <c r="C925" s="384"/>
      <c r="D925" s="384"/>
      <c r="E925" s="384"/>
      <c r="F925" s="384"/>
      <c r="G925" s="384"/>
      <c r="H925" s="384"/>
      <c r="I925" s="384"/>
      <c r="J925" s="384"/>
      <c r="K925" s="384"/>
      <c r="L925" s="384"/>
      <c r="M925" s="384"/>
      <c r="N925" s="384"/>
      <c r="O925" s="384"/>
      <c r="P925" s="384"/>
      <c r="Q925" s="384"/>
      <c r="R925" s="384"/>
      <c r="S925" s="384"/>
      <c r="T925" s="384"/>
      <c r="U925" s="384"/>
      <c r="V925" s="384"/>
      <c r="W925" s="384"/>
      <c r="X925" s="384"/>
      <c r="Y925" s="384"/>
    </row>
    <row r="926">
      <c r="A926" s="384"/>
      <c r="B926" s="384"/>
      <c r="C926" s="384"/>
      <c r="D926" s="384"/>
      <c r="E926" s="384"/>
      <c r="F926" s="384"/>
      <c r="G926" s="384"/>
      <c r="H926" s="384"/>
      <c r="I926" s="384"/>
      <c r="J926" s="384"/>
      <c r="K926" s="384"/>
      <c r="L926" s="384"/>
      <c r="M926" s="384"/>
      <c r="N926" s="384"/>
      <c r="O926" s="384"/>
      <c r="P926" s="384"/>
      <c r="Q926" s="384"/>
      <c r="R926" s="384"/>
      <c r="S926" s="384"/>
      <c r="T926" s="384"/>
      <c r="U926" s="384"/>
      <c r="V926" s="384"/>
      <c r="W926" s="384"/>
      <c r="X926" s="384"/>
      <c r="Y926" s="384"/>
    </row>
    <row r="927">
      <c r="A927" s="384"/>
      <c r="B927" s="384"/>
      <c r="C927" s="384"/>
      <c r="D927" s="384"/>
      <c r="E927" s="384"/>
      <c r="F927" s="384"/>
      <c r="G927" s="384"/>
      <c r="H927" s="384"/>
      <c r="I927" s="384"/>
      <c r="J927" s="384"/>
      <c r="K927" s="384"/>
      <c r="L927" s="384"/>
      <c r="M927" s="384"/>
      <c r="N927" s="384"/>
      <c r="O927" s="384"/>
      <c r="P927" s="384"/>
      <c r="Q927" s="384"/>
      <c r="R927" s="384"/>
      <c r="S927" s="384"/>
      <c r="T927" s="384"/>
      <c r="U927" s="384"/>
      <c r="V927" s="384"/>
      <c r="W927" s="384"/>
      <c r="X927" s="384"/>
      <c r="Y927" s="384"/>
    </row>
    <row r="928">
      <c r="A928" s="384"/>
      <c r="B928" s="384"/>
      <c r="C928" s="384"/>
      <c r="D928" s="384"/>
      <c r="E928" s="384"/>
      <c r="F928" s="384"/>
      <c r="G928" s="384"/>
      <c r="H928" s="384"/>
      <c r="I928" s="384"/>
      <c r="J928" s="384"/>
      <c r="K928" s="384"/>
      <c r="L928" s="384"/>
      <c r="M928" s="384"/>
      <c r="N928" s="384"/>
      <c r="O928" s="384"/>
      <c r="P928" s="384"/>
      <c r="Q928" s="384"/>
      <c r="R928" s="384"/>
      <c r="S928" s="384"/>
      <c r="T928" s="384"/>
      <c r="U928" s="384"/>
      <c r="V928" s="384"/>
      <c r="W928" s="384"/>
      <c r="X928" s="384"/>
      <c r="Y928" s="384"/>
    </row>
    <row r="929">
      <c r="A929" s="384"/>
      <c r="B929" s="384"/>
      <c r="C929" s="384"/>
      <c r="D929" s="384"/>
      <c r="E929" s="384"/>
      <c r="F929" s="384"/>
      <c r="G929" s="384"/>
      <c r="H929" s="384"/>
      <c r="I929" s="384"/>
      <c r="J929" s="384"/>
      <c r="K929" s="384"/>
      <c r="L929" s="384"/>
      <c r="M929" s="384"/>
      <c r="N929" s="384"/>
      <c r="O929" s="384"/>
      <c r="P929" s="384"/>
      <c r="Q929" s="384"/>
      <c r="R929" s="384"/>
      <c r="S929" s="384"/>
      <c r="T929" s="384"/>
      <c r="U929" s="384"/>
      <c r="V929" s="384"/>
      <c r="W929" s="384"/>
      <c r="X929" s="384"/>
      <c r="Y929" s="384"/>
    </row>
  </sheetData>
  <mergeCells count="150">
    <mergeCell ref="L36:O36"/>
    <mergeCell ref="L37:N37"/>
    <mergeCell ref="L38:N38"/>
    <mergeCell ref="L39:N39"/>
    <mergeCell ref="L40:N40"/>
    <mergeCell ref="L41:N41"/>
    <mergeCell ref="L42:N42"/>
    <mergeCell ref="L53:N53"/>
    <mergeCell ref="L54:N54"/>
    <mergeCell ref="L55:N55"/>
    <mergeCell ref="L56:N56"/>
    <mergeCell ref="L57:N57"/>
    <mergeCell ref="L43:N43"/>
    <mergeCell ref="L44:N44"/>
    <mergeCell ref="L45:N45"/>
    <mergeCell ref="L47:O47"/>
    <mergeCell ref="L48:N48"/>
    <mergeCell ref="L49:N49"/>
    <mergeCell ref="L50:N50"/>
    <mergeCell ref="A1:Y1"/>
    <mergeCell ref="B2:D2"/>
    <mergeCell ref="B4:K4"/>
    <mergeCell ref="D5:E5"/>
    <mergeCell ref="F5:G5"/>
    <mergeCell ref="H5:K5"/>
    <mergeCell ref="H7:K9"/>
    <mergeCell ref="H12:K13"/>
    <mergeCell ref="H15:K15"/>
    <mergeCell ref="B18:I18"/>
    <mergeCell ref="K18:M18"/>
    <mergeCell ref="B19:C19"/>
    <mergeCell ref="D19:E19"/>
    <mergeCell ref="F19:G19"/>
    <mergeCell ref="H19:I19"/>
    <mergeCell ref="K19:L19"/>
    <mergeCell ref="K20:L20"/>
    <mergeCell ref="D23:E23"/>
    <mergeCell ref="F23:G23"/>
    <mergeCell ref="H23:I23"/>
    <mergeCell ref="J23:K23"/>
    <mergeCell ref="B23:C24"/>
    <mergeCell ref="B25:C25"/>
    <mergeCell ref="B26:C26"/>
    <mergeCell ref="B27:C27"/>
    <mergeCell ref="B30:C30"/>
    <mergeCell ref="E30:J30"/>
    <mergeCell ref="L30:N30"/>
    <mergeCell ref="E31:F31"/>
    <mergeCell ref="H31:I31"/>
    <mergeCell ref="L31:M31"/>
    <mergeCell ref="E32:F32"/>
    <mergeCell ref="H32:I32"/>
    <mergeCell ref="L32:M32"/>
    <mergeCell ref="B36:D36"/>
    <mergeCell ref="B43:D43"/>
    <mergeCell ref="F43:H43"/>
    <mergeCell ref="L51:N51"/>
    <mergeCell ref="L52:N52"/>
    <mergeCell ref="F41:H41"/>
    <mergeCell ref="F42:H42"/>
    <mergeCell ref="B38:I38"/>
    <mergeCell ref="B39:D39"/>
    <mergeCell ref="F39:H39"/>
    <mergeCell ref="B40:D40"/>
    <mergeCell ref="F40:H40"/>
    <mergeCell ref="B41:D41"/>
    <mergeCell ref="B42:D42"/>
    <mergeCell ref="G49:I49"/>
    <mergeCell ref="G50:I50"/>
    <mergeCell ref="G51:I51"/>
    <mergeCell ref="G53:J53"/>
    <mergeCell ref="G54:I54"/>
    <mergeCell ref="G55:I55"/>
    <mergeCell ref="G56:I56"/>
    <mergeCell ref="G57:I57"/>
    <mergeCell ref="B44:D44"/>
    <mergeCell ref="F44:H44"/>
    <mergeCell ref="B46:E46"/>
    <mergeCell ref="G46:J46"/>
    <mergeCell ref="B47:D47"/>
    <mergeCell ref="G47:I47"/>
    <mergeCell ref="G48:I48"/>
    <mergeCell ref="B48:D48"/>
    <mergeCell ref="B49:D49"/>
    <mergeCell ref="B50:D50"/>
    <mergeCell ref="B52:E52"/>
    <mergeCell ref="B53:D53"/>
    <mergeCell ref="B54:D54"/>
    <mergeCell ref="B55:D55"/>
    <mergeCell ref="I63:J63"/>
    <mergeCell ref="I64:J64"/>
    <mergeCell ref="B56:D56"/>
    <mergeCell ref="B57:D57"/>
    <mergeCell ref="B60:C60"/>
    <mergeCell ref="B62:G62"/>
    <mergeCell ref="I62:N62"/>
    <mergeCell ref="B63:C63"/>
    <mergeCell ref="B64:C64"/>
    <mergeCell ref="B91:C91"/>
    <mergeCell ref="B92:C92"/>
    <mergeCell ref="B93:C93"/>
    <mergeCell ref="B96:K96"/>
    <mergeCell ref="D97:E97"/>
    <mergeCell ref="F84:G84"/>
    <mergeCell ref="H84:I84"/>
    <mergeCell ref="M85:O88"/>
    <mergeCell ref="M89:O93"/>
    <mergeCell ref="F97:G97"/>
    <mergeCell ref="H97:I97"/>
    <mergeCell ref="J97:K97"/>
    <mergeCell ref="D73:E73"/>
    <mergeCell ref="F73:G73"/>
    <mergeCell ref="B65:C65"/>
    <mergeCell ref="B66:C66"/>
    <mergeCell ref="B67:C67"/>
    <mergeCell ref="B70:C70"/>
    <mergeCell ref="B72:K72"/>
    <mergeCell ref="M72:O72"/>
    <mergeCell ref="M73:O75"/>
    <mergeCell ref="B73:C74"/>
    <mergeCell ref="B75:C75"/>
    <mergeCell ref="B76:C76"/>
    <mergeCell ref="B77:C77"/>
    <mergeCell ref="B78:C78"/>
    <mergeCell ref="B79:C79"/>
    <mergeCell ref="B80:C80"/>
    <mergeCell ref="H73:I73"/>
    <mergeCell ref="J73:K73"/>
    <mergeCell ref="M76:O80"/>
    <mergeCell ref="M81:O82"/>
    <mergeCell ref="B83:K83"/>
    <mergeCell ref="M83:O84"/>
    <mergeCell ref="D84:E84"/>
    <mergeCell ref="J84:K84"/>
    <mergeCell ref="B97:C98"/>
    <mergeCell ref="B99:C99"/>
    <mergeCell ref="B100:C100"/>
    <mergeCell ref="B101:C101"/>
    <mergeCell ref="B102:C102"/>
    <mergeCell ref="B81:C81"/>
    <mergeCell ref="B84:C85"/>
    <mergeCell ref="B86:C86"/>
    <mergeCell ref="B87:C87"/>
    <mergeCell ref="B88:C88"/>
    <mergeCell ref="B89:C89"/>
    <mergeCell ref="B90:C90"/>
    <mergeCell ref="M94:O99"/>
    <mergeCell ref="M100:O100"/>
    <mergeCell ref="M101:O101"/>
    <mergeCell ref="M102:O102"/>
  </mergeCells>
  <conditionalFormatting sqref="D76:K76">
    <cfRule type="cellIs" dxfId="3" priority="1" operator="lessThan">
      <formula>9000</formula>
    </cfRule>
  </conditionalFormatting>
  <conditionalFormatting sqref="D92:K92">
    <cfRule type="cellIs" dxfId="3" priority="2" operator="lessThan">
      <formula>9000</formula>
    </cfRule>
  </conditionalFormatting>
  <conditionalFormatting sqref="D76:K76">
    <cfRule type="cellIs" dxfId="4" priority="3" operator="greaterThanOrEqual">
      <formula>9000</formula>
    </cfRule>
  </conditionalFormatting>
  <conditionalFormatting sqref="D92:K92">
    <cfRule type="cellIs" dxfId="4" priority="4" operator="greaterThanOrEqual">
      <formula>9000</formula>
    </cfRule>
  </conditionalFormatting>
  <conditionalFormatting sqref="D75:K75 D91:K91">
    <cfRule type="cellIs" dxfId="4" priority="5" operator="greaterThanOrEqual">
      <formula>30</formula>
    </cfRule>
  </conditionalFormatting>
  <conditionalFormatting sqref="D75:K75 D91:K91">
    <cfRule type="cellIs" dxfId="3" priority="6" operator="lessThan">
      <formula>30</formula>
    </cfRule>
  </conditionalFormatting>
  <conditionalFormatting sqref="D99:K104">
    <cfRule type="cellIs" dxfId="4" priority="7" operator="between">
      <formula>-0.05</formula>
      <formula>0.05</formula>
    </cfRule>
  </conditionalFormatting>
  <conditionalFormatting sqref="D99:K104">
    <cfRule type="cellIs" dxfId="5" priority="8" operator="between">
      <formula>0.0500001</formula>
      <formula>0.1</formula>
    </cfRule>
  </conditionalFormatting>
  <conditionalFormatting sqref="D99:K104">
    <cfRule type="cellIs" dxfId="3" priority="9" operator="greaterThan">
      <formula>0.1</formula>
    </cfRule>
  </conditionalFormatting>
  <conditionalFormatting sqref="D99:K104">
    <cfRule type="cellIs" dxfId="6" priority="10" operator="between">
      <formula>-0.050001</formula>
      <formula>-0.1</formula>
    </cfRule>
  </conditionalFormatting>
  <conditionalFormatting sqref="D99:K104">
    <cfRule type="cellIs" dxfId="3" priority="11" operator="lessThan">
      <formula>-0.1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9"/>
      <c r="B1" s="380" t="s">
        <v>137</v>
      </c>
      <c r="C1" s="381"/>
      <c r="D1" s="381"/>
      <c r="E1" s="382"/>
      <c r="F1" s="382"/>
      <c r="G1" s="382"/>
      <c r="H1" s="382"/>
      <c r="I1" s="382"/>
      <c r="J1" s="382"/>
      <c r="K1" s="382"/>
      <c r="L1" s="382"/>
      <c r="M1" s="382"/>
      <c r="N1" s="382"/>
      <c r="O1" s="382"/>
      <c r="P1" s="383"/>
    </row>
    <row r="2">
      <c r="A2" s="385"/>
      <c r="B2" s="386"/>
      <c r="C2" s="386"/>
      <c r="D2" s="386"/>
      <c r="E2" s="386"/>
      <c r="F2" s="386"/>
      <c r="G2" s="386"/>
      <c r="H2" s="386"/>
      <c r="I2" s="386"/>
      <c r="J2" s="386"/>
      <c r="K2" s="386"/>
      <c r="L2" s="386"/>
      <c r="M2" s="386"/>
      <c r="N2" s="386"/>
      <c r="O2" s="386"/>
      <c r="P2" s="387"/>
    </row>
    <row r="3">
      <c r="A3" s="385"/>
      <c r="B3" s="580" t="s">
        <v>1</v>
      </c>
      <c r="C3" s="469"/>
      <c r="D3" s="469"/>
      <c r="E3" s="469"/>
      <c r="F3" s="469"/>
      <c r="G3" s="469"/>
      <c r="H3" s="470"/>
      <c r="I3" s="581"/>
      <c r="J3" s="386"/>
      <c r="N3" s="386"/>
      <c r="O3" s="386"/>
      <c r="P3" s="387"/>
    </row>
    <row r="4">
      <c r="A4" s="385"/>
      <c r="B4" s="582" t="s">
        <v>2</v>
      </c>
      <c r="C4" s="390" t="s">
        <v>3</v>
      </c>
      <c r="E4" s="583" t="s">
        <v>227</v>
      </c>
      <c r="G4" s="391" t="s">
        <v>138</v>
      </c>
      <c r="H4" s="12"/>
      <c r="J4" s="584" t="s">
        <v>228</v>
      </c>
      <c r="K4" s="469"/>
      <c r="L4" s="470"/>
      <c r="N4" s="564"/>
      <c r="O4" s="386"/>
      <c r="P4" s="387"/>
    </row>
    <row r="5">
      <c r="A5" s="385"/>
      <c r="B5" s="585"/>
      <c r="C5" s="394" t="s">
        <v>229</v>
      </c>
      <c r="E5" s="394" t="s">
        <v>130</v>
      </c>
      <c r="G5" s="396" t="s">
        <v>230</v>
      </c>
      <c r="H5" s="12"/>
      <c r="J5" s="586" t="s">
        <v>231</v>
      </c>
      <c r="L5" s="587">
        <v>76200.0</v>
      </c>
      <c r="N5" s="564"/>
      <c r="O5" s="386"/>
      <c r="P5" s="387"/>
    </row>
    <row r="6">
      <c r="A6" s="385"/>
      <c r="B6" s="588" t="s">
        <v>11</v>
      </c>
      <c r="C6" s="504">
        <v>1003.0</v>
      </c>
      <c r="E6" s="504">
        <v>0.0</v>
      </c>
      <c r="G6" s="589" t="s">
        <v>232</v>
      </c>
      <c r="H6" s="590" t="s">
        <v>233</v>
      </c>
      <c r="I6" s="502"/>
      <c r="J6" s="591" t="s">
        <v>234</v>
      </c>
      <c r="L6" s="587">
        <v>290.0</v>
      </c>
      <c r="N6" s="592"/>
      <c r="O6" s="386"/>
      <c r="P6" s="387"/>
    </row>
    <row r="7">
      <c r="A7" s="385"/>
      <c r="B7" s="593" t="s">
        <v>12</v>
      </c>
      <c r="C7" s="594">
        <v>715.0</v>
      </c>
      <c r="E7" s="594">
        <v>589.0</v>
      </c>
      <c r="H7" s="134"/>
      <c r="I7" s="502"/>
      <c r="J7" s="595"/>
      <c r="L7" s="134"/>
      <c r="N7" s="592"/>
      <c r="O7" s="386"/>
      <c r="P7" s="387"/>
    </row>
    <row r="8">
      <c r="A8" s="385"/>
      <c r="B8" s="588" t="s">
        <v>13</v>
      </c>
      <c r="C8" s="504">
        <v>422.0</v>
      </c>
      <c r="E8" s="504">
        <v>820.0</v>
      </c>
      <c r="H8" s="127"/>
      <c r="I8" s="502"/>
      <c r="J8" s="586" t="s">
        <v>235</v>
      </c>
      <c r="L8" s="596">
        <f>L5+E15</f>
        <v>84000</v>
      </c>
      <c r="N8" s="592"/>
      <c r="O8" s="386"/>
      <c r="P8" s="387"/>
    </row>
    <row r="9">
      <c r="A9" s="385"/>
      <c r="B9" s="593" t="s">
        <v>14</v>
      </c>
      <c r="C9" s="594">
        <v>756.0</v>
      </c>
      <c r="E9" s="594">
        <v>273.0</v>
      </c>
      <c r="G9" s="597">
        <v>0.0</v>
      </c>
      <c r="H9" s="598">
        <v>2.7</v>
      </c>
      <c r="I9" s="502"/>
      <c r="J9" s="599" t="s">
        <v>236</v>
      </c>
      <c r="L9" s="587">
        <f>L8+1000*G15</f>
        <v>113980</v>
      </c>
      <c r="N9" s="592"/>
      <c r="O9" s="386"/>
      <c r="P9" s="387"/>
    </row>
    <row r="10">
      <c r="A10" s="385"/>
      <c r="B10" s="588" t="s">
        <v>15</v>
      </c>
      <c r="C10" s="504">
        <v>388.0</v>
      </c>
      <c r="E10" s="504">
        <v>0.0</v>
      </c>
      <c r="G10" s="600">
        <v>4.59</v>
      </c>
      <c r="H10" s="601">
        <v>7.05</v>
      </c>
      <c r="I10" s="502"/>
      <c r="J10" s="586" t="s">
        <v>237</v>
      </c>
      <c r="L10" s="602">
        <f t="shared" ref="L10:L11" si="1">L8/1000</f>
        <v>84</v>
      </c>
      <c r="N10" s="592"/>
      <c r="O10" s="386"/>
      <c r="P10" s="387"/>
    </row>
    <row r="11">
      <c r="A11" s="385"/>
      <c r="B11" s="593" t="s">
        <v>16</v>
      </c>
      <c r="C11" s="594">
        <v>334.0</v>
      </c>
      <c r="E11" s="594">
        <v>210.0</v>
      </c>
      <c r="G11" s="603">
        <v>0.0</v>
      </c>
      <c r="H11" s="134"/>
      <c r="I11" s="502"/>
      <c r="J11" s="599" t="s">
        <v>145</v>
      </c>
      <c r="L11" s="604">
        <f t="shared" si="1"/>
        <v>113.98</v>
      </c>
      <c r="N11" s="592"/>
      <c r="O11" s="386"/>
      <c r="P11" s="387"/>
    </row>
    <row r="12">
      <c r="A12" s="385"/>
      <c r="B12" s="588" t="s">
        <v>18</v>
      </c>
      <c r="C12" s="504">
        <v>388.0</v>
      </c>
      <c r="E12" s="504">
        <v>0.0</v>
      </c>
      <c r="G12" s="605">
        <v>6.63</v>
      </c>
      <c r="H12" s="606">
        <v>9.01</v>
      </c>
      <c r="I12" s="502"/>
      <c r="J12" s="599" t="s">
        <v>238</v>
      </c>
      <c r="L12" s="587">
        <v>243.0</v>
      </c>
      <c r="N12" s="592"/>
      <c r="O12" s="386"/>
      <c r="P12" s="387"/>
    </row>
    <row r="13">
      <c r="A13" s="385"/>
      <c r="B13" s="593" t="s">
        <v>19</v>
      </c>
      <c r="C13" s="594">
        <v>756.0</v>
      </c>
      <c r="E13" s="594">
        <v>3460.0</v>
      </c>
      <c r="G13" s="603">
        <v>0.0</v>
      </c>
      <c r="H13" s="134"/>
      <c r="I13" s="502"/>
      <c r="J13" s="607" t="s">
        <v>23</v>
      </c>
      <c r="K13" s="160"/>
      <c r="L13" s="608">
        <f>C15/L12</f>
        <v>20.781893</v>
      </c>
      <c r="M13" s="592"/>
      <c r="N13" s="592"/>
      <c r="O13" s="386"/>
      <c r="P13" s="387"/>
    </row>
    <row r="14">
      <c r="A14" s="385"/>
      <c r="B14" s="609" t="s">
        <v>147</v>
      </c>
      <c r="C14" s="504" t="s">
        <v>239</v>
      </c>
      <c r="D14" s="610">
        <v>288.0</v>
      </c>
      <c r="E14" s="504" t="s">
        <v>240</v>
      </c>
      <c r="F14" s="504">
        <v>2448.0</v>
      </c>
      <c r="H14" s="127"/>
      <c r="I14" s="611"/>
      <c r="M14" s="592"/>
      <c r="N14" s="592"/>
      <c r="O14" s="386"/>
      <c r="P14" s="387"/>
    </row>
    <row r="15">
      <c r="A15" s="385"/>
      <c r="B15" s="612" t="s">
        <v>144</v>
      </c>
      <c r="C15" s="613">
        <f>SUM(C6:C14)+D14</f>
        <v>5050</v>
      </c>
      <c r="D15" s="160"/>
      <c r="E15" s="613">
        <f>SUM(E6:E14)+F14</f>
        <v>7800</v>
      </c>
      <c r="F15" s="160"/>
      <c r="G15" s="614">
        <f>G9+H9+H10+G10+G12+H12</f>
        <v>29.98</v>
      </c>
      <c r="H15" s="615"/>
      <c r="I15" s="502"/>
      <c r="J15" s="616"/>
      <c r="K15" s="617"/>
      <c r="L15" s="617"/>
      <c r="M15" s="592"/>
      <c r="N15" s="592"/>
      <c r="O15" s="386"/>
      <c r="P15" s="387"/>
    </row>
    <row r="16">
      <c r="A16" s="444"/>
      <c r="B16" s="445"/>
      <c r="C16" s="445"/>
      <c r="D16" s="446"/>
      <c r="E16" s="447"/>
      <c r="F16" s="448"/>
      <c r="G16" s="447"/>
      <c r="H16" s="447"/>
      <c r="I16" s="447"/>
      <c r="J16" s="447"/>
      <c r="K16" s="447"/>
      <c r="L16" s="447"/>
      <c r="M16" s="447"/>
      <c r="N16" s="447"/>
      <c r="O16" s="447"/>
      <c r="P16" s="449"/>
    </row>
    <row r="17">
      <c r="A17" s="379"/>
      <c r="B17" s="450"/>
      <c r="C17" s="450"/>
      <c r="D17" s="451"/>
      <c r="E17" s="452"/>
      <c r="F17" s="453"/>
      <c r="G17" s="452"/>
      <c r="H17" s="452"/>
      <c r="I17" s="452"/>
      <c r="J17" s="452"/>
      <c r="K17" s="452"/>
      <c r="L17" s="452"/>
      <c r="M17" s="452"/>
      <c r="N17" s="452"/>
      <c r="O17" s="452"/>
      <c r="P17" s="383"/>
    </row>
    <row r="18">
      <c r="A18" s="385"/>
      <c r="B18" s="454" t="s">
        <v>153</v>
      </c>
      <c r="E18" s="416"/>
      <c r="P18" s="387"/>
    </row>
    <row r="19">
      <c r="A19" s="385"/>
      <c r="P19" s="387"/>
    </row>
    <row r="20">
      <c r="A20" s="385"/>
      <c r="B20" s="468" t="s">
        <v>241</v>
      </c>
      <c r="C20" s="469"/>
      <c r="D20" s="469"/>
      <c r="E20" s="470"/>
      <c r="G20" s="468" t="s">
        <v>154</v>
      </c>
      <c r="H20" s="469"/>
      <c r="I20" s="469"/>
      <c r="J20" s="470"/>
      <c r="L20" s="468" t="s">
        <v>147</v>
      </c>
      <c r="M20" s="469"/>
      <c r="N20" s="469"/>
      <c r="O20" s="470"/>
      <c r="P20" s="387"/>
    </row>
    <row r="21">
      <c r="A21" s="385"/>
      <c r="B21" s="472" t="s">
        <v>46</v>
      </c>
      <c r="E21" s="618">
        <v>810.0</v>
      </c>
      <c r="G21" s="619" t="s">
        <v>155</v>
      </c>
      <c r="J21" s="473">
        <v>16.0</v>
      </c>
      <c r="L21" s="619" t="s">
        <v>242</v>
      </c>
      <c r="O21" s="620">
        <v>7500.0</v>
      </c>
      <c r="P21" s="387"/>
    </row>
    <row r="22">
      <c r="A22" s="385"/>
      <c r="B22" s="621" t="s">
        <v>47</v>
      </c>
      <c r="C22" s="477"/>
      <c r="D22" s="477"/>
      <c r="E22" s="622">
        <v>1154.0</v>
      </c>
      <c r="G22" s="623" t="s">
        <v>243</v>
      </c>
      <c r="H22" s="477"/>
      <c r="I22" s="477"/>
      <c r="J22" s="478">
        <v>0.23</v>
      </c>
      <c r="K22" s="384"/>
      <c r="L22" s="619" t="s">
        <v>244</v>
      </c>
      <c r="O22" s="473">
        <v>0.01</v>
      </c>
      <c r="P22" s="387"/>
    </row>
    <row r="23">
      <c r="A23" s="385"/>
      <c r="G23" s="624"/>
      <c r="H23" s="624"/>
      <c r="I23" s="624"/>
      <c r="J23" s="624"/>
      <c r="K23" s="384"/>
      <c r="L23" s="619" t="s">
        <v>75</v>
      </c>
      <c r="O23" s="473">
        <v>4.75</v>
      </c>
      <c r="P23" s="387"/>
    </row>
    <row r="24">
      <c r="A24" s="385"/>
      <c r="B24" s="468" t="s">
        <v>245</v>
      </c>
      <c r="C24" s="469"/>
      <c r="D24" s="469"/>
      <c r="E24" s="470"/>
      <c r="G24" s="468" t="s">
        <v>246</v>
      </c>
      <c r="H24" s="469"/>
      <c r="I24" s="469"/>
      <c r="J24" s="470"/>
      <c r="K24" s="384"/>
      <c r="L24" s="619" t="s">
        <v>247</v>
      </c>
      <c r="O24" s="473">
        <v>0.1</v>
      </c>
      <c r="P24" s="387"/>
    </row>
    <row r="25">
      <c r="A25" s="385"/>
      <c r="B25" s="472" t="s">
        <v>248</v>
      </c>
      <c r="E25" s="473">
        <f>G10/E21*1000</f>
        <v>5.666666667</v>
      </c>
      <c r="G25" s="472" t="s">
        <v>248</v>
      </c>
      <c r="J25" s="473">
        <f>G12/E22*1000</f>
        <v>5.745233969</v>
      </c>
      <c r="K25" s="384"/>
      <c r="L25" s="623" t="s">
        <v>249</v>
      </c>
      <c r="M25" s="477"/>
      <c r="N25" s="477"/>
      <c r="O25" s="478"/>
      <c r="P25" s="387"/>
    </row>
    <row r="26">
      <c r="A26" s="385"/>
      <c r="B26" s="472" t="s">
        <v>250</v>
      </c>
      <c r="E26" s="625">
        <f>4*E25/3.1415/J22/J22</f>
        <v>136.3938919</v>
      </c>
      <c r="G26" s="472" t="s">
        <v>250</v>
      </c>
      <c r="J26" s="625">
        <f>4*J25/3.1415/J22/J22</f>
        <v>138.2849684</v>
      </c>
      <c r="K26" s="384"/>
      <c r="P26" s="387"/>
    </row>
    <row r="27">
      <c r="A27" s="385"/>
      <c r="B27" s="472" t="s">
        <v>251</v>
      </c>
      <c r="E27" s="473">
        <f>H10/E21*1000</f>
        <v>8.703703704</v>
      </c>
      <c r="G27" s="472" t="s">
        <v>251</v>
      </c>
      <c r="J27" s="473">
        <f>H12/E22*1000</f>
        <v>7.80762565</v>
      </c>
      <c r="K27" s="384"/>
      <c r="L27" s="462"/>
      <c r="M27" s="462"/>
      <c r="N27" s="462"/>
      <c r="O27" s="462"/>
      <c r="P27" s="387"/>
    </row>
    <row r="28">
      <c r="A28" s="385"/>
      <c r="B28" s="472" t="s">
        <v>252</v>
      </c>
      <c r="E28" s="625">
        <f>4*E27/3.1415/J22/J22</f>
        <v>209.4938863</v>
      </c>
      <c r="G28" s="472" t="s">
        <v>252</v>
      </c>
      <c r="J28" s="625">
        <f>4*J27/3.1415/J22/J22</f>
        <v>187.9257263</v>
      </c>
      <c r="K28" s="384"/>
      <c r="L28" s="462"/>
      <c r="M28" s="462"/>
      <c r="N28" s="462"/>
      <c r="O28" s="462"/>
      <c r="P28" s="387"/>
    </row>
    <row r="29">
      <c r="A29" s="385"/>
      <c r="B29" s="476" t="s">
        <v>253</v>
      </c>
      <c r="C29" s="477"/>
      <c r="D29" s="477"/>
      <c r="E29" s="626">
        <f>E28+E26</f>
        <v>345.8877782</v>
      </c>
      <c r="G29" s="476" t="s">
        <v>253</v>
      </c>
      <c r="H29" s="477"/>
      <c r="I29" s="477"/>
      <c r="J29" s="626">
        <f>J28+J26</f>
        <v>326.2106947</v>
      </c>
      <c r="K29" s="384"/>
      <c r="L29" s="462"/>
      <c r="M29" s="462"/>
      <c r="N29" s="462"/>
      <c r="O29" s="462"/>
      <c r="P29" s="387"/>
    </row>
    <row r="30">
      <c r="A30" s="385"/>
      <c r="B30" s="476" t="s">
        <v>254</v>
      </c>
      <c r="C30" s="477"/>
      <c r="D30" s="477"/>
      <c r="E30" s="626">
        <f>J21-E25-E27</f>
        <v>1.62962963</v>
      </c>
      <c r="F30" s="386"/>
      <c r="G30" s="476" t="s">
        <v>254</v>
      </c>
      <c r="H30" s="477"/>
      <c r="I30" s="477"/>
      <c r="J30" s="626">
        <f>J21-J25-J27</f>
        <v>2.447140381</v>
      </c>
      <c r="K30" s="384"/>
      <c r="L30" s="462"/>
      <c r="M30" s="462"/>
      <c r="N30" s="462"/>
      <c r="O30" s="462"/>
      <c r="P30" s="387"/>
    </row>
    <row r="31">
      <c r="A31" s="444"/>
      <c r="B31" s="627"/>
      <c r="C31" s="627"/>
      <c r="D31" s="627"/>
      <c r="E31" s="627"/>
      <c r="F31" s="627"/>
      <c r="G31" s="627"/>
      <c r="H31" s="480"/>
      <c r="I31" s="480"/>
      <c r="J31" s="480"/>
      <c r="K31" s="480"/>
      <c r="L31" s="480"/>
      <c r="M31" s="480"/>
      <c r="N31" s="480"/>
      <c r="O31" s="480"/>
      <c r="P31" s="449"/>
    </row>
    <row r="32">
      <c r="A32" s="385"/>
      <c r="B32" s="386"/>
      <c r="C32" s="386"/>
      <c r="D32" s="386"/>
      <c r="E32" s="386"/>
      <c r="F32" s="386"/>
      <c r="G32" s="386"/>
      <c r="H32" s="384"/>
      <c r="I32" s="384"/>
      <c r="J32" s="384"/>
      <c r="K32" s="384"/>
      <c r="L32" s="384"/>
      <c r="M32" s="384"/>
      <c r="N32" s="384"/>
      <c r="O32" s="384"/>
      <c r="P32" s="387"/>
    </row>
    <row r="33">
      <c r="A33" s="385"/>
      <c r="B33" s="454" t="s">
        <v>255</v>
      </c>
      <c r="E33" s="386"/>
      <c r="F33" s="386"/>
      <c r="G33" s="386"/>
      <c r="H33" s="384"/>
      <c r="I33" s="384"/>
      <c r="J33" s="384"/>
      <c r="K33" s="384"/>
      <c r="L33" s="384"/>
      <c r="M33" s="384"/>
      <c r="N33" s="384"/>
      <c r="O33" s="384"/>
      <c r="P33" s="387"/>
    </row>
    <row r="34">
      <c r="A34" s="385"/>
      <c r="B34" s="386"/>
      <c r="C34" s="386"/>
      <c r="D34" s="386"/>
      <c r="E34" s="386"/>
      <c r="F34" s="386"/>
      <c r="K34" s="384"/>
      <c r="L34" s="384"/>
      <c r="M34" s="384"/>
      <c r="N34" s="384"/>
      <c r="O34" s="384"/>
      <c r="P34" s="387"/>
    </row>
    <row r="35">
      <c r="A35" s="385"/>
      <c r="B35" s="468" t="s">
        <v>256</v>
      </c>
      <c r="C35" s="469"/>
      <c r="D35" s="469"/>
      <c r="E35" s="470"/>
      <c r="F35" s="386"/>
      <c r="G35" s="468" t="s">
        <v>257</v>
      </c>
      <c r="H35" s="469"/>
      <c r="I35" s="469"/>
      <c r="J35" s="470"/>
      <c r="K35" s="384"/>
      <c r="L35" s="384"/>
      <c r="M35" s="384"/>
      <c r="N35" s="384"/>
      <c r="O35" s="384"/>
      <c r="P35" s="387"/>
    </row>
    <row r="36">
      <c r="A36" s="385"/>
      <c r="B36" s="472" t="s">
        <v>258</v>
      </c>
      <c r="E36" s="473">
        <v>3.0</v>
      </c>
      <c r="F36" s="386"/>
      <c r="G36" s="472" t="s">
        <v>259</v>
      </c>
      <c r="J36" s="473">
        <v>400.0</v>
      </c>
      <c r="K36" s="384"/>
      <c r="L36" s="384"/>
      <c r="M36" s="384"/>
      <c r="N36" s="384"/>
      <c r="O36" s="384"/>
      <c r="P36" s="387"/>
    </row>
    <row r="37">
      <c r="A37" s="385"/>
      <c r="B37" s="472" t="s">
        <v>260</v>
      </c>
      <c r="E37" s="473">
        <v>1.25</v>
      </c>
      <c r="F37" s="386"/>
      <c r="G37" s="472" t="s">
        <v>260</v>
      </c>
      <c r="J37" s="625">
        <v>5.0</v>
      </c>
      <c r="K37" s="384"/>
      <c r="L37" s="384"/>
      <c r="M37" s="384"/>
      <c r="N37" s="384"/>
      <c r="O37" s="384"/>
      <c r="P37" s="387"/>
    </row>
    <row r="38">
      <c r="A38" s="385"/>
      <c r="B38" s="476" t="s">
        <v>261</v>
      </c>
      <c r="C38" s="477"/>
      <c r="D38" s="477"/>
      <c r="E38" s="478">
        <v>4.37</v>
      </c>
      <c r="F38" s="386"/>
      <c r="G38" s="476" t="s">
        <v>261</v>
      </c>
      <c r="H38" s="477"/>
      <c r="I38" s="477"/>
      <c r="J38" s="478">
        <v>1.8</v>
      </c>
      <c r="K38" s="384"/>
      <c r="L38" s="384"/>
      <c r="M38" s="384"/>
      <c r="N38" s="384"/>
      <c r="O38" s="384"/>
      <c r="P38" s="387"/>
    </row>
    <row r="39">
      <c r="A39" s="385"/>
      <c r="B39" s="386"/>
      <c r="C39" s="386"/>
      <c r="D39" s="386"/>
      <c r="E39" s="386"/>
      <c r="F39" s="386"/>
      <c r="G39" s="386"/>
      <c r="H39" s="384"/>
      <c r="I39" s="384"/>
      <c r="J39" s="384"/>
      <c r="K39" s="384"/>
      <c r="L39" s="384"/>
      <c r="M39" s="384"/>
      <c r="N39" s="384"/>
      <c r="O39" s="384"/>
      <c r="P39" s="387"/>
    </row>
    <row r="40">
      <c r="A40" s="379"/>
      <c r="B40" s="481"/>
      <c r="C40" s="481"/>
      <c r="D40" s="481"/>
      <c r="E40" s="481"/>
      <c r="F40" s="481"/>
      <c r="G40" s="481"/>
      <c r="H40" s="481"/>
      <c r="I40" s="481"/>
      <c r="J40" s="481"/>
      <c r="K40" s="481"/>
      <c r="L40" s="481"/>
      <c r="M40" s="481"/>
      <c r="N40" s="481"/>
      <c r="O40" s="481"/>
      <c r="P40" s="383"/>
    </row>
    <row r="41">
      <c r="A41" s="385"/>
      <c r="B41" s="454" t="s">
        <v>191</v>
      </c>
      <c r="D41" s="384"/>
      <c r="E41" s="384"/>
      <c r="F41" s="384"/>
      <c r="G41" s="384"/>
      <c r="H41" s="384"/>
      <c r="I41" s="384"/>
      <c r="J41" s="384"/>
      <c r="K41" s="384"/>
      <c r="L41" s="384"/>
      <c r="M41" s="384"/>
      <c r="N41" s="384"/>
      <c r="O41" s="384"/>
      <c r="P41" s="387"/>
    </row>
    <row r="42">
      <c r="A42" s="385"/>
      <c r="B42" s="392"/>
      <c r="C42" s="392"/>
      <c r="D42" s="392"/>
      <c r="G42" s="392"/>
      <c r="H42" s="384"/>
      <c r="I42" s="384"/>
      <c r="J42" s="384"/>
      <c r="K42" s="384"/>
      <c r="L42" s="384"/>
      <c r="M42" s="384"/>
      <c r="N42" s="384"/>
      <c r="O42" s="384"/>
      <c r="P42" s="387"/>
    </row>
    <row r="43">
      <c r="A43" s="385"/>
      <c r="B43" s="630" t="s">
        <v>262</v>
      </c>
      <c r="C43" s="469"/>
      <c r="D43" s="469"/>
      <c r="E43" s="469"/>
      <c r="F43" s="469"/>
      <c r="G43" s="469"/>
      <c r="H43" s="469"/>
      <c r="I43" s="469"/>
      <c r="J43" s="469"/>
      <c r="K43" s="470"/>
      <c r="M43" s="630" t="s">
        <v>263</v>
      </c>
      <c r="N43" s="469"/>
      <c r="O43" s="470"/>
      <c r="P43" s="387"/>
    </row>
    <row r="44">
      <c r="A44" s="385"/>
      <c r="B44" s="631" t="s">
        <v>264</v>
      </c>
      <c r="C44" s="12"/>
      <c r="D44" s="632" t="s">
        <v>265</v>
      </c>
      <c r="F44" s="632" t="s">
        <v>266</v>
      </c>
      <c r="H44" s="632" t="s">
        <v>267</v>
      </c>
      <c r="J44" s="632" t="s">
        <v>18</v>
      </c>
      <c r="K44" s="12"/>
      <c r="M44" s="633" t="s">
        <v>268</v>
      </c>
      <c r="O44" s="556">
        <f>C15/10</f>
        <v>505</v>
      </c>
      <c r="P44" s="486"/>
    </row>
    <row r="45">
      <c r="A45" s="385"/>
      <c r="B45" s="634" t="s">
        <v>2</v>
      </c>
      <c r="C45" s="12"/>
      <c r="D45" s="635" t="s">
        <v>269</v>
      </c>
      <c r="F45" s="635" t="s">
        <v>266</v>
      </c>
      <c r="H45" s="635" t="s">
        <v>30</v>
      </c>
      <c r="J45" s="635" t="s">
        <v>270</v>
      </c>
      <c r="K45" s="12"/>
      <c r="M45" s="633" t="s">
        <v>271</v>
      </c>
      <c r="O45" s="636">
        <f>(L11-H9-H10-H12)*1000</f>
        <v>95220</v>
      </c>
      <c r="P45" s="486"/>
    </row>
    <row r="46">
      <c r="A46" s="385"/>
      <c r="B46" s="634" t="s">
        <v>272</v>
      </c>
      <c r="C46" s="12"/>
      <c r="D46" s="637">
        <v>240.0</v>
      </c>
      <c r="F46" s="637">
        <v>200.0</v>
      </c>
      <c r="H46" s="638">
        <f>1000*J22</f>
        <v>230</v>
      </c>
      <c r="I46" s="12"/>
      <c r="J46" s="564">
        <f>1000*J22</f>
        <v>230</v>
      </c>
      <c r="K46" s="12"/>
      <c r="L46" s="431"/>
      <c r="M46" s="639" t="s">
        <v>273</v>
      </c>
      <c r="N46" s="477"/>
      <c r="O46" s="640">
        <f>L9</f>
        <v>113980</v>
      </c>
      <c r="P46" s="486"/>
    </row>
    <row r="47">
      <c r="A47" s="385"/>
      <c r="B47" s="634" t="s">
        <v>274</v>
      </c>
      <c r="C47" s="12"/>
      <c r="D47" s="641">
        <v>200.0</v>
      </c>
      <c r="F47" s="641">
        <v>500.0</v>
      </c>
      <c r="H47" s="642">
        <f>E28</f>
        <v>209.4938863</v>
      </c>
      <c r="I47" s="12"/>
      <c r="J47" s="643">
        <f>J28</f>
        <v>187.9257263</v>
      </c>
      <c r="K47" s="12"/>
      <c r="L47" s="431"/>
      <c r="M47" s="431"/>
      <c r="O47" s="564"/>
      <c r="P47" s="486"/>
    </row>
    <row r="48">
      <c r="A48" s="385"/>
      <c r="B48" s="634" t="s">
        <v>275</v>
      </c>
      <c r="C48" s="12"/>
      <c r="D48" s="644">
        <v>0.0</v>
      </c>
      <c r="K48" s="12"/>
      <c r="L48" s="431"/>
      <c r="M48" s="431"/>
      <c r="N48" s="564"/>
      <c r="O48" s="564"/>
      <c r="P48" s="486"/>
    </row>
    <row r="49">
      <c r="A49" s="385"/>
      <c r="B49" s="634" t="s">
        <v>276</v>
      </c>
      <c r="C49" s="12"/>
      <c r="D49" s="645">
        <v>0.001</v>
      </c>
      <c r="F49" s="646">
        <f>H9</f>
        <v>2.7</v>
      </c>
      <c r="H49" s="646">
        <f>H10</f>
        <v>7.05</v>
      </c>
      <c r="I49" s="12"/>
      <c r="J49" s="646">
        <f>H12</f>
        <v>9.01</v>
      </c>
      <c r="K49" s="12"/>
      <c r="L49" s="431"/>
      <c r="M49" s="431"/>
      <c r="N49" s="564"/>
      <c r="O49" s="564"/>
      <c r="P49" s="486"/>
    </row>
    <row r="50">
      <c r="A50" s="385"/>
      <c r="B50" s="634" t="s">
        <v>277</v>
      </c>
      <c r="C50" s="12"/>
      <c r="D50" s="645">
        <v>0.001</v>
      </c>
      <c r="F50" s="646">
        <f>H9</f>
        <v>2.7</v>
      </c>
      <c r="H50" s="646">
        <f>H10</f>
        <v>7.05</v>
      </c>
      <c r="I50" s="12"/>
      <c r="J50" s="646">
        <f>H12</f>
        <v>9.01</v>
      </c>
      <c r="K50" s="12"/>
      <c r="L50" s="431"/>
      <c r="M50" s="431"/>
      <c r="N50" s="564"/>
      <c r="O50" s="564"/>
      <c r="P50" s="486"/>
    </row>
    <row r="51">
      <c r="A51" s="385"/>
      <c r="B51" s="634" t="s">
        <v>278</v>
      </c>
      <c r="C51" s="12"/>
      <c r="D51" s="531" t="s">
        <v>279</v>
      </c>
      <c r="K51" s="12"/>
      <c r="L51" s="431"/>
      <c r="M51" s="431"/>
      <c r="N51" s="564"/>
      <c r="O51" s="564"/>
      <c r="P51" s="486"/>
    </row>
    <row r="52">
      <c r="A52" s="385"/>
      <c r="B52" s="634" t="s">
        <v>280</v>
      </c>
      <c r="C52" s="12"/>
      <c r="D52" s="637">
        <v>0.0</v>
      </c>
      <c r="E52" s="644">
        <v>0.0</v>
      </c>
      <c r="F52" s="637">
        <v>0.0</v>
      </c>
      <c r="G52" s="644">
        <v>0.0</v>
      </c>
      <c r="H52" s="637">
        <v>0.0</v>
      </c>
      <c r="I52" s="647">
        <v>0.0</v>
      </c>
      <c r="J52" s="637">
        <v>0.0</v>
      </c>
      <c r="K52" s="647">
        <v>0.0</v>
      </c>
      <c r="L52" s="431"/>
      <c r="M52" s="431"/>
      <c r="N52" s="564"/>
      <c r="O52" s="564"/>
      <c r="P52" s="486"/>
    </row>
    <row r="53">
      <c r="A53" s="385"/>
      <c r="B53" s="634" t="s">
        <v>281</v>
      </c>
      <c r="C53" s="12"/>
      <c r="D53" s="646">
        <f>$O$23</f>
        <v>4.75</v>
      </c>
      <c r="E53" s="648">
        <f t="shared" ref="E53:E54" si="2">$O$22</f>
        <v>0.01</v>
      </c>
      <c r="F53" s="646">
        <f>$O$23</f>
        <v>4.75</v>
      </c>
      <c r="G53" s="649">
        <v>0.001</v>
      </c>
      <c r="H53" s="646">
        <f>$O$23</f>
        <v>4.75</v>
      </c>
      <c r="I53" s="650">
        <v>0.001</v>
      </c>
      <c r="J53" s="646">
        <f>$O$23</f>
        <v>4.75</v>
      </c>
      <c r="K53" s="650">
        <v>0.001</v>
      </c>
      <c r="L53" s="431"/>
      <c r="M53" s="431"/>
      <c r="N53" s="564"/>
      <c r="O53" s="564"/>
      <c r="P53" s="486"/>
    </row>
    <row r="54">
      <c r="A54" s="385"/>
      <c r="B54" s="634" t="s">
        <v>282</v>
      </c>
      <c r="C54" s="12"/>
      <c r="D54" s="635">
        <f>$O$24</f>
        <v>0.1</v>
      </c>
      <c r="E54" s="648">
        <f t="shared" si="2"/>
        <v>0.01</v>
      </c>
      <c r="F54" s="635">
        <f>$O$24</f>
        <v>0.1</v>
      </c>
      <c r="G54" s="649">
        <v>0.001</v>
      </c>
      <c r="H54" s="635">
        <f>$O$24</f>
        <v>0.1</v>
      </c>
      <c r="I54" s="650">
        <v>0.001</v>
      </c>
      <c r="J54" s="635">
        <f>$O$24</f>
        <v>0.1</v>
      </c>
      <c r="K54" s="650">
        <v>0.001</v>
      </c>
      <c r="L54" s="493"/>
      <c r="M54" s="384"/>
      <c r="N54" s="384"/>
      <c r="P54" s="486"/>
    </row>
    <row r="55">
      <c r="A55" s="385"/>
      <c r="B55" s="651" t="s">
        <v>283</v>
      </c>
      <c r="C55" s="572"/>
      <c r="D55" s="652">
        <f>$O23+$O24</f>
        <v>4.85</v>
      </c>
      <c r="E55" s="653">
        <v>0.0</v>
      </c>
      <c r="F55" s="652">
        <f>$O23+$O24</f>
        <v>4.85</v>
      </c>
      <c r="G55" s="653">
        <v>0.0</v>
      </c>
      <c r="H55" s="652">
        <f>$O23+$O24</f>
        <v>4.85</v>
      </c>
      <c r="I55" s="654">
        <v>0.0</v>
      </c>
      <c r="J55" s="652">
        <f>$O23+$O24</f>
        <v>4.85</v>
      </c>
      <c r="K55" s="654">
        <v>0.0</v>
      </c>
      <c r="L55" s="493"/>
      <c r="M55" s="384"/>
      <c r="N55" s="384"/>
      <c r="P55" s="486"/>
    </row>
    <row r="56">
      <c r="A56" s="385"/>
      <c r="B56" s="655"/>
      <c r="C56" s="655"/>
      <c r="D56" s="531"/>
      <c r="E56" s="531"/>
      <c r="F56" s="531"/>
      <c r="G56" s="437"/>
      <c r="I56" s="168"/>
      <c r="J56" s="493"/>
      <c r="K56" s="493"/>
      <c r="L56" s="493"/>
      <c r="M56" s="384"/>
      <c r="N56" s="384"/>
      <c r="P56" s="486"/>
    </row>
    <row r="57">
      <c r="A57" s="444"/>
      <c r="B57" s="480"/>
      <c r="C57" s="480"/>
      <c r="D57" s="480"/>
      <c r="E57" s="494"/>
      <c r="F57" s="494"/>
      <c r="G57" s="480"/>
      <c r="H57" s="494"/>
      <c r="I57" s="480"/>
      <c r="J57" s="480"/>
      <c r="K57" s="480"/>
      <c r="L57" s="480"/>
      <c r="M57" s="480"/>
      <c r="N57" s="480"/>
      <c r="O57" s="480"/>
      <c r="P57" s="495"/>
    </row>
    <row r="58">
      <c r="A58" s="379"/>
      <c r="B58" s="481"/>
      <c r="C58" s="481"/>
      <c r="D58" s="481"/>
      <c r="E58" s="496"/>
      <c r="F58" s="496"/>
      <c r="G58" s="481"/>
      <c r="H58" s="496"/>
      <c r="I58" s="481"/>
      <c r="J58" s="481"/>
      <c r="K58" s="481"/>
      <c r="L58" s="481"/>
      <c r="M58" s="496"/>
      <c r="N58" s="481"/>
      <c r="O58" s="481"/>
      <c r="P58" s="497"/>
    </row>
    <row r="59">
      <c r="A59" s="385"/>
      <c r="B59" s="454" t="s">
        <v>193</v>
      </c>
      <c r="D59" s="384"/>
      <c r="E59" s="384"/>
      <c r="F59" s="384"/>
      <c r="G59" s="384"/>
      <c r="H59" s="384"/>
      <c r="I59" s="384"/>
      <c r="J59" s="384"/>
      <c r="K59" s="384"/>
      <c r="L59" s="384"/>
      <c r="N59" s="384"/>
      <c r="O59" s="384"/>
      <c r="P59" s="486"/>
    </row>
    <row r="60">
      <c r="A60" s="385"/>
      <c r="B60" s="414"/>
      <c r="C60" s="414"/>
      <c r="D60" s="414"/>
      <c r="E60" s="414"/>
      <c r="F60" s="414"/>
      <c r="G60" s="414"/>
      <c r="H60" s="414"/>
      <c r="I60" s="414"/>
      <c r="J60" s="656" t="s">
        <v>284</v>
      </c>
      <c r="K60" s="469"/>
      <c r="L60" s="470"/>
      <c r="M60" s="384"/>
      <c r="N60" s="384"/>
      <c r="O60" s="384"/>
      <c r="P60" s="387"/>
    </row>
    <row r="61">
      <c r="A61" s="385"/>
      <c r="B61" s="657" t="s">
        <v>77</v>
      </c>
      <c r="C61" s="469"/>
      <c r="D61" s="470"/>
      <c r="E61" s="658"/>
      <c r="F61" s="659" t="s">
        <v>285</v>
      </c>
      <c r="G61" s="469"/>
      <c r="H61" s="470"/>
      <c r="I61" s="658"/>
      <c r="J61" s="660"/>
      <c r="L61" s="12"/>
      <c r="M61" s="624"/>
      <c r="N61" s="624"/>
      <c r="O61" s="624"/>
      <c r="P61" s="387"/>
    </row>
    <row r="62">
      <c r="A62" s="385"/>
      <c r="B62" s="661" t="s">
        <v>286</v>
      </c>
      <c r="D62" s="662">
        <v>35.7</v>
      </c>
      <c r="E62" s="236"/>
      <c r="F62" s="661" t="s">
        <v>286</v>
      </c>
      <c r="H62" s="662">
        <v>32.105</v>
      </c>
      <c r="I62" s="236"/>
      <c r="J62" s="661" t="s">
        <v>286</v>
      </c>
      <c r="L62" s="663">
        <f t="shared" ref="L62:L70" si="3">(H62-D62)/D62*100</f>
        <v>-10.07002801</v>
      </c>
      <c r="M62" s="624"/>
      <c r="N62" s="624"/>
      <c r="O62" s="624"/>
      <c r="P62" s="486"/>
    </row>
    <row r="63">
      <c r="A63" s="385"/>
      <c r="B63" s="664" t="s">
        <v>86</v>
      </c>
      <c r="D63" s="665">
        <v>3044.0</v>
      </c>
      <c r="E63" s="504"/>
      <c r="F63" s="664" t="s">
        <v>86</v>
      </c>
      <c r="H63" s="665">
        <v>3278.346</v>
      </c>
      <c r="I63" s="504"/>
      <c r="J63" s="664" t="s">
        <v>86</v>
      </c>
      <c r="L63" s="663">
        <f t="shared" si="3"/>
        <v>7.698620237</v>
      </c>
      <c r="M63" s="624"/>
      <c r="N63" s="624"/>
      <c r="O63" s="624"/>
      <c r="P63" s="486"/>
    </row>
    <row r="64">
      <c r="A64" s="385"/>
      <c r="B64" s="666" t="s">
        <v>287</v>
      </c>
      <c r="D64" s="667">
        <v>17.2</v>
      </c>
      <c r="E64" s="504"/>
      <c r="F64" s="666" t="s">
        <v>287</v>
      </c>
      <c r="H64" s="667">
        <v>15.271</v>
      </c>
      <c r="I64" s="504"/>
      <c r="J64" s="666" t="s">
        <v>287</v>
      </c>
      <c r="L64" s="663">
        <f t="shared" si="3"/>
        <v>-11.21511628</v>
      </c>
      <c r="M64" s="624"/>
      <c r="N64" s="624"/>
      <c r="O64" s="624"/>
      <c r="P64" s="486"/>
    </row>
    <row r="65">
      <c r="A65" s="385"/>
      <c r="B65" s="666" t="s">
        <v>288</v>
      </c>
      <c r="D65" s="667">
        <v>261.0</v>
      </c>
      <c r="E65" s="504"/>
      <c r="F65" s="666" t="s">
        <v>288</v>
      </c>
      <c r="H65" s="667">
        <v>260.309</v>
      </c>
      <c r="I65" s="504"/>
      <c r="J65" s="666" t="s">
        <v>288</v>
      </c>
      <c r="L65" s="663">
        <f t="shared" si="3"/>
        <v>-0.2647509579</v>
      </c>
      <c r="M65" s="624"/>
      <c r="N65" s="624"/>
      <c r="O65" s="624"/>
      <c r="P65" s="486"/>
    </row>
    <row r="66">
      <c r="A66" s="385"/>
      <c r="B66" s="666" t="s">
        <v>289</v>
      </c>
      <c r="D66" s="667">
        <v>55.9</v>
      </c>
      <c r="E66" s="504"/>
      <c r="F66" s="666" t="s">
        <v>289</v>
      </c>
      <c r="H66" s="667">
        <v>56.415</v>
      </c>
      <c r="I66" s="504"/>
      <c r="J66" s="666" t="s">
        <v>289</v>
      </c>
      <c r="L66" s="663">
        <f t="shared" si="3"/>
        <v>0.9212880143</v>
      </c>
      <c r="M66" s="624"/>
      <c r="N66" s="624"/>
      <c r="O66" s="624"/>
      <c r="P66" s="486"/>
    </row>
    <row r="67">
      <c r="A67" s="385"/>
      <c r="B67" s="666" t="s">
        <v>87</v>
      </c>
      <c r="D67" s="667">
        <v>26.1</v>
      </c>
      <c r="E67" s="504"/>
      <c r="F67" s="666" t="s">
        <v>87</v>
      </c>
      <c r="H67" s="667">
        <v>27.263</v>
      </c>
      <c r="I67" s="504"/>
      <c r="J67" s="666" t="s">
        <v>87</v>
      </c>
      <c r="L67" s="663">
        <f t="shared" si="3"/>
        <v>4.455938697</v>
      </c>
      <c r="M67" s="624"/>
      <c r="N67" s="624"/>
      <c r="O67" s="624"/>
      <c r="P67" s="486"/>
    </row>
    <row r="68">
      <c r="A68" s="385"/>
      <c r="B68" s="666" t="s">
        <v>290</v>
      </c>
      <c r="D68" s="667">
        <v>227.0</v>
      </c>
      <c r="E68" s="504"/>
      <c r="F68" s="666" t="s">
        <v>290</v>
      </c>
      <c r="H68" s="667">
        <v>174.21</v>
      </c>
      <c r="I68" s="504"/>
      <c r="J68" s="666" t="s">
        <v>290</v>
      </c>
      <c r="L68" s="663">
        <f t="shared" si="3"/>
        <v>-23.25550661</v>
      </c>
      <c r="M68" s="624"/>
      <c r="N68" s="624"/>
      <c r="O68" s="624"/>
      <c r="P68" s="486"/>
    </row>
    <row r="69">
      <c r="A69" s="385"/>
      <c r="B69" s="666" t="s">
        <v>291</v>
      </c>
      <c r="D69" s="667">
        <v>6.12</v>
      </c>
      <c r="E69" s="504"/>
      <c r="F69" s="666" t="s">
        <v>291</v>
      </c>
      <c r="H69" s="667">
        <v>8.0</v>
      </c>
      <c r="I69" s="504"/>
      <c r="J69" s="666" t="s">
        <v>291</v>
      </c>
      <c r="L69" s="663">
        <f t="shared" si="3"/>
        <v>30.71895425</v>
      </c>
      <c r="M69" s="624"/>
      <c r="N69" s="624"/>
      <c r="O69" s="624"/>
      <c r="P69" s="486"/>
    </row>
    <row r="70">
      <c r="A70" s="385"/>
      <c r="B70" s="668" t="s">
        <v>292</v>
      </c>
      <c r="C70" s="477"/>
      <c r="D70" s="669">
        <v>0.774</v>
      </c>
      <c r="E70" s="504"/>
      <c r="F70" s="668" t="s">
        <v>292</v>
      </c>
      <c r="G70" s="477"/>
      <c r="H70" s="669">
        <v>0.764</v>
      </c>
      <c r="I70" s="504"/>
      <c r="J70" s="668" t="s">
        <v>292</v>
      </c>
      <c r="K70" s="477"/>
      <c r="L70" s="669">
        <f t="shared" si="3"/>
        <v>-1.291989664</v>
      </c>
      <c r="M70" s="624"/>
      <c r="N70" s="624"/>
      <c r="O70" s="624"/>
      <c r="P70" s="486"/>
    </row>
    <row r="71">
      <c r="A71" s="444"/>
      <c r="B71" s="494"/>
      <c r="C71" s="494"/>
      <c r="D71" s="494"/>
      <c r="E71" s="494"/>
      <c r="F71" s="494"/>
      <c r="G71" s="494"/>
      <c r="H71" s="494"/>
      <c r="I71" s="494"/>
      <c r="J71" s="494"/>
      <c r="K71" s="494"/>
      <c r="L71" s="480"/>
      <c r="M71" s="494"/>
      <c r="N71" s="494"/>
      <c r="O71" s="480"/>
      <c r="P71" s="495"/>
    </row>
  </sheetData>
  <mergeCells count="153">
    <mergeCell ref="C13:D13"/>
    <mergeCell ref="C15:D15"/>
    <mergeCell ref="B18:D18"/>
    <mergeCell ref="B20:E20"/>
    <mergeCell ref="B21:D21"/>
    <mergeCell ref="B22:D22"/>
    <mergeCell ref="B24:E24"/>
    <mergeCell ref="B25:D25"/>
    <mergeCell ref="B26:D26"/>
    <mergeCell ref="B27:D27"/>
    <mergeCell ref="B28:D28"/>
    <mergeCell ref="B29:D29"/>
    <mergeCell ref="B30:D30"/>
    <mergeCell ref="B33:D33"/>
    <mergeCell ref="B35:E35"/>
    <mergeCell ref="B36:D36"/>
    <mergeCell ref="B37:D37"/>
    <mergeCell ref="B38:D38"/>
    <mergeCell ref="B41:C41"/>
    <mergeCell ref="B44:C44"/>
    <mergeCell ref="D44:E44"/>
    <mergeCell ref="B45:C45"/>
    <mergeCell ref="D45:E45"/>
    <mergeCell ref="B46:C46"/>
    <mergeCell ref="D46:E46"/>
    <mergeCell ref="B47:C47"/>
    <mergeCell ref="D47:E47"/>
    <mergeCell ref="B48:C48"/>
    <mergeCell ref="B49:C49"/>
    <mergeCell ref="D49:E49"/>
    <mergeCell ref="B50:C50"/>
    <mergeCell ref="D50:E50"/>
    <mergeCell ref="B51:C51"/>
    <mergeCell ref="B52:C52"/>
    <mergeCell ref="B53:C53"/>
    <mergeCell ref="B66:C66"/>
    <mergeCell ref="B67:C67"/>
    <mergeCell ref="B68:C68"/>
    <mergeCell ref="B69:C69"/>
    <mergeCell ref="B70:C70"/>
    <mergeCell ref="B54:C54"/>
    <mergeCell ref="B55:C55"/>
    <mergeCell ref="B59:C59"/>
    <mergeCell ref="B62:C62"/>
    <mergeCell ref="B63:C63"/>
    <mergeCell ref="B64:C64"/>
    <mergeCell ref="B65:C65"/>
    <mergeCell ref="B1:D1"/>
    <mergeCell ref="B3:H3"/>
    <mergeCell ref="C4:D4"/>
    <mergeCell ref="E4:F4"/>
    <mergeCell ref="G4:H4"/>
    <mergeCell ref="J4:L4"/>
    <mergeCell ref="C5:D5"/>
    <mergeCell ref="J5:K5"/>
    <mergeCell ref="J8:K8"/>
    <mergeCell ref="J9:K9"/>
    <mergeCell ref="J10:K10"/>
    <mergeCell ref="J11:K11"/>
    <mergeCell ref="J12:K12"/>
    <mergeCell ref="J13:K13"/>
    <mergeCell ref="E5:F5"/>
    <mergeCell ref="G5:H5"/>
    <mergeCell ref="E6:F6"/>
    <mergeCell ref="G6:G8"/>
    <mergeCell ref="H6:H8"/>
    <mergeCell ref="J6:K7"/>
    <mergeCell ref="L6:L7"/>
    <mergeCell ref="E7:F7"/>
    <mergeCell ref="E8:F8"/>
    <mergeCell ref="E9:F9"/>
    <mergeCell ref="E10:F10"/>
    <mergeCell ref="E11:F11"/>
    <mergeCell ref="G11:H11"/>
    <mergeCell ref="E12:F12"/>
    <mergeCell ref="C6:D6"/>
    <mergeCell ref="C7:D7"/>
    <mergeCell ref="C8:D8"/>
    <mergeCell ref="C9:D9"/>
    <mergeCell ref="C10:D10"/>
    <mergeCell ref="C11:D11"/>
    <mergeCell ref="C12:D12"/>
    <mergeCell ref="E13:F13"/>
    <mergeCell ref="G13:H14"/>
    <mergeCell ref="E15:F15"/>
    <mergeCell ref="G15:H15"/>
    <mergeCell ref="G20:J20"/>
    <mergeCell ref="L20:O20"/>
    <mergeCell ref="L21:N21"/>
    <mergeCell ref="G21:I21"/>
    <mergeCell ref="G22:I22"/>
    <mergeCell ref="L22:N22"/>
    <mergeCell ref="L23:N23"/>
    <mergeCell ref="G24:J24"/>
    <mergeCell ref="L24:N24"/>
    <mergeCell ref="L25:N25"/>
    <mergeCell ref="F68:G68"/>
    <mergeCell ref="F69:G69"/>
    <mergeCell ref="F70:G70"/>
    <mergeCell ref="J69:K69"/>
    <mergeCell ref="J70:K70"/>
    <mergeCell ref="F65:G65"/>
    <mergeCell ref="J65:K65"/>
    <mergeCell ref="F66:G66"/>
    <mergeCell ref="J66:K66"/>
    <mergeCell ref="F67:G67"/>
    <mergeCell ref="J67:K67"/>
    <mergeCell ref="J68:K68"/>
    <mergeCell ref="G25:I25"/>
    <mergeCell ref="G26:I26"/>
    <mergeCell ref="G27:I27"/>
    <mergeCell ref="G28:I28"/>
    <mergeCell ref="G29:I29"/>
    <mergeCell ref="G30:I30"/>
    <mergeCell ref="G35:J35"/>
    <mergeCell ref="G36:I36"/>
    <mergeCell ref="G37:I37"/>
    <mergeCell ref="G38:I38"/>
    <mergeCell ref="B43:K43"/>
    <mergeCell ref="M43:O43"/>
    <mergeCell ref="F44:G44"/>
    <mergeCell ref="H44:I44"/>
    <mergeCell ref="J44:K44"/>
    <mergeCell ref="M44:N44"/>
    <mergeCell ref="F45:G45"/>
    <mergeCell ref="H45:I45"/>
    <mergeCell ref="J45:K45"/>
    <mergeCell ref="M45:N45"/>
    <mergeCell ref="F46:G46"/>
    <mergeCell ref="M46:N46"/>
    <mergeCell ref="H46:I46"/>
    <mergeCell ref="J46:K46"/>
    <mergeCell ref="F47:G47"/>
    <mergeCell ref="H47:I47"/>
    <mergeCell ref="J47:K47"/>
    <mergeCell ref="M47:N47"/>
    <mergeCell ref="D48:K48"/>
    <mergeCell ref="F49:G49"/>
    <mergeCell ref="H49:I49"/>
    <mergeCell ref="J49:K49"/>
    <mergeCell ref="F50:G50"/>
    <mergeCell ref="H50:I50"/>
    <mergeCell ref="J50:K50"/>
    <mergeCell ref="D51:K51"/>
    <mergeCell ref="J63:K63"/>
    <mergeCell ref="J64:K64"/>
    <mergeCell ref="J60:L61"/>
    <mergeCell ref="B61:D61"/>
    <mergeCell ref="F61:H61"/>
    <mergeCell ref="F62:G62"/>
    <mergeCell ref="J62:K62"/>
    <mergeCell ref="F63:G63"/>
    <mergeCell ref="F64:G64"/>
  </mergeCells>
  <conditionalFormatting sqref="D62:K62">
    <cfRule type="cellIs" dxfId="4" priority="1" operator="greaterThanOrEqual">
      <formula>30</formula>
    </cfRule>
  </conditionalFormatting>
  <conditionalFormatting sqref="D62:K62">
    <cfRule type="cellIs" dxfId="3" priority="2" operator="lessThan">
      <formula>30</formula>
    </cfRule>
  </conditionalFormatting>
  <conditionalFormatting sqref="D71:K71">
    <cfRule type="cellIs" dxfId="4" priority="3" operator="between">
      <formula>-0.05</formula>
      <formula>0.05</formula>
    </cfRule>
  </conditionalFormatting>
  <conditionalFormatting sqref="D71:K71">
    <cfRule type="cellIs" dxfId="5" priority="4" operator="between">
      <formula>0.0500001</formula>
      <formula>0.1</formula>
    </cfRule>
  </conditionalFormatting>
  <conditionalFormatting sqref="D71:K71">
    <cfRule type="cellIs" dxfId="3" priority="5" operator="greaterThan">
      <formula>0.1</formula>
    </cfRule>
  </conditionalFormatting>
  <conditionalFormatting sqref="D71:K71">
    <cfRule type="cellIs" dxfId="6" priority="6" operator="between">
      <formula>-0.050001</formula>
      <formula>-0.1</formula>
    </cfRule>
  </conditionalFormatting>
  <conditionalFormatting sqref="D71:K71">
    <cfRule type="cellIs" dxfId="3" priority="7" operator="lessThan">
      <formula>-0.1</formula>
    </cfRule>
  </conditionalFormatting>
  <conditionalFormatting sqref="D63 H63">
    <cfRule type="cellIs" dxfId="4" priority="8" operator="greaterThanOrEqual">
      <formula>3000</formula>
    </cfRule>
  </conditionalFormatting>
  <conditionalFormatting sqref="D63 H63">
    <cfRule type="cellIs" dxfId="7" priority="9" operator="lessThan">
      <formula>3000</formula>
    </cfRule>
  </conditionalFormatting>
  <conditionalFormatting sqref="L62:L70">
    <cfRule type="cellIs" dxfId="4" priority="10" operator="between">
      <formula>-5</formula>
      <formula>5</formula>
    </cfRule>
  </conditionalFormatting>
  <conditionalFormatting sqref="L62:L70">
    <cfRule type="cellIs" dxfId="7" priority="11" operator="notBetween">
      <formula>-5</formula>
      <formula>5</formula>
    </cfRule>
  </conditionalFormatting>
  <drawing r:id="rId1"/>
</worksheet>
</file>